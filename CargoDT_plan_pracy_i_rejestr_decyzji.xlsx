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  <sheet xmlns:r="http://schemas.openxmlformats.org/officeDocument/2006/relationships" name="11_Dokument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  <xf numFmtId="0" fontId="2" fillId="9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05.10.2026,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  <row r="14">
      <c r="A14" t="inlineStr">
        <is>
          <t>Styl tekstów do wklejenia</t>
        </is>
      </c>
      <c r="B14" t="inlineStr">
        <is>
          <t>Czas przyszły dla działań projektu; akapity zaczynamy pełnym zdaniem, nie jednowyrazową etykietą ("Oprogramowanie.", "Tak.", "Zakres."). Ustalenie właścicielki, 02.10.2026.</t>
        </is>
      </c>
    </row>
    <row r="15">
      <c r="A15" t="inlineStr">
        <is>
          <t>Min. 3 dostawców w metodzie szacowania</t>
        </is>
      </c>
      <c r="B15" t="inlineStr">
        <is>
          <t>Każdy koszt ma w metodzie co najmniej trzech dostawców lub źródeł cen z nazwy, a jeśli usługa ma jednego dostawcę z natury (organizator kongresu, opłaty urzędowe EPO), napisano to wprost. Ustalenie właścicielki, 02.10.2026.</t>
        </is>
      </c>
    </row>
    <row r="16">
      <c r="A16" t="inlineStr">
        <is>
          <t>Pliki zamknięte (D50)</t>
        </is>
      </c>
      <c r="B16" t="inlineStr">
        <is>
          <t>Korygujemy wyłącznie: Model_finansowy_CargoDT_Everest_II_kwartal_2026.xlsm, Sekcja_K6_sprawozdanie_2Q2026_model.docx i ten rejestr. Pliki Sekcja_1.3_i_ceny.docx, Poprawki_do_wklejenia_WP01-WP03.docx i Opisy_zadan_z_kamieniami_milowymi.docx są zamknięte: zmiany w nich opisuje wyłącznie Zmiany_do_wprowadzenia_w_plikach_zamknietych.docx.</t>
        </is>
      </c>
    </row>
    <row r="17">
      <c r="A17" t="inlineStr">
        <is>
          <t>Błędy własne</t>
        </is>
      </c>
      <c r="B17" t="inlineStr">
        <is>
          <t>Każdy błąd Claude znaleziony w trakcie pracy trafia do arkusza 8 z opisem korekty (np. E22 do E28).</t>
        </is>
      </c>
    </row>
    <row r="18">
      <c r="A18" t="inlineStr">
        <is>
          <t>Komentarze w modelu</t>
        </is>
      </c>
      <c r="B18" t="inlineStr">
        <is>
          <t>Pole Komentarz w arkuszach modelu ma limit 10 000 znaków (Instrukcja modelu). Liczby w komentarzach muszą zgadzać się z przeliczonym modelem; po każdej zmianie danych przeliczamy model kontrolnie.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 ZASTĄPIONE 02.10.2026: 5 ciągników siodłowych z naczepami na podstawie umowy partnerskiej z Natanek Logistics od 03.2025, z prawem do danych z pojazdów; teksty nie mówią o pojazdach własnych Everest11 w najmie.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 ROZSTRZYGNIĘCIE 02.10.2026: koszt komponentów w modelu (4 875 zł za zestaw) zostaje bez zmian; do uzupełnienia podstawa kwoty (N57). | 05.10: koszt 4 875 zł zostaje; propozycja podstawy kwoty (9 komponentów) i zespół komercjalizacji w dokumencie K6, część 8 (D53).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  <row r="34">
      <c r="A34" s="2" t="inlineStr">
        <is>
          <t>D33</t>
        </is>
      </c>
      <c r="B34" s="2" t="inlineStr">
        <is>
          <t>Wskaźniki innowacyjności 1.2 i 1.4: nowy zestaw (W1-W5, I1-I3) i usunięcie fill rate</t>
        </is>
      </c>
      <c r="C34" s="2" t="inlineStr">
        <is>
          <t>Bazy: detektor progowy (AUC, D16), ogólny detektor (mAP), 0 Hz w ruchu (model 3D), brak alertu lokalnego; PoC tylko czas, eFTI osobno w 1.4; „liczba warstw ICT” zastąpiona liczbą funkcji AI lokalnie; cena jako roczny koszt posiadania z bazą z ofert; fill rate usunięty. Wartości zakładane: AUC bazy ≤0,70, mAP bazy ≤0,40, błąd względny 0,03/0,05 m.</t>
        </is>
      </c>
      <c r="D34" s="16" t="inlineStr">
        <is>
          <t>DO POTWIERDZENIA</t>
        </is>
      </c>
      <c r="E34" s="2" t="inlineStr">
        <is>
          <t>Właściciel</t>
        </is>
      </c>
      <c r="F34" s="2" t="inlineStr">
        <is>
          <t>K1-01 do K1-06, K3-48</t>
        </is>
      </c>
    </row>
    <row r="35">
      <c r="A35" s="2" t="inlineStr">
        <is>
          <t>D34</t>
        </is>
      </c>
      <c r="B35" s="2" t="inlineStr">
        <is>
          <t>Pkt 1.3 i ceny: nowa podstawa rynku i opis wartości dla klienta</t>
        </is>
      </c>
      <c r="C35" s="2" t="inlineStr">
        <is>
          <t>TAM 544,97 tys. naczep (Eurostat 2023), SAM 200 000 jako założenie z metodą do uzupełnienia, prognoza tylko dla Polski. eFTI opisane jako obowiązek organów i dobrowolne dla przewoźników. Wartość CMR przeliczona kursem SDR NBP 5,0954 (04.09.2026): 8 489-21 222 PLN. Usunięte: ROI dodatni od 1. roku, 5 500 PLN, 43% pustych, 5 mln USD. Flota odniesienia 10 naczep (12 168 PLN w 1. roku, 4 668 PLN potem).</t>
        </is>
      </c>
      <c r="D35" s="16" t="inlineStr">
        <is>
          <t>DO POTWIERDZENIA</t>
        </is>
      </c>
      <c r="E35" s="2" t="inlineStr">
        <is>
          <t>Właściciel</t>
        </is>
      </c>
      <c r="F35" s="2" t="inlineStr">
        <is>
          <t>K2-05, K2-06, K2-11, K2-14, K2-15, K2-17</t>
        </is>
      </c>
    </row>
    <row r="36">
      <c r="A36" s="2" t="inlineStr">
        <is>
          <t>D35</t>
        </is>
      </c>
      <c r="B36" s="2" t="inlineStr">
        <is>
          <t>Wdrożenie na 50 pojazdach u klientów zewnętrznych, bez floty własnej Everest11 w liczbie wdrożeń</t>
        </is>
      </c>
      <c r="C36" s="2" t="inlineStr">
        <is>
          <t>Decyzja właściciela: wdrożenie opisane jako 50 pojazdów w sumie (trzej operatorzy z listami intencyjnymi na łącznie 50 naczep, ponownie podpisanymi). Model finansowy bez zmian liczbowych. Usuwa pytanie o pochodzenie 20 naczep (K2-01). Flota testowa Z9 (D10, min. 3 pojazdy) jest odrębna. Zmiany: 1.3, 2.1 Etap 1, komentarz w modelu.</t>
        </is>
      </c>
      <c r="D36" s="16" t="inlineStr">
        <is>
          <t>ZATWIERDZONA</t>
        </is>
      </c>
      <c r="E36" s="2" t="inlineStr">
        <is>
          <t>Właściciel</t>
        </is>
      </c>
      <c r="F36" s="2" t="inlineStr">
        <is>
          <t>K2-01, K6</t>
        </is>
      </c>
    </row>
    <row r="37">
      <c r="A37" s="2" t="inlineStr">
        <is>
          <t>D36</t>
        </is>
      </c>
      <c r="B37" s="2" t="inlineStr">
        <is>
          <t>Prawa PRz w chwili wdrożenia (K2-02): mechanizm z § 11 umowy konsorcjum, bez zmian w umowie</t>
        </is>
      </c>
      <c r="C37" s="2" t="inlineStr">
        <is>
          <t>Umowa konsorcjum (§ 11 ust. 7-11): prawo pierwszeństwa Lidera do przeniesienia praw PRz, oświadczenie w ciągu 120 dni od wyników i końca projektu (do 28.08.2029), wycena niezależnego eksperta nadzorowana przez Radę, 7 dni na zastrzeżenia PRz, drugi ekspert i średnia przy sporze. Umowa nie narzuca terminu przeniesienia. We wniosku plan: przeniesienie do 30.11.2029 i zapis, że do czasu przeniesienia Everest11 nie sprzedaje produktu opartego na wynikach PRz. Wariant A (zmiana umowy) i B (licencja) odrzucone.</t>
        </is>
      </c>
      <c r="D37" s="16" t="inlineStr">
        <is>
          <t>ZATWIERDZONA (harmonogram do potwierdzenia z PRz)</t>
        </is>
      </c>
      <c r="E37" s="2" t="inlineStr">
        <is>
          <t>Właściciel</t>
        </is>
      </c>
      <c r="F37" s="2" t="inlineStr">
        <is>
          <t>K2-02</t>
        </is>
      </c>
    </row>
    <row r="38">
      <c r="A38" s="2" t="inlineStr">
        <is>
          <t>D37</t>
        </is>
      </c>
      <c r="B38" s="2" t="inlineStr">
        <is>
          <t>Sekcja 6.1: statusy i dostępność zespołu (K5-01, K5-08, K5-09)</t>
        </is>
      </c>
      <c r="C38" s="2" t="inlineStr">
        <is>
          <t>Założenia (do potwierdzenia przez właścicielkę): Kordos, Chrzanowski i Retajczyk na umowie zlecenia z Everest11 (0,4 etatu, 67 h), pozostałe osoby Everest11 na umowie o pracę (warunkowe z 08.06.2026); start 01.11.2026; godziny przy 168 h na etat; Kordos i Chrzanowski mają etat w PRz (razem 235 h), Hajduk etat w Natanek Logistics (252 h), Kosterna 269 h i Wojdat 210 h do 28.02.2027; Natanek Logistics jest partnerem testowym, nie podwykonawcą; funkcja koordynatora wydziałowego Chrzanowskiego zakończona w 2022 r.</t>
        </is>
      </c>
      <c r="D38" s="16" t="inlineStr">
        <is>
          <t>DO POTWIERDZENIA</t>
        </is>
      </c>
      <c r="E38" s="2" t="inlineStr">
        <is>
          <t>Właścicielka</t>
        </is>
      </c>
      <c r="F38" s="2" t="inlineStr">
        <is>
          <t>K5-01, K5-07, K5-08, K5-09</t>
        </is>
      </c>
    </row>
    <row r="39">
      <c r="A39" s="2" t="inlineStr">
        <is>
          <t>D38</t>
        </is>
      </c>
      <c r="B39" s="2" t="inlineStr">
        <is>
          <t>6R: wariant B (reduce) z dwoma wskaźnikami mierzonymi w trakcie projektu</t>
        </is>
      </c>
      <c r="C39" s="2" t="inlineStr">
        <is>
          <t>Zasada reduce, wskaźnik 1: papier, 500 stron A4 do nie więcej niż 50 w 250 kursach testowych (Z6 50 cykli, Z9 200); wskaźnik 2: dane do chmury, 100% do nie więcej niż 5% surowego strumienia (Z7, Z9). Wypełnienie naczep 65% do 80% usunięte. Rozwija D17. Rola PRz: dobór lekkich architektur Z3 i Z8 i niezależne przeliczenie wolumenu.</t>
        </is>
      </c>
      <c r="D39" s="16" t="inlineStr">
        <is>
          <t>DO POTWIERDZENIA</t>
        </is>
      </c>
      <c r="E39" s="2" t="inlineStr">
        <is>
          <t>Właścicielka, dział techniczny</t>
        </is>
      </c>
      <c r="F39" s="2" t="inlineStr">
        <is>
          <t>K13-01..06</t>
        </is>
      </c>
    </row>
    <row r="40">
      <c r="A40" s="2" t="inlineStr">
        <is>
          <t>D39</t>
        </is>
      </c>
      <c r="B40" s="2" t="inlineStr">
        <is>
          <t>Zestaw CargoDT w tabeli dostępności: pozytywny, nie neutralny</t>
        </is>
      </c>
      <c r="C40" s="2" t="inlineStr">
        <is>
          <t>Kierowca jest użytkownikiem (panel HMI i buzzer 100 dB, alert w 3 poziomach), więc neutralność nie spełnia definicji z Instrukcji. API i aparatura badawcza pozostają neutralne.</t>
        </is>
      </c>
      <c r="D40" s="16" t="inlineStr">
        <is>
          <t>ZATWIERDZONA (propozycja, brak sprzeciwu)</t>
        </is>
      </c>
      <c r="E40" s="2" t="inlineStr">
        <is>
          <t>Właścicielka</t>
        </is>
      </c>
      <c r="F40" s="2" t="inlineStr">
        <is>
          <t>K10-05</t>
        </is>
      </c>
    </row>
    <row r="41">
      <c r="A41" s="2" t="inlineStr">
        <is>
          <t>D40</t>
        </is>
      </c>
      <c r="B41" s="2" t="inlineStr">
        <is>
          <t>Wskaźnik przychodów poza RP (FENGR-001): 0 zł w 2030 r.</t>
        </is>
      </c>
      <c r="C41" s="2" t="inlineStr">
        <is>
          <t>Wartość 0 zł w 2030 r. (pierwszy rok sprzedaży tylko w Polsce, brak licencji za granicą); pierwsze przychody poza RP wg modelu od 2032-2033. Model bez zmian. Zatwierdzona przez właścicielkę 02.10.2026.</t>
        </is>
      </c>
      <c r="D41" s="16" t="inlineStr">
        <is>
          <t>ZATWIERDZONA</t>
        </is>
      </c>
      <c r="E41" s="2" t="inlineStr">
        <is>
          <t>Właścicielka</t>
        </is>
      </c>
      <c r="F41" s="2" t="inlineStr">
        <is>
          <t>K14-01</t>
        </is>
      </c>
    </row>
    <row r="42">
      <c r="A42" s="2" t="inlineStr">
        <is>
          <t>D41</t>
        </is>
      </c>
      <c r="B42" s="2" t="inlineStr">
        <is>
          <t>Internacjonalizacja: przebudowa budżetu bez zmiany sumy i dofinansowania</t>
        </is>
      </c>
      <c r="C42" s="2" t="inlineStr">
        <is>
          <t>Suma kwalifikowalna 86 871,00 zł i dofinansowanie 43 435,50 zł bez zmian względem poprzedniej wersji (ogółem 101 273,37 zł zamiast 104 075,78 zł wyłącznie z powodu poprawy VAT: stawki podróży netto=brutto, tłumaczenia z VAT). TRANSLOG 23 919 zł wg cennika historycznego: powierzchnia 9 m² (285 EUR/m²) + opłata podstawowa 350 EUR = 13 735 zł (de minimis 5.3.8); energia 130 EUR, zabudowa 199 EUR/m², meble 240 EUR = 10 184 zł (art. 19, 5.3.2); kurs NBP 4,2836, waloryzacja ok. 10%. Doradztwo 14 dni x 8 h x 125 zł = 14 000 zł; rzecznik 8 000 zł (de minimis) + 15 500 zł (dokumentacja, zgłoszenie, tłumaczenia, art. 28); EPO 7 785 zł; element dekoracyjny stoiska 1 200 zł; podróże 3 x 5 489 zł. Zatwierdzona 02.10.2026.</t>
        </is>
      </c>
      <c r="D42" s="16" t="inlineStr">
        <is>
          <t>ZATWIERDZONA</t>
        </is>
      </c>
      <c r="E42" s="2" t="inlineStr">
        <is>
          <t>Właścicielka</t>
        </is>
      </c>
      <c r="F42" s="2" t="inlineStr">
        <is>
          <t>K3-24, K3-59..66</t>
        </is>
      </c>
    </row>
    <row r="43">
      <c r="A43" s="2" t="inlineStr">
        <is>
          <t>D42</t>
        </is>
      </c>
      <c r="B43" s="2" t="inlineStr">
        <is>
          <t>Amortyzacja: przesunięcia cen przy niezmienionej sumie (Everest11 57 100 zł, PRz 147 700 zł)</t>
        </is>
      </c>
      <c r="C43" s="2" t="inlineStr">
        <is>
          <t>PRz Z1: ToF typ 2 zestaw 10 000 zł, EO typ 2 4 500 zł, radar typ 2 3 500 zł (K3-50). Everest11 Z2: kamera ToF Orbbec Femto Bolt 2 100 zł + akcesoria 400 zł (zamiast OAK-D Pro W, active stereo); platforma edge AI: jednostka 1 400 zł, dysk 400 zł, router 1 200 zł za komplet 3 000 zł (zamiast 500/1 000/1 500). Odpis jednorazowy, likwidacja po M30 (D01).</t>
        </is>
      </c>
      <c r="D43" s="16" t="inlineStr">
        <is>
          <t>DO POTWIERDZENIA</t>
        </is>
      </c>
      <c r="E43" s="2" t="inlineStr">
        <is>
          <t>Właścicielka, dział techniczny</t>
        </is>
      </c>
      <c r="F43" s="2" t="inlineStr">
        <is>
          <t>K3-48..58</t>
        </is>
      </c>
    </row>
    <row r="44">
      <c r="A44" s="2" t="inlineStr">
        <is>
          <t>D43</t>
        </is>
      </c>
      <c r="B44" s="2" t="inlineStr">
        <is>
          <t>PRz Z8: godziny obniżone do stawek z Z1-Z5, budżet bez zmian</t>
        </is>
      </c>
      <c r="C44" s="2" t="inlineStr">
        <is>
          <t>Decyzja właścicielki: stawki godzinowe w Z8 mają być takie same jak w Z1, Z3, Z4, Z5 (x1,08 względem dotychczasowych liczb w Z8), a godziny są obniżone (np. główny specjalista 301 zamiast 325). Godziny Z8: 301, 301, 111, 102, 224, 185, 189, 185; suma Z8 113 076,00 zł (było 113 084,00); suma pozycji osobowych PRz 679 464,72 zł (było 679 472,72). Z1, Z3, Z4, Z5 bez zmian (zgodne z plikiem PRz).</t>
        </is>
      </c>
      <c r="D44" s="16" t="inlineStr">
        <is>
          <t>ZATWIERDZONA (właścicielka)</t>
        </is>
      </c>
      <c r="E44" s="2" t="inlineStr">
        <is>
          <t>Właścicielka, PRz</t>
        </is>
      </c>
      <c r="F44" s="2" t="inlineStr">
        <is>
          <t>K3-41, K3-42</t>
        </is>
      </c>
    </row>
    <row r="45">
      <c r="A45" s="2" t="inlineStr">
        <is>
          <t>D44</t>
        </is>
      </c>
      <c r="B45" s="2" t="inlineStr">
        <is>
          <t>Podwykonawstwo Z2/Z9: średnia z 3 ofert, rozdział zakresu, R8</t>
        </is>
      </c>
      <c r="C45" s="2" t="inlineStr">
        <is>
          <t>Z2 150 000 zł: montaż toru (M7-M8) i demontaż po kampanii (M18), 600 godz. x 250 zł (50 000 zł za pojazd). Z9 70 000 zł: montaż zestawów prototypowych (M22) i demontaż (M30), ok. 280 godz. x 250 zł (ok. 23 333 zł za pojazd). Kwoty to średnia 3 ofert (Cadway-Automotive, RLE VESOFTX, BEISSBARTH EQUIPMENT); rozkład godzin to kalkulacja Everest11 dobrana do ofert. Stawka 250 zł/h w zakresie 200-300 zł (kb.pl, Interia, cenauslug.pl; do sprawdzenia w przeglądarce). Wybór wykonawcy z zachowaniem zasady konkurencyjności. Nazwa Z9 wg N29. R8 przepisane. WERSJA OSTATECZNA: plik Sekcja_3.1_podwykonawstwo_i_stawki_PRz.docx z poprawkami właścicielki (usunięto zdanie „Podwykonawca nie wykona prac badawczych”, atrybucję godzin do IoT Specialist i odwołanie do pkt 6.4 w wyborze wykonawcy).</t>
        </is>
      </c>
      <c r="D45" s="16" t="inlineStr">
        <is>
          <t>ZATWIERDZONA (D08), szczegóły do potwierdzenia T37</t>
        </is>
      </c>
      <c r="E45" s="2" t="inlineStr">
        <is>
          <t>Właścicielka</t>
        </is>
      </c>
      <c r="F45" s="2" t="inlineStr">
        <is>
          <t>K3-43..47, K5-19</t>
        </is>
      </c>
    </row>
    <row r="46">
      <c r="A46" s="2" t="inlineStr">
        <is>
          <t>D45</t>
        </is>
      </c>
      <c r="B46" s="2" t="inlineStr">
        <is>
          <t>K6-07: dane za II kwartał 2026 w modelu Everest11 i prognoza dotychczasowej działalności z I półrocza x 2</t>
        </is>
      </c>
      <c r="C46" s="2" t="inlineStr">
        <is>
          <t>Do modelu wpisane: data sprawozdania 30.06.2026 (Założenia C14), bilans i RZiS (Sprawozdania finansowe, kol. F) oraz prognoza dotychczasowej działalności z wyniku I półrocza razy 2 (Przychody w. 27: 19 526,84; Koszty w. 15, 24, 43, 65). Wpływ: zysk netto łącznie 2026 996 -&gt; 962 tys. zł, środki na koniec 2026 2 648 -&gt; 2 564 tys. zł, wskaźniki bez istotnych zmian, opłacalność bez zmian. Dwie komórki (F82, F195) z zaokrągleniem o 0,11 i 0,02 tys. zł, by bilans się zgadzał.</t>
        </is>
      </c>
      <c r="D46" s="16" t="inlineStr">
        <is>
          <t>DO POTWIERDZENIA</t>
        </is>
      </c>
      <c r="E46" s="2" t="inlineStr">
        <is>
          <t>Właścicielka</t>
        </is>
      </c>
      <c r="F46" s="2" t="inlineStr">
        <is>
          <t>K6-07, K6-06, K6-09</t>
        </is>
      </c>
    </row>
    <row r="47">
      <c r="A47" s="2" t="inlineStr">
        <is>
          <t>D46</t>
        </is>
      </c>
      <c r="B47" s="2" t="inlineStr">
        <is>
          <t>Rotacje dotychczasowej działalności: poziom z I półrocza 2026 (należności 37 dni, zobowiązania 29 dni) zamiast średniej 2023-2025</t>
        </is>
      </c>
      <c r="C47" s="2" t="inlineStr">
        <is>
          <t>Model: średnia 2023-2025 (96-133 dni). Rzeczywiste: 59 dni (31.03.2026), 29 dni (30.06.2026). Wrażliwość: przy 60 dniach środki na koniec 2026 760 tys. zł, przy 29 dniach -793 tys. zł. Rekomendacja: wariant A i wyjaśnienie księgowej (T40), albo wariant B (60 dni).</t>
        </is>
      </c>
      <c r="D47" s="16" t="inlineStr">
        <is>
          <t>WPROWADZONA W MODELU (do potwierdzenia przez właścicielkę)</t>
        </is>
      </c>
      <c r="E47" s="2" t="inlineStr">
        <is>
          <t>Właścicielka, księgowa</t>
        </is>
      </c>
      <c r="F47" s="2" t="inlineStr">
        <is>
          <t>K6-04, K6-08</t>
        </is>
      </c>
    </row>
    <row r="48">
      <c r="A48" s="2" t="inlineStr">
        <is>
          <t>D47</t>
        </is>
      </c>
      <c r="B48" s="2" t="inlineStr">
        <is>
          <t>Zakupy od Natanek Logistics (ok. 95% usług obcych) opisujemy wprost; Natanek Logistics nie jest „niezależnym klientem”</t>
        </is>
      </c>
      <c r="C48" s="2" t="inlineStr">
        <is>
          <t>Decyzja właścicielki 05.10.2026: piszemy wprost o skali (ok. 13,4 mln zł w 2025, ok. 8,4 mln zł w I półroczu 2026). Zmiany: ryzyko R12 (Opisy zadań, Poprawki), opis Z9 (niezależność walidacji), pkt 1.3 (Natanek Logistics powiązany z Inwestorem), komentarz Sprawozdania w modelu.</t>
        </is>
      </c>
      <c r="D48" s="16" t="inlineStr">
        <is>
          <t>ZATWIERDZONA</t>
        </is>
      </c>
      <c r="E48" s="2" t="inlineStr">
        <is>
          <t>Właścicielka</t>
        </is>
      </c>
      <c r="F48" s="2" t="inlineStr">
        <is>
          <t>K3-32, K3-11, K6-16</t>
        </is>
      </c>
    </row>
    <row r="49">
      <c r="A49" s="2" t="inlineStr">
        <is>
          <t>D48</t>
        </is>
      </c>
      <c r="B49" s="2" t="inlineStr">
        <is>
          <t>Dotychczasowa działalność: jeden odbiorca (Amazon, umowa); usunięte „ponad 50 aktywnych kontrahentów”</t>
        </is>
      </c>
      <c r="C49" s="2" t="inlineStr">
        <is>
          <t>Decyzja właścicielki 05.10.2026: Amazon to jedyny aktywny odbiorca w 2026 (95% w 2025, 5% Nara Motors). Usunięte sformułowania o bazie 50+ w pkt 1.3 (3 miejsca), komentarzach modelu (Przychody, Koszty, Opłacalność) i planie zastępczym R11. Kanał sprzedaży CargoDT: trzej operatorzy z LOI na 50 naczep, sprzedaż bezpośrednia, 15 rozmów (III-V 2026).</t>
        </is>
      </c>
      <c r="D49" s="16" t="inlineStr">
        <is>
          <t>ZATWIERDZONA</t>
        </is>
      </c>
      <c r="E49" s="2" t="inlineStr">
        <is>
          <t>Właścicielka</t>
        </is>
      </c>
      <c r="F49" s="2" t="inlineStr">
        <is>
          <t>K2-01, K2-16, K6-05</t>
        </is>
      </c>
    </row>
    <row r="50">
      <c r="A50" s="2" t="inlineStr">
        <is>
          <t>D49</t>
        </is>
      </c>
      <c r="B50" s="2" t="inlineStr">
        <is>
          <t>K6-12: struktura udziałów po dokapitalizowaniu</t>
        </is>
      </c>
      <c r="C50" s="2" t="inlineStr">
        <is>
          <t>Jedyny wspólnik: Wojciech Chrzanowski (KRS: wpis 02.06.2025, 100 udziałów, 5 000 zł). Po przyznaniu dofinansowania wycena spółki, Z. Natanek obejmie udziały zgodnie z wyceną, nie więcej niż 20%. Przy wkładzie 1 253 358 zł 20% to wycena po podwyższeniu ok. 6,3 mln zł. Komentarz w arkuszu Finansowanie.</t>
        </is>
      </c>
      <c r="D50" s="16" t="inlineStr">
        <is>
          <t>ZATWIERDZONA</t>
        </is>
      </c>
      <c r="E50" s="2" t="inlineStr">
        <is>
          <t>Właścicielka</t>
        </is>
      </c>
      <c r="F50" s="2" t="inlineStr">
        <is>
          <t>K6-12</t>
        </is>
      </c>
    </row>
    <row r="51">
      <c r="A51" s="2" t="inlineStr">
        <is>
          <t>D50</t>
        </is>
      </c>
      <c r="B51" s="2" t="inlineStr">
        <is>
          <t>Zasada organizacyjna: korygujemy tylko model Everest11, dokument K6 i rejestr; pozostałe pliki są zamknięte</t>
        </is>
      </c>
      <c r="C51" s="2" t="inlineStr">
        <is>
          <t>Decyzja właścicielki 05.10.2026: Sekcja_1.3_i_ceny.docx, Poprawki_do_wklejenia_WP01-WP03.docx, Opisy_zadan_z_kamieniami_milowymi.docx nie są zmieniane. Wszystkie zmiany do nich opisuje odrębne zestawienie Zmiany_do_wprowadzenia_w_plikach_zamknietych.docx. Trzy pliki przywrócone do wersji sprzed zmian z 05.10.</t>
        </is>
      </c>
      <c r="D51" s="16" t="inlineStr">
        <is>
          <t>ZATWIERDZONA</t>
        </is>
      </c>
      <c r="E51" s="2" t="inlineStr">
        <is>
          <t>Właścicielka</t>
        </is>
      </c>
      <c r="F51" s="2" t="inlineStr">
        <is>
          <t>D47, D48, N83</t>
        </is>
      </c>
    </row>
    <row r="52">
      <c r="A52" s="2" t="inlineStr">
        <is>
          <t>D51</t>
        </is>
      </c>
      <c r="B52" s="2" t="inlineStr">
        <is>
          <t>K6-12: kapitał zakładowy rośnie tylko o wartość nominalną, wkład inwestora to głównie nadwyżka na kapitał zapasowy</t>
        </is>
      </c>
      <c r="C52" s="2" t="inlineStr">
        <is>
          <t>Zastępuje zdanie o wycenie 6,3 mln zł. Inwestor obejmuje wszystkie nowe udziały, dotychczasowy wspólnik niczego nie wnosi (25 udziałów po 50 zł = 1 250 zł nominalnie przy 20%). Wycena po przyznaniu dofinansowania określa liczbę udziałów i cenę emisyjną. Uwaga: przy wkładzie 1 253 358 zł i limicie 20% wycena po podwyższeniu musi wynieść co najmniej ok. 6,3 mln zł (przed ok. 5,0 mln zł).</t>
        </is>
      </c>
      <c r="D52" s="16" t="inlineStr">
        <is>
          <t>ZATWIERDZONA (tekst), ryzyko wyceny do świadomości właścicielki</t>
        </is>
      </c>
      <c r="E52" s="2" t="inlineStr">
        <is>
          <t>Właścicielka</t>
        </is>
      </c>
      <c r="F52" s="2" t="inlineStr">
        <is>
          <t>K6-12</t>
        </is>
      </c>
    </row>
    <row r="53">
      <c r="A53" s="2" t="inlineStr">
        <is>
          <t>D52</t>
        </is>
      </c>
      <c r="B53" s="2" t="inlineStr">
        <is>
          <t>K6-14: harmonogram płatności skorygowany (suma zaliczek 89,5% Everest11 i 89,63% konsorcjum)</t>
        </is>
      </c>
      <c r="C53" s="2" t="inlineStr">
        <is>
          <t>Wcześniejsza weryfikacja K6-14 była błędna (zaliczka liczona jako F razy H). Poprawnie suma zaliczek wynosiła 91,63% i 91,21% (limit 90%), refundacja końcowa 8,4% i 8,8%. Przesunięte 63 048,12 zł dofinansowania z II półrocza 2028 do II półrocza 2029 w obu arkuszach (Everest11 i Konsorcjum). Sumy bez zmian. Plik PRz ma 90,0% i 10,0%.</t>
        </is>
      </c>
      <c r="D53" s="16" t="inlineStr">
        <is>
          <t>WPROWADZONA W MODELU</t>
        </is>
      </c>
      <c r="E53" s="2" t="inlineStr">
        <is>
          <t>Claude</t>
        </is>
      </c>
      <c r="F53" s="2" t="inlineStr">
        <is>
          <t>K6-14</t>
        </is>
      </c>
    </row>
    <row r="54">
      <c r="A54" s="2" t="inlineStr">
        <is>
          <t>D53</t>
        </is>
      </c>
      <c r="B54" s="2" t="inlineStr">
        <is>
          <t>K2-13 i N58: koszt docelowy zestawu 4 875 zł (9 komponentów) i zespół komercjalizacji 1,5-4,5 etatu przy 19,2 tys. zł/etat</t>
        </is>
      </c>
      <c r="C54" s="2" t="inlineStr">
        <is>
          <t>Propozycja Claude na prośbę właścicielki („wiarygodnie i spójnie”). Tylko cena Jetson (399 USD, 1KU+) pochodzi z cennika; pozostałe ceny to założenia klasy OEM do potwierdzenia ofertami w Z7. Etaty wynikają dokładnie z kwot w modelu; widełki płac z Hays Salary Guide 2026 (13 000-19 000 zł brutto). Wrażliwość: koszt +1 000 zł obniża marżę brutto z 35% do 22%.</t>
        </is>
      </c>
      <c r="D54" s="16" t="inlineStr">
        <is>
          <t>DO ZATWIERDZENIA (dział techniczny, właścicielka)</t>
        </is>
      </c>
      <c r="E54" s="2" t="inlineStr">
        <is>
          <t>Dział techniczny, właścicielka</t>
        </is>
      </c>
      <c r="F54" s="2" t="inlineStr">
        <is>
          <t>K2-12, K2-13, N58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ZROBIONE 05.10 (sprawozdanie II kw., księgowa, KRS, polityka rachunkowości); zob. T44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WYCOFANE (D48): brak bazy 50+ aktywnych kontrahentów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PROPOZYCJA GOTOWA (D53); czeka na dział techniczny (T46)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  <row r="11">
      <c r="A11" s="4" t="inlineStr">
        <is>
          <t>T10</t>
        </is>
      </c>
      <c r="B11" s="4" t="inlineStr">
        <is>
          <t>Oferty cenowe dla wskaźnika I1 (1.4): zapytania do co najmniej 3 dostawców rozwiązań o zbliżonej funkcji (monitoring warunków + obraz lub zajętość przestrzeni ładunkowej, subskrypcja i zestaw na 5 lat), z datami zapytań</t>
        </is>
      </c>
      <c r="C11" s="4" t="inlineStr">
        <is>
          <t>Publicznych cen nie znaleziono. Bez ofert wskaźnik I1 nie ma wiarygodnej wartości bazowej i zostanie zastąpiony innym wskaźnikiem 1.4.</t>
        </is>
      </c>
      <c r="D11" s="4" t="inlineStr">
        <is>
          <t>Właściciel</t>
        </is>
      </c>
      <c r="E11" s="4" t="inlineStr">
        <is>
          <t>05.10</t>
        </is>
      </c>
      <c r="F11" s="4" t="inlineStr">
        <is>
          <t>K1-05, N39, D33</t>
        </is>
      </c>
      <c r="G11" s="4" t="inlineStr">
        <is>
          <t>OTWARTE</t>
        </is>
      </c>
    </row>
    <row r="12">
      <c r="A12" s="4" t="inlineStr">
        <is>
          <t>T11</t>
        </is>
      </c>
      <c r="B12" s="4" t="inlineStr">
        <is>
          <t>Potwierdzenie technicznie wartości zakładanych w D33: baza AUC detektora progowego ≤0,70, baza mAP ≤0,40, błąd przemieszczenia względnego 0,03 m / 0,05 m, zdarzenie inicjujące PoL i PoC</t>
        </is>
      </c>
      <c r="C12" s="4" t="inlineStr">
        <is>
          <t>Wartości zastąpią pomiary z Z4, Z5 i Z8; oznaczone na żółto w pliku Wskazniki_innowacyjnosci_1.2_i_1.4.docx.</t>
        </is>
      </c>
      <c r="D12" s="4" t="inlineStr">
        <is>
          <t>Właściciel (dział techniczny)</t>
        </is>
      </c>
      <c r="E12" s="4" t="inlineStr">
        <is>
          <t>05.10</t>
        </is>
      </c>
      <c r="F12" s="4" t="inlineStr">
        <is>
          <t>K1-02 do K1-04, D33</t>
        </is>
      </c>
      <c r="G12" s="4" t="inlineStr">
        <is>
          <t>OTWARTE</t>
        </is>
      </c>
    </row>
    <row r="13">
      <c r="A13" s="4" t="inlineStr">
        <is>
          <t>T12</t>
        </is>
      </c>
      <c r="B13" s="4" t="inlineStr">
        <is>
          <t>Sprawdzenie źródeł i kart katalogowych konkurencji (Blickfeld, Ouster, SkyBitz, Schmitz, Tive, Arviem, Nexxiot), nazwy produktów, Hosmer-Lemeshow, prEN 17321, EN 13382, akty do rozporządzenia 2020/1056, oryginał badania PITD</t>
        </is>
      </c>
      <c r="C13" s="4" t="inlineStr">
        <is>
          <t>Dane w pliku z wyszukiwarki z 02.10.2026, przed wpisaniem do LSI pobrać karty i dopisać adresy oraz daty dostępu. Nazwy: Nexxiot Globehopper (nie Globe+), Blickfeld Qb2/QbVolume (nie QbScan).</t>
        </is>
      </c>
      <c r="D13" s="4" t="inlineStr">
        <is>
          <t>Właściciel + Claude</t>
        </is>
      </c>
      <c r="E13" s="4" t="inlineStr">
        <is>
          <t>05.10</t>
        </is>
      </c>
      <c r="F13" s="4" t="inlineStr">
        <is>
          <t>K1-01, N37</t>
        </is>
      </c>
      <c r="G13" s="4" t="inlineStr">
        <is>
          <t>OTWARTE</t>
        </is>
      </c>
    </row>
    <row r="14">
      <c r="A14" s="4" t="inlineStr">
        <is>
          <t>T13</t>
        </is>
      </c>
      <c r="B14" s="4" t="inlineStr">
        <is>
          <t>Sprawdzenie w Espacenet i Google Patents dokumentów wskazanych przez wyszukiwarkę (US 11,151,506 B2, US 11,685,400 B2, US 2013/0342653 A1, US 7,468,660 B2, US 9,965,939 B1, EP 3103072 i rodzina UPS, US 10,769,576 B2, US 11,370,348 B2)</t>
        </is>
      </c>
      <c r="C14" s="4" t="inlineStr">
        <is>
          <t>Dane z wyszukiwarki były sprzeczne i niezweryfikowane. Najpierw potwierdzenie, potem ewentualna zmiana wniosku.</t>
        </is>
      </c>
      <c r="D14" s="4" t="inlineStr">
        <is>
          <t>Właściciel (rzecznik patentowy) + Claude</t>
        </is>
      </c>
      <c r="E14" s="4" t="inlineStr">
        <is>
          <t>06.10</t>
        </is>
      </c>
      <c r="F14" s="4" t="inlineStr">
        <is>
          <t>K2-03, N38</t>
        </is>
      </c>
      <c r="G14" s="4" t="inlineStr">
        <is>
          <t>OTWARTE</t>
        </is>
      </c>
    </row>
    <row r="15">
      <c r="A15" s="4" t="inlineStr">
        <is>
          <t>T14</t>
        </is>
      </c>
      <c r="B15" s="4" t="inlineStr">
        <is>
          <t>Metoda SAM 200 000: udział nadwozi zamkniętych i kurtynowych oraz naczep bez telematyki fabrycznej w 544,97 tys. naczep (CEPiK/PZPM albo własna analiza)</t>
        </is>
      </c>
      <c r="C15" s="4" t="inlineStr">
        <is>
          <t>Metoda SAM opracowana z danych publicznych (Aneks A pliku Sekcja_1.3_i_ceny.docx). Do zrobienia: sprawdzenie liczb PZPM i nowszych danych o telematyce naczep.</t>
        </is>
      </c>
      <c r="D15" s="4" t="inlineStr">
        <is>
          <t>Właściciel + Claude</t>
        </is>
      </c>
      <c r="E15" s="4" t="inlineStr">
        <is>
          <t>06.10</t>
        </is>
      </c>
      <c r="F15" s="4" t="inlineStr">
        <is>
          <t>K2-05, N40</t>
        </is>
      </c>
      <c r="G15" s="4" t="inlineStr">
        <is>
          <t>CZĘŚCIOWO</t>
        </is>
      </c>
    </row>
    <row r="16">
      <c r="A16" s="4" t="inlineStr">
        <is>
          <t>T15</t>
        </is>
      </c>
      <c r="B16" s="4" t="inlineStr">
        <is>
          <t>Dane z rozmów z klientami i listów intencyjnych: liczba rozmów, treść LOI (liczba naczep, warunki, termin), struktura bazy 50+ kontrahentów, stan rozmów z ubezpieczycielem, nazwy targów z Z10</t>
        </is>
      </c>
      <c r="C16" s="4" t="inlineStr">
        <is>
          <t>Podane: 15 rozmów z potencjalnymi klientami (marzec-maj 2026), stan rozmów z ubezpieczycielem bez zmian, targi z wniosku, LOI. Pozostaje opcjonalnie struktura bazy 50+ (Aneks C).</t>
        </is>
      </c>
      <c r="D16" s="4" t="inlineStr">
        <is>
          <t>Właściciel</t>
        </is>
      </c>
      <c r="E16" s="4" t="inlineStr">
        <is>
          <t>05.10</t>
        </is>
      </c>
      <c r="F16" s="4" t="inlineStr">
        <is>
          <t>K2-01, K2-10, K2-11</t>
        </is>
      </c>
      <c r="G16" s="4" t="inlineStr">
        <is>
          <t>CZĘŚCIOWO</t>
        </is>
      </c>
    </row>
    <row r="17">
      <c r="A17" s="4" t="inlineStr">
        <is>
          <t>T16</t>
        </is>
      </c>
      <c r="B17" s="4" t="inlineStr">
        <is>
          <t>Koszt serii zestawu (BOM), koszt montażu, koszt obsługi subskrypcji na pojazd</t>
        </is>
      </c>
      <c r="C17" s="4" t="inlineStr">
        <is>
          <t>Wymagane do uzasadnienia cen (K2-06) i decyzji D11. Po decyzji o 4 875 zł potrzebna tylko podstawa tej kwoty (konfiguracja zestawu produkcyjnego, źródła cen) i koszt obsługi subskrypcji (hosting 50 zł już w modelu).</t>
        </is>
      </c>
      <c r="D17" s="4" t="inlineStr">
        <is>
          <t>Właściciel (dział techniczny) + Claude</t>
        </is>
      </c>
      <c r="E17" s="4" t="inlineStr">
        <is>
          <t>05.10</t>
        </is>
      </c>
      <c r="F17" s="4" t="inlineStr">
        <is>
          <t>K2-06, K2-12, K2-13, D11</t>
        </is>
      </c>
      <c r="G17" s="4" t="inlineStr">
        <is>
          <t>PROPOZYCJA GOTOWA (D53); czeka na dział techniczny (T46)</t>
        </is>
      </c>
    </row>
    <row r="18">
      <c r="A18" s="4" t="inlineStr">
        <is>
          <t>T17</t>
        </is>
      </c>
      <c r="B18" s="4" t="inlineStr">
        <is>
          <t>Ponowne podpisanie listów intencyjnych trzech operatorów (łącznie 50 naczep) z elementami z Aneksu B (profil operatora, liczba naczep, warunki cenowe, kryteria zakupu, dane o szkodach, ważność do 31.12.2030, zgoda na wskazanie z nazwy)</t>
        </is>
      </c>
      <c r="C18" s="4" t="inlineStr">
        <is>
          <t>Listy podpisane ponownie z wszystkimi elementami z Aneksu B (potwierdzenie właścicielki 02.10.2026): 20, 20 i 10 naczep, łącznie 50.</t>
        </is>
      </c>
      <c r="D18" s="4" t="inlineStr">
        <is>
          <t>Właściciel</t>
        </is>
      </c>
      <c r="E18" s="4" t="inlineStr">
        <is>
          <t>05.10</t>
        </is>
      </c>
      <c r="F18" s="4" t="inlineStr">
        <is>
          <t>K2-01, K2-06, D35</t>
        </is>
      </c>
      <c r="G18" s="4" t="inlineStr">
        <is>
          <t>ZROBIONE</t>
        </is>
      </c>
    </row>
    <row r="19">
      <c r="A19" s="4" t="inlineStr">
        <is>
          <t>T18</t>
        </is>
      </c>
      <c r="B19" s="4" t="inlineStr">
        <is>
          <t>Wypełnienie tabeli struktury bazy 50+ kontrahentów z CRM i karty rozmowy dla 15 rozmów (Aneks C)</t>
        </is>
      </c>
      <c r="C19" s="4" t="inlineStr">
        <is>
          <t>Daje sumy do tekstu 1.3 i 2.1.</t>
        </is>
      </c>
      <c r="D19" s="4" t="inlineStr">
        <is>
          <t>Właściciel</t>
        </is>
      </c>
      <c r="E19" s="4" t="inlineStr">
        <is>
          <t>05.10</t>
        </is>
      </c>
      <c r="F19" s="4" t="inlineStr">
        <is>
          <t>K2-01, K2-11</t>
        </is>
      </c>
      <c r="G19" s="4" t="inlineStr">
        <is>
          <t>WYCOFANE (D48): brak bazy 50+ aktywnych kontrahentów</t>
        </is>
      </c>
    </row>
    <row r="20">
      <c r="A20" s="4" t="inlineStr">
        <is>
          <t>T19</t>
        </is>
      </c>
      <c r="B20" s="4" t="inlineStr">
        <is>
          <t>Pobranie z Eurostatu liczby naczep w Czechach, Słowacji, na Węgrzech i w Rumunii (road_eqs_semit) albo usunięcie wielkości rynku CEE z 1.3, 2.1 (Segment 3) i Z10 (3.2.2)</t>
        </is>
      </c>
      <c r="C20" s="4" t="inlineStr">
        <is>
          <t>Obecne „400 000-600 000 naczep” nie ma źródła.</t>
        </is>
      </c>
      <c r="D20" s="4" t="inlineStr">
        <is>
          <t>Właściciel + Claude</t>
        </is>
      </c>
      <c r="E20" s="4" t="inlineStr">
        <is>
          <t>06.10</t>
        </is>
      </c>
      <c r="F20" s="4" t="inlineStr">
        <is>
          <t>K2-05, N47</t>
        </is>
      </c>
      <c r="G20" s="4" t="inlineStr">
        <is>
          <t>OTWARTE</t>
        </is>
      </c>
    </row>
    <row r="21">
      <c r="A21" s="4" t="inlineStr">
        <is>
          <t>T20</t>
        </is>
      </c>
      <c r="B21" s="4" t="inlineStr">
        <is>
          <t>Ocena rzecznika patentowego (jeśli zlecona): zastrzeżenia US 11,151,506 B2 i ewentualnie rodziny UPS EP 3103072; sprawdzenie rodzin w Espacenet</t>
        </is>
      </c>
      <c r="C21" s="4" t="inlineStr">
        <is>
          <t>Bez zwiększenia budżetu projektu (środki własne Everest11).</t>
        </is>
      </c>
      <c r="D21" s="4" t="inlineStr">
        <is>
          <t>Właściciel</t>
        </is>
      </c>
      <c r="E21" s="4" t="inlineStr">
        <is>
          <t>05.10</t>
        </is>
      </c>
      <c r="F21" s="4" t="inlineStr">
        <is>
          <t>K2-03, N51</t>
        </is>
      </c>
      <c r="G21" s="4" t="inlineStr">
        <is>
          <t>ANULOWANE (decyzja: bez rzecznika)</t>
        </is>
      </c>
    </row>
    <row r="22">
      <c r="A22" s="4" t="inlineStr">
        <is>
          <t>T21</t>
        </is>
      </c>
      <c r="B22" s="4" t="inlineStr">
        <is>
          <t>Trzy proste decyzje o produkcji zestawów: (1) kto kompletuje: własny zespół czy firma zewnętrzna, (2) kto robi badania CE: laboratorium wybrane w zapytaniu ofertowym, (3) skąd środki na badania i pierwszą serię: kapitał własny Lidera; plus akceptacja założeń zasobów (3 h montażu, 0,3 h wsparcia, parametry chmury)</t>
        </is>
      </c>
      <c r="C22" s="4" t="inlineStr">
        <is>
          <t>Zatwierdzone 02.10.2026: kompletacja pierwszej serii własnym zespołem, od 2032 firma zewnętrzna z zapytania ofertowego; badania CE w laboratorium z zapytania; finansowanie z kapitału własnego Lidera; założenia 3 h montażu, 0,3 h wsparcia i parametry chmury przyjęte. Teksty 2.5 bez nazw i kwot.</t>
        </is>
      </c>
      <c r="D22" s="4" t="inlineStr">
        <is>
          <t>Właściciel (Kozioł, Ruciński)</t>
        </is>
      </c>
      <c r="E22" s="4" t="inlineStr">
        <is>
          <t>05.10</t>
        </is>
      </c>
      <c r="F22" s="4" t="inlineStr">
        <is>
          <t>K2-04, K2-07</t>
        </is>
      </c>
      <c r="G22" s="4" t="inlineStr">
        <is>
          <t>ZROBIONE</t>
        </is>
      </c>
    </row>
    <row r="23">
      <c r="A23" s="4" t="inlineStr">
        <is>
          <t>T22</t>
        </is>
      </c>
      <c r="B23" s="4" t="inlineStr">
        <is>
          <t>Brzmienie zapisu umowy konsorcjum o terminie przeniesienia praw PRz (do decyzji D36)</t>
        </is>
      </c>
      <c r="C23" s="4" t="inlineStr">
        <is>
          <t>Potrzebne do wyboru wariantu A lub B.</t>
        </is>
      </c>
      <c r="D23" s="4" t="inlineStr">
        <is>
          <t>Właściciel</t>
        </is>
      </c>
      <c r="E23" s="4" t="inlineStr">
        <is>
          <t>03.10</t>
        </is>
      </c>
      <c r="F23" s="4" t="inlineStr">
        <is>
          <t>K2-02, D36</t>
        </is>
      </c>
      <c r="G23" s="4" t="inlineStr">
        <is>
          <t>ZROBIONE (§ 11 przekazany 02.10.2026)</t>
        </is>
      </c>
    </row>
    <row r="24">
      <c r="A24" s="4" t="inlineStr">
        <is>
          <t>T23</t>
        </is>
      </c>
      <c r="B24" s="4" t="inlineStr">
        <is>
          <t>Potwierdzenie założeń sekcji 6.1 (D37): formy umów, etaty poza projektem (PRz, Natanek Logistics), brak funkcji zarządczych w PRz, Natanek jako partner a nie podwykonawca, umowa o poufności</t>
        </is>
      </c>
      <c r="C24" s="4" t="inlineStr">
        <is>
          <t>Teksty 6.1 są napisane przy tych założeniach; jeśli któreś jest inne, zmieni się zdanie w polach „Sposób zarządzania”, „Status współpracy” i dopiskach do doświadczenia.</t>
        </is>
      </c>
      <c r="D24" s="4" t="inlineStr">
        <is>
          <t>Właścicielka</t>
        </is>
      </c>
      <c r="E24" s="4" t="inlineStr">
        <is>
          <t>03.10</t>
        </is>
      </c>
      <c r="F24" s="4" t="inlineStr">
        <is>
          <t>K5-01, K5-07, K5-08, K5-09</t>
        </is>
      </c>
      <c r="G24" s="4" t="inlineStr">
        <is>
          <t>OTWARTE</t>
        </is>
      </c>
    </row>
    <row r="25">
      <c r="A25" s="4" t="inlineStr">
        <is>
          <t>T24</t>
        </is>
      </c>
      <c r="B25" s="4" t="inlineStr">
        <is>
          <t>Dane do sekcji 6.2-6.4 (K5-12 do K5-19): biuro (adres, tytuł prawny, powierzchnia, stanowiska), flota Natanek (liczba i typy pojazdów, okres, podstawa, odpłatność, prawo do danych), sprzęt IT i WNiP Everest11, infrastruktura PRz (EMC, fotogrametria, GPU)</t>
        </is>
      </c>
      <c r="C25" s="4" t="inlineStr">
        <is>
          <t>Dane podane 02.10.2026: biuro (Książkowa 51F, najem na czas nieokreślony, ok. 60 m2), flota (5 zestawów, umowa od 03.2025, prawo do danych), PRz posiada EMC, fotogrametrię i GPU. Pozostaje T25 i T26.</t>
        </is>
      </c>
      <c r="D25" s="4" t="inlineStr">
        <is>
          <t>Właścicielka (Everest11, PRz)</t>
        </is>
      </c>
      <c r="E25" s="4" t="inlineStr">
        <is>
          <t>03.10</t>
        </is>
      </c>
      <c r="F25" s="4" t="inlineStr">
        <is>
          <t>K5-12 do K5-19</t>
        </is>
      </c>
      <c r="G25" s="4" t="inlineStr">
        <is>
          <t>ZROBIONE</t>
        </is>
      </c>
    </row>
    <row r="26">
      <c r="A26" s="4" t="inlineStr">
        <is>
          <t>T25</t>
        </is>
      </c>
      <c r="B26" s="4" t="inlineStr">
        <is>
          <t>PRz: karta aparatury EMC (model i zakresy), system fotogrametryczny (typ i niepewność), zasoby GPU (liczba, typ, pamięć)</t>
        </is>
      </c>
      <c r="C26" s="4" t="inlineStr">
        <is>
          <t>Trzy żółte pola w sekcji 6.2 (PRz).</t>
        </is>
      </c>
      <c r="D26" s="4" t="inlineStr">
        <is>
          <t>Właścicielka (PRz)</t>
        </is>
      </c>
      <c r="E26" s="4" t="inlineStr">
        <is>
          <t>04.10</t>
        </is>
      </c>
      <c r="F26" s="4" t="inlineStr">
        <is>
          <t>K5-16</t>
        </is>
      </c>
      <c r="G26" s="4" t="inlineStr">
        <is>
          <t>OTWARTE</t>
        </is>
      </c>
    </row>
    <row r="27">
      <c r="A27" s="4" t="inlineStr">
        <is>
          <t>T26</t>
        </is>
      </c>
      <c r="B27" s="4" t="inlineStr">
        <is>
          <t>Everest11: liczba stanowisk w biurze, liczba i dostawca stanowisk komputerowych, narzędzia i repozytoria, prawa do TMS i API, wykaz licencji oprogramowania</t>
        </is>
      </c>
      <c r="C27" s="4" t="inlineStr">
        <is>
          <t>Pola żółte w 6.2 i 6.3 (Everest11).</t>
        </is>
      </c>
      <c r="D27" s="4" t="inlineStr">
        <is>
          <t>Właścicielka (Everest11)</t>
        </is>
      </c>
      <c r="E27" s="4" t="inlineStr">
        <is>
          <t>04.10</t>
        </is>
      </c>
      <c r="F27" s="4" t="inlineStr">
        <is>
          <t>K5-14, K5-15, K5-17</t>
        </is>
      </c>
      <c r="G27" s="4" t="inlineStr">
        <is>
          <t>OTWARTE</t>
        </is>
      </c>
    </row>
    <row r="28">
      <c r="A28" s="4" t="inlineStr">
        <is>
          <t>T27</t>
        </is>
      </c>
      <c r="B28" s="4" t="inlineStr">
        <is>
          <t>Zarząd Everest11: przyjąć 4 dokumenty równościowe do 31.10.2026</t>
        </is>
      </c>
      <c r="C28" s="4" t="inlineStr">
        <is>
          <t>Polityka równego traktowania, procedura rekrutacji i wynagradzania, polityka godzenia pracy z życiem prywatnym, polityka danych osobowych. Tekst 7.1 mówi o przyjęciu przed startem.</t>
        </is>
      </c>
      <c r="D28" s="4" t="inlineStr">
        <is>
          <t>Właścicielka (Everest11)</t>
        </is>
      </c>
      <c r="E28" s="4" t="inlineStr">
        <is>
          <t>31.10</t>
        </is>
      </c>
      <c r="F28" s="4" t="inlineStr">
        <is>
          <t>K10-01</t>
        </is>
      </c>
      <c r="G28" s="4" t="inlineStr">
        <is>
          <t>OTWARTE</t>
        </is>
      </c>
    </row>
    <row r="29">
      <c r="A29" s="4" t="inlineStr">
        <is>
          <t>T28</t>
        </is>
      </c>
      <c r="B29" s="4" t="inlineStr">
        <is>
          <t>PRz: potwierdzić Plan Równości Płci po 2025, regulamin pracy, kodeks etyki, regulacje antymobbingowe; potwierdzić rolę PRz w 6R</t>
        </is>
      </c>
      <c r="C29" s="4" t="inlineStr">
        <is>
          <t>Źródło: zarządzenie Rektora nr 91/2022 (plan na lata 2022-2025). Rola PRz: dobór lekkich architektur Z3 i Z8 i przeliczenie wolumenu danych.</t>
        </is>
      </c>
      <c r="D29" s="4" t="inlineStr">
        <is>
          <t>Właścicielka (PRz)</t>
        </is>
      </c>
      <c r="E29" s="4" t="inlineStr">
        <is>
          <t>04.10</t>
        </is>
      </c>
      <c r="F29" s="4" t="inlineStr">
        <is>
          <t>K10-01, K13-05</t>
        </is>
      </c>
      <c r="G29" s="4" t="inlineStr">
        <is>
          <t>OTWARTE</t>
        </is>
      </c>
    </row>
    <row r="30">
      <c r="A30" s="4" t="inlineStr">
        <is>
          <t>T29</t>
        </is>
      </c>
      <c r="B30" s="4" t="inlineStr">
        <is>
          <t>Dział techniczny: potwierdzić rozmywanie wizerunków w zbiorze, cel 5% danych do chmury, listę kontrolną dostępności w Z9, pomiar papieru</t>
        </is>
      </c>
      <c r="C30" s="4" t="inlineStr">
        <is>
          <t>Teksty 7.2 i 7.4 zawierają te zobowiązania. Zob. część 8 pliku Sekcja_7_zasady_horyzontalne_6R.docx.</t>
        </is>
      </c>
      <c r="D30" s="4" t="inlineStr">
        <is>
          <t>Dział techniczny</t>
        </is>
      </c>
      <c r="E30" s="4" t="inlineStr">
        <is>
          <t>05.10</t>
        </is>
      </c>
      <c r="F30" s="4" t="inlineStr">
        <is>
          <t>K11-01, K13-01..04</t>
        </is>
      </c>
      <c r="G30" s="4" t="inlineStr">
        <is>
          <t>OTWARTE</t>
        </is>
      </c>
    </row>
    <row r="31">
      <c r="A31" s="4" t="inlineStr">
        <is>
          <t>T30</t>
        </is>
      </c>
      <c r="B31" s="4" t="inlineStr">
        <is>
          <t>(zamknięte) TRANSLOG: podział pakietu wg cennika historycznego od właścicielki</t>
        </is>
      </c>
      <c r="C31" s="4" t="inlineStr">
        <is>
          <t>Podział 24 000 zł jest oszacowaniem (16 000 + 8 000); tekst powołuje się na korespondencję.</t>
        </is>
      </c>
      <c r="D31" s="4" t="inlineStr">
        <is>
          <t>Właścicielka</t>
        </is>
      </c>
      <c r="E31" s="4" t="inlineStr">
        <is>
          <t>05.10</t>
        </is>
      </c>
      <c r="F31" s="4" t="inlineStr">
        <is>
          <t>K3-64</t>
        </is>
      </c>
      <c r="G31" s="4" t="inlineStr">
        <is>
          <t>ZROBIONE</t>
        </is>
      </c>
    </row>
    <row r="32">
      <c r="A32" s="4" t="inlineStr">
        <is>
          <t>T31</t>
        </is>
      </c>
      <c r="B32" s="4" t="inlineStr">
        <is>
          <t>Kurs NBP z 09.03.2026: 4,2836 PLN/EUR (podany przez właścicielkę)</t>
        </is>
      </c>
      <c r="C32" s="4" t="inlineStr">
        <is>
          <t>Pozycja 11-3 (opłaty EPO).</t>
        </is>
      </c>
      <c r="D32" s="4" t="inlineStr">
        <is>
          <t>Właścicielka</t>
        </is>
      </c>
      <c r="E32" s="4" t="inlineStr">
        <is>
          <t>04.10</t>
        </is>
      </c>
      <c r="F32" s="4" t="inlineStr">
        <is>
          <t>K3-60</t>
        </is>
      </c>
      <c r="G32" s="4" t="inlineStr">
        <is>
          <t>ZROBIONE</t>
        </is>
      </c>
    </row>
    <row r="33">
      <c r="A33" s="4" t="inlineStr">
        <is>
          <t>T32</t>
        </is>
      </c>
      <c r="B33" s="4" t="inlineStr">
        <is>
          <t>Umowa o wykonywaniu wspólnych praw z PRz przed Z11; wniosek o zmianę PKD do 31.03.2027</t>
        </is>
      </c>
      <c r="C33" s="4" t="inlineStr">
        <is>
          <t>Wyjaśnienie celu w części 9 pliku Sekcja_3.2. De minimis: oświadczenie składane przed podpisaniem umowy, nie jest potrzebne we wniosku.</t>
        </is>
      </c>
      <c r="D33" s="4" t="inlineStr">
        <is>
          <t>Właścicielka, PRz, księgowość</t>
        </is>
      </c>
      <c r="E33" s="4" t="inlineStr">
        <is>
          <t>06.10</t>
        </is>
      </c>
      <c r="F33" s="4" t="inlineStr">
        <is>
          <t>K3-23, K3-24, K2-02</t>
        </is>
      </c>
      <c r="G33" s="4" t="inlineStr">
        <is>
          <t>OTWARTE</t>
        </is>
      </c>
    </row>
    <row r="34">
      <c r="A34" s="4" t="inlineStr">
        <is>
          <t>T33</t>
        </is>
      </c>
      <c r="B34" s="4" t="inlineStr">
        <is>
          <t>Zakupy Everest11 i PRz: potwierdzić ceny w 3 źródłach każdej pozycji amortyzacji (tabela w części 6 pliku Sekcja_3.1)</t>
        </is>
      </c>
      <c r="C34" s="4" t="inlineStr">
        <is>
          <t>W metodach wpisano po 3 dostawców; ceny zweryfikowane dla części składników, dla pozostałych (IMU, UPS supercap, LED, minikomputery PRz) do potwierdzenia.</t>
        </is>
      </c>
      <c r="D34" s="4" t="inlineStr">
        <is>
          <t>Właścicielka (Everest11)</t>
        </is>
      </c>
      <c r="E34" s="4" t="inlineStr">
        <is>
          <t>05.10</t>
        </is>
      </c>
      <c r="F34" s="4" t="inlineStr">
        <is>
          <t>K3-49</t>
        </is>
      </c>
      <c r="G34" s="4" t="inlineStr">
        <is>
          <t>OTWARTE</t>
        </is>
      </c>
    </row>
    <row r="35">
      <c r="A35" s="4" t="inlineStr">
        <is>
          <t>T34</t>
        </is>
      </c>
      <c r="B35" s="4" t="inlineStr">
        <is>
          <t>Księgowa: polityka rachunkowości potwierdzona (jednorazowy odpis kompletów do 10 000 zł); symbole KŚT w ewidencji, nie w polach LSI</t>
        </is>
      </c>
      <c r="C35" s="4" t="inlineStr">
        <is>
          <t>Zob. część 6 pliku Sekcja_3.1_sprzet_i_amortyzacja.docx. Łączy się z T03.</t>
        </is>
      </c>
      <c r="D35" s="4" t="inlineStr">
        <is>
          <t>Właścicielka (księgowa), PRz</t>
        </is>
      </c>
      <c r="E35" s="4" t="inlineStr">
        <is>
          <t>05.10</t>
        </is>
      </c>
      <c r="F35" s="4" t="inlineStr">
        <is>
          <t>K3-50, K3-52, K3-56</t>
        </is>
      </c>
      <c r="G35" s="4" t="inlineStr">
        <is>
          <t>ZROBIONE</t>
        </is>
      </c>
    </row>
    <row r="36">
      <c r="A36" s="4" t="inlineStr">
        <is>
          <t>T35</t>
        </is>
      </c>
      <c r="B36" s="4" t="inlineStr">
        <is>
          <t>Dział techniczny: D06 (konfiguracja kamer), klasa dysku NVMe, pasmo i cena radaru</t>
        </is>
      </c>
      <c r="C36" s="4" t="inlineStr">
        <is>
          <t>D06 kamery; klasa dysku NVMe; pasmo i cena radaru; płyta nośna do Jetsona (ok. 1 000 zł na komplet); klasa switcha PoE+. Czekamy na odpowiedź.</t>
        </is>
      </c>
      <c r="D36" s="4" t="inlineStr">
        <is>
          <t>Dział techniczny</t>
        </is>
      </c>
      <c r="E36" s="4" t="inlineStr">
        <is>
          <t>05.10</t>
        </is>
      </c>
      <c r="F36" s="4" t="inlineStr">
        <is>
          <t>K3-55, K3-49, N54</t>
        </is>
      </c>
      <c r="G36" s="4" t="inlineStr">
        <is>
          <t>WYSŁANE (właścicielka potwierdziła 02.10); czekamy na odpowiedzi</t>
        </is>
      </c>
    </row>
    <row r="37">
      <c r="A37" s="4" t="inlineStr">
        <is>
          <t>T36</t>
        </is>
      </c>
      <c r="B37" s="4" t="inlineStr">
        <is>
          <t>Dwie dodatkowe oferty rzecznika patentowego (poza JWP) na orzeczenie, dokumentację i zgłoszenie EPO</t>
        </is>
      </c>
      <c r="C37" s="4" t="inlineStr">
        <is>
          <t>Wymóg: min. 3 dostawców w metodzie szacowania (Instrukcja i uwaga właścicielki). Po ofertach dopiszę metodę w pozycjach 11-1 i 11-2.</t>
        </is>
      </c>
      <c r="D37" s="4" t="inlineStr">
        <is>
          <t>Właścicielka (Everest11)</t>
        </is>
      </c>
      <c r="E37" s="4" t="inlineStr">
        <is>
          <t>05.10</t>
        </is>
      </c>
      <c r="F37" s="4" t="inlineStr">
        <is>
          <t>K3-61, K3-66</t>
        </is>
      </c>
      <c r="G37" s="4" t="inlineStr">
        <is>
          <t>OTWARTE</t>
        </is>
      </c>
    </row>
    <row r="38">
      <c r="A38" s="4" t="inlineStr">
        <is>
          <t>T37</t>
        </is>
      </c>
      <c r="B38" s="4" t="inlineStr">
        <is>
          <t>Opcjonalnie: e-mail do 3 oferentów o rozbicie ofert na godziny i stawki; sprawdzić 3 źródła stawek (kb.pl, Interia, cenauslug.pl)</t>
        </is>
      </c>
      <c r="C38" s="4" t="inlineStr">
        <is>
          <t>Zob. część 9 dokumentu Sekcja_3.1_podwykonawstwo_i_stawki_PRz.docx. Od odpowiedzi zależy zdanie w opisie Z2 i nazwa pozycji Z2.</t>
        </is>
      </c>
      <c r="D38" s="4" t="inlineStr">
        <is>
          <t>Właścicielka (Everest11)</t>
        </is>
      </c>
      <c r="E38" s="4" t="inlineStr">
        <is>
          <t>05.10</t>
        </is>
      </c>
      <c r="F38" s="4" t="inlineStr">
        <is>
          <t>K3-43, K3-44, K3-45</t>
        </is>
      </c>
      <c r="G38" s="4" t="inlineStr">
        <is>
          <t>OTWARTE</t>
        </is>
      </c>
    </row>
    <row r="39">
      <c r="A39" s="4" t="inlineStr">
        <is>
          <t>T38</t>
        </is>
      </c>
      <c r="B39" s="4" t="inlineStr">
        <is>
          <t>PRz: godziny Z8 objęte oddelegowaniami; wyciąg z tabeli stawek Regulaminu (opcjonalnie)</t>
        </is>
      </c>
      <c r="C39" s="4" t="inlineStr">
        <is>
          <t>Zob. część 6.2 dokumentu Sekcja_3.1_podwykonawstwo_i_stawki_PRz.docx. Godziny Z8: 301, 301, 111, 102, 224, 185, 189, 185.</t>
        </is>
      </c>
      <c r="D39" s="4" t="inlineStr">
        <is>
          <t>PRz (przez Właścicielkę)</t>
        </is>
      </c>
      <c r="E39" s="4" t="inlineStr">
        <is>
          <t>05.10</t>
        </is>
      </c>
      <c r="F39" s="4" t="inlineStr">
        <is>
          <t>K3-41, K3-42</t>
        </is>
      </c>
      <c r="G39" s="4" t="inlineStr">
        <is>
          <t>OTWARTE</t>
        </is>
      </c>
    </row>
    <row r="40">
      <c r="A40" s="4" t="inlineStr">
        <is>
          <t>T39</t>
        </is>
      </c>
      <c r="B40" s="4" t="inlineStr">
        <is>
          <t>Księgowa Everest11: struktura wiekowa należności i zobowiązań na 30.06.2026 (do 30, 31-60, 61-90, &gt;90 dni), zaliczki i przedpłaty od odbiorców</t>
        </is>
      </c>
      <c r="C40" s="4" t="inlineStr">
        <is>
          <t>Bilans pokazuje zaliczki 0 i zapasy 0. Bez tych danych K6-08 nie jest w pełni zamknięte; nie wolno ich zgadywać.</t>
        </is>
      </c>
      <c r="D40" s="4" t="inlineStr">
        <is>
          <t>Właścicielka (Everest11)</t>
        </is>
      </c>
      <c r="E40" s="4" t="inlineStr">
        <is>
          <t>05.10</t>
        </is>
      </c>
      <c r="F40" s="4" t="inlineStr">
        <is>
          <t>K6-08</t>
        </is>
      </c>
      <c r="G40" s="4" t="inlineStr">
        <is>
          <t>ZROBIONE: całość sald do 30 dni, brak zaliczek i zapasów (05.10); do doprecyzowania T44</t>
        </is>
      </c>
    </row>
    <row r="41">
      <c r="A41" s="4" t="inlineStr">
        <is>
          <t>T40</t>
        </is>
      </c>
      <c r="B41" s="4" t="inlineStr">
        <is>
          <t>Księgowa Everest11: wyjaśnić spadek zobowiązań handlowych (7,5 mln zł 31.12.2025 -&gt; 1,4 mln zł 30.06.2026) i należności (4,9 -&gt; 2,0 mln zł)</t>
        </is>
      </c>
      <c r="C41" s="4" t="inlineStr">
        <is>
          <t>Podstawa wyboru wariantu A lub B w D46 i odpowiedzi na K6-04.</t>
        </is>
      </c>
      <c r="D41" s="4" t="inlineStr">
        <is>
          <t>Właścicielka (Everest11)</t>
        </is>
      </c>
      <c r="E41" s="4" t="inlineStr">
        <is>
          <t>05.10</t>
        </is>
      </c>
      <c r="F41" s="4" t="inlineStr">
        <is>
          <t>K6-04, D46</t>
        </is>
      </c>
      <c r="G41" s="4" t="inlineStr">
        <is>
          <t>ZROBIONE: regularne płatności, wcześniej przeterminowania, poziom 2026 utrzymany (05.10)</t>
        </is>
      </c>
    </row>
    <row r="42">
      <c r="A42" s="4" t="inlineStr">
        <is>
          <t>T41</t>
        </is>
      </c>
      <c r="B42" s="4" t="inlineStr">
        <is>
          <t>LSI: załączyć podpisane sprawozdania za II kwartał 2026 (bilans, RZiS na 30.06.2026), usunąć załączniki za I kwartał; wpisać zmiany w modelu wg dokumentu K6</t>
        </is>
      </c>
      <c r="C42" s="4" t="inlineStr">
        <is>
          <t>Zob. Sekcja_K6_sprawozdanie_2Q2026_model.docx, części 2 i 6. Pliki PDF od Everest11 podpisane 02.10.2026. Gotowy plik modelu: Model_finansowy_CargoDT_Everest_II_kwartal_2026.xlsm (zmiany z dokumentu K6 już wprowadzone, wariant A rotacji zobowiązań). | 05.10: właścicielka potwierdziła, że ma podpisane sprawozdania II kwartału, PIT Inwestora i zaświadczenie bankowe; pozostaje załączenie w LSI.</t>
        </is>
      </c>
      <c r="D42" s="4" t="inlineStr">
        <is>
          <t>Właścicielka</t>
        </is>
      </c>
      <c r="E42" s="4" t="inlineStr">
        <is>
          <t>06.10</t>
        </is>
      </c>
      <c r="F42" s="4" t="inlineStr">
        <is>
          <t>K6-07</t>
        </is>
      </c>
      <c r="G42" s="4" t="inlineStr">
        <is>
          <t>DOKUMENTY GOTOWE, do załączenia w LSI</t>
        </is>
      </c>
    </row>
    <row r="43">
      <c r="A43" s="4" t="inlineStr">
        <is>
          <t>T42</t>
        </is>
      </c>
      <c r="B43" s="4" t="inlineStr">
        <is>
          <t>Dopisek do maila do księgowej: stawka CIT (19% czy 9%), udział usług obcych od podmiotów powiązanych z Inwestorem (Z. Natanek) w 2025 i I poł. 2026 (K6-16)</t>
        </is>
      </c>
      <c r="C43" s="4" t="inlineStr">
        <is>
          <t>Zob. dokument K6, część 7.1.</t>
        </is>
      </c>
      <c r="D43" s="4" t="inlineStr">
        <is>
          <t>Właścicielka (księgowa)</t>
        </is>
      </c>
      <c r="E43" s="4" t="inlineStr">
        <is>
          <t>05.10</t>
        </is>
      </c>
      <c r="F43" s="4" t="inlineStr">
        <is>
          <t>K6-02, K6-16</t>
        </is>
      </c>
      <c r="G43" s="4" t="inlineStr">
        <is>
          <t>ZROBIONE: CIT 19%; ok. 95% zakupów usług od Natanek Logistics, ok. 5% inni dostawcy (05.10); kwoty do doprecyzowania T44</t>
        </is>
      </c>
    </row>
    <row r="44">
      <c r="A44" s="4" t="inlineStr">
        <is>
          <t>T43</t>
        </is>
      </c>
      <c r="B44" s="4" t="inlineStr">
        <is>
          <t>Dział techniczny i właścicielka: zatwierdzić tabele 8.1 i 8.2 z dokumentu K6 (koszt zestawu 4 875 zł i zespół komercjalizacji)</t>
        </is>
      </c>
      <c r="C44" s="4" t="inlineStr">
        <is>
          <t>Zob. dokument K6, część 7.2.</t>
        </is>
      </c>
      <c r="D44" s="4" t="inlineStr">
        <is>
          <t>Właścicielka</t>
        </is>
      </c>
      <c r="E44" s="4" t="inlineStr">
        <is>
          <t>05.10</t>
        </is>
      </c>
      <c r="F44" s="4" t="inlineStr">
        <is>
          <t>K6-12, K2-12, K2-13, N58, K6-10, K6-11</t>
        </is>
      </c>
      <c r="G44" s="4" t="inlineStr">
        <is>
          <t>OTWARTE</t>
        </is>
      </c>
    </row>
    <row r="45">
      <c r="A45" s="4" t="inlineStr">
        <is>
          <t>T44</t>
        </is>
      </c>
      <c r="B45" s="4" t="inlineStr">
        <is>
          <t>Opcjonalnie: kwoty (nie procenty) zakupów od Natanek Logistics w 2025 i I poł. 2026</t>
        </is>
      </c>
      <c r="C45" s="4" t="inlineStr">
        <is>
          <t>Zob. dokument K6, część 6. Przybliżenia w komentarzu: ok. 13,4 mln zł i ok. 8,4 mln zł.</t>
        </is>
      </c>
      <c r="D45" s="4" t="inlineStr">
        <is>
          <t>Właścicielka (księgowa)</t>
        </is>
      </c>
      <c r="E45" s="4" t="inlineStr">
        <is>
          <t>06.10</t>
        </is>
      </c>
      <c r="F45" s="4" t="inlineStr">
        <is>
          <t>K6-08, K6-16</t>
        </is>
      </c>
      <c r="G45" s="4" t="inlineStr">
        <is>
          <t>OTWARTE</t>
        </is>
      </c>
    </row>
    <row r="46">
      <c r="A46" s="4" t="inlineStr">
        <is>
          <t>T45</t>
        </is>
      </c>
      <c r="B46" s="4" t="inlineStr">
        <is>
          <t>Odpowiedzi właścicielki 05.10: kancelaria adwokacka potwierdzona (słowo „niezależnych” usunięte), brak pokrewieństwa z M. Chrzanowskim, dwaj pozostali operatorzy niepowiązani, umowa z Amazon objęta tajemnicą</t>
        </is>
      </c>
      <c r="C46" s="4" t="inlineStr">
        <is>
          <t>Zob. dokument K6, część 5.2.</t>
        </is>
      </c>
      <c r="D46" s="4" t="inlineStr">
        <is>
          <t>Właścicielka</t>
        </is>
      </c>
      <c r="E46" s="4" t="inlineStr">
        <is>
          <t>06.10</t>
        </is>
      </c>
      <c r="F46" s="4" t="inlineStr">
        <is>
          <t>K6-05, K6-16, K3-32, K2-01</t>
        </is>
      </c>
      <c r="G46" s="4" t="inlineStr">
        <is>
          <t>OTWARTE</t>
        </is>
      </c>
    </row>
    <row r="47">
      <c r="A47" s="4" t="inlineStr">
        <is>
          <t>T46</t>
        </is>
      </c>
      <c r="B47" s="4" t="inlineStr">
        <is>
          <t>Dział techniczny: ocena założeń cenowych komponentów zestawu retrofit (tabela 8.1 w dokumencie K6) i plan zapytań ofertowych w Z7</t>
        </is>
      </c>
      <c r="C47" s="4" t="inlineStr">
        <is>
          <t>Bez tego komentarz w modelu mówi tylko, że ceny to założenia do potwierdzenia.</t>
        </is>
      </c>
      <c r="D47" s="4" t="inlineStr">
        <is>
          <t>Właścicielka (dział techniczny)</t>
        </is>
      </c>
      <c r="E47" s="4" t="inlineStr">
        <is>
          <t>06.10</t>
        </is>
      </c>
      <c r="F47" s="4" t="inlineStr">
        <is>
          <t>K2-13, D53</t>
        </is>
      </c>
      <c r="G47" s="4" t="inlineStr">
        <is>
          <t>OTWARTE</t>
        </is>
      </c>
    </row>
    <row r="48">
      <c r="A48" s="4" t="inlineStr">
        <is>
          <t>T47</t>
        </is>
      </c>
      <c r="B48" s="4" t="inlineStr">
        <is>
          <t>PRz: sprawdzić własny arkusz Zaliczka-refundacja (90,0% zaliczek i 10,0% refundacji, na granicy limitu); opcjonalnie przesunąć ok. 1% do refundacji końcowej</t>
        </is>
      </c>
      <c r="C48" s="4" t="inlineStr">
        <is>
          <t>Plik modelu PRz nie jest edytowany przez Claude.</t>
        </is>
      </c>
      <c r="D48" s="4" t="inlineStr">
        <is>
          <t>PRz (przez właścicielkę)</t>
        </is>
      </c>
      <c r="E48" s="4" t="inlineStr">
        <is>
          <t>06.10</t>
        </is>
      </c>
      <c r="F48" s="4" t="inlineStr">
        <is>
          <t>K6-14</t>
        </is>
      </c>
      <c r="G48" s="4" t="inlineStr">
        <is>
          <t>OPCJONALNE</t>
        </is>
      </c>
    </row>
    <row r="49">
      <c r="A49" s="4" t="inlineStr">
        <is>
          <t>T48</t>
        </is>
      </c>
      <c r="B49" s="4" t="inlineStr">
        <is>
          <t>Wprowadzić zmiany z dokumentu Zmiany_do_wprowadzenia_w_plikach_zamknietych.docx w odpowiednich polach LSI (pkt 1.3, ryzyka R11 i R12, opis Z9, opis dokapitalizowania)</t>
        </is>
      </c>
      <c r="C49" s="4" t="inlineStr">
        <is>
          <t>Pliki źródłowe są zamknięte, zmiany tylko w LSI.</t>
        </is>
      </c>
      <c r="D49" s="4" t="inlineStr">
        <is>
          <t>Właścicielka</t>
        </is>
      </c>
      <c r="E49" s="4" t="inlineStr">
        <is>
          <t>06.10</t>
        </is>
      </c>
      <c r="F49" s="4" t="inlineStr">
        <is>
          <t>D47, D48, N83</t>
        </is>
      </c>
      <c r="G49" s="4" t="inlineStr">
        <is>
          <t>OTWARTE</t>
        </is>
      </c>
    </row>
    <row r="50">
      <c r="A50" s="4" t="inlineStr">
        <is>
          <t>T49</t>
        </is>
      </c>
      <c r="B50" s="4" t="inlineStr">
        <is>
          <t>Zgodność godzin anotatorów (3 x 10 mc x 168 h = 5 040 h) z szacunkiem nakładu w opisie Z2</t>
        </is>
      </c>
      <c r="C50" s="4" t="inlineStr">
        <is>
          <t>Opis Z2 podaje 2 750-3 000 h na anotację 15 000 klatek (11-12 min na klatkę), a reszta ma pokryć próbę zgodności, reanotację, pilotaż i kontrolę. Dział techniczny ma potwierdzić podział ok. 5 040 h, żeby wniosek nie pozostawił niewyjaśnionej różnicy (uwaga K3-39 i K5-03).</t>
        </is>
      </c>
      <c r="D50" s="4" t="inlineStr">
        <is>
          <t>Dział techniczny + Claude</t>
        </is>
      </c>
      <c r="E50" s="4" t="inlineStr">
        <is>
          <t>06.10</t>
        </is>
      </c>
      <c r="F50" s="4" t="inlineStr">
        <is>
          <t>K3-39, K5-03, N12</t>
        </is>
      </c>
      <c r="G50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 (stan 05.10)</t>
        </is>
      </c>
      <c r="G1" s="3" t="inlineStr">
        <is>
          <t>W trakcie (stan 05.10)</t>
        </is>
      </c>
      <c r="H1" s="3" t="inlineStr">
        <is>
          <t>Tekst gotowy, do weryf. (stan 05.10)</t>
        </is>
      </c>
      <c r="I1" s="3" t="inlineStr">
        <is>
          <t>Zweryf. (stan 05.10)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Opisy zadań: wersja 2 w pliku Opisy_zadan (zamknięty); godziny Z8 zaktualizowane; 62 żółte wartości czekają na dział techniczny (T11, T29, T35); zmiana opisu Z9 (D47) tylko w LSI wg zestawienia.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Kamienie milowe: wersja 2 w pliku Opisy_zadan (zamknięty); żółte progi: T11, T35.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Ryzyka: wersja 2 w plikach Opisy_zadan i Poprawki (zamknięte); R12 (K3-32) i plan zastępczy R11 do zmiany w LSI wg zestawienia (D47, D48); R8 (K3-46) w Sekcja_3.1_podwykonawstwo.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0</v>
      </c>
      <c r="G5" s="4" t="n">
        <v>0</v>
      </c>
      <c r="H5" s="4" t="n">
        <v>7</v>
      </c>
      <c r="I5" s="4" t="n">
        <v>0</v>
      </c>
      <c r="J5" s="4" t="inlineStr">
        <is>
          <t>Sekcja Wskazniki_innowacyjnosci_1.2_i_1.4.docx gotowa; 6 żółtych parametrów (T11), oferty dla I1 (T10), karty konkurencji (T12).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0</v>
      </c>
      <c r="G6" s="4" t="n">
        <v>0</v>
      </c>
      <c r="H6" s="4" t="n">
        <v>9</v>
      </c>
      <c r="I6" s="4" t="n">
        <v>0</v>
      </c>
      <c r="J6" s="4" t="inlineStr">
        <is>
          <t>Sekcja_1.3_i_ceny.docx gotowa (zamknięta); zmiany po D47 i D48 (usunięte „ponad 50 aktywnych kontrahentów”, powiązanie Natanek Logistics) tylko w LSI wg zestawienia; ceny: T10, T14, T19.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0</v>
      </c>
      <c r="G7" s="4" t="n">
        <v>0</v>
      </c>
      <c r="H7" s="4" t="n">
        <v>20</v>
      </c>
      <c r="I7" s="4" t="n">
        <v>1</v>
      </c>
      <c r="J7" s="4" t="inlineStr">
        <is>
          <t>Sekcja_6.1 gotowa (założenia D37: T23); Sekcja_6.2-6.4 z 7 żółtymi polami (T25, T26); K3-41 i K3-42 w Sekcja_3.1_podwykonawstwo_i_stawki_PRz.docx (stawki PRz, godziny Z8 zgodnie z D43).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0</v>
      </c>
      <c r="G8" s="4" t="n">
        <v>0</v>
      </c>
      <c r="H8" s="4" t="n">
        <v>4</v>
      </c>
      <c r="I8" s="4" t="n">
        <v>2</v>
      </c>
      <c r="J8" s="4" t="inlineStr">
        <is>
          <t>Sekcja_3.1_podwykonawstwo_i_stawki_PRz.docx: wersja ostateczna z poprawkami właścicielki; opcjonalnie T37.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Sekcja_3.1_sprzet_i_amortyzacja.docx gotowa (14 pozycji); czeka: T33 (ceny), T35 (dział techniczny).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Sekcja_3.2_internacjonalizacja_Z10_Z11.docx gotowa; czeka: T32, T36.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0</v>
      </c>
      <c r="G11" s="4" t="n">
        <v>0</v>
      </c>
      <c r="H11" s="4" t="n">
        <v>11</v>
      </c>
      <c r="I11" s="4" t="n">
        <v>0</v>
      </c>
      <c r="J11" s="4" t="inlineStr">
        <is>
          <t>Sekcja_2.2_i_2.5_prawa_FTO_zasoby.docx gotowa; potwierdzenia patentowe: T13.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Model Everest11 (plik z 05.10) i Sekcja_K6: K6-02, K6-04 do K6-08, K6-10 do K6-16 gotowe (K6-14 poprawione, K6-08 po odpowiedzi księgowej); K2-12, K2-13, N58 jako propozycja (D53, T46); K2-14 do K2-16 w Sekcja_1.3; załączniki: T41.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0</v>
      </c>
      <c r="G13" s="4" t="n">
        <v>0</v>
      </c>
      <c r="H13" s="4" t="n">
        <v>14</v>
      </c>
      <c r="I13" s="4" t="n">
        <v>0</v>
      </c>
      <c r="J13" s="4" t="inlineStr">
        <is>
          <t>Sekcja_7_zasady_horyzontalne_6R.docx gotowa; zobowiązania do potwierdzenia: T27-T29.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  <row r="15">
      <c r="A15" t="inlineStr">
        <is>
          <t>Metoda liczników (05.10.2026): „Nierozp.” = uwaga bez gotowego tekstu w żadnym pliku sekcji (sprawdzone po numerach uwag w sekcjach, w WP05 i WP11 także wg D35/D36, T16 i Sekcja_K6). „Tekst gotowy, do weryf.” = tekst jest przygotowany, ale nie wklejony do LSI (T09/T48) i nie sprawdzony przez właścicielkę. „Zweryf.” i „W trakcie” bez zmian względem Rejestru 01.10. Uwaga: K6-01, K6-03, K6-17 i K6-18 nie mają numeru w Sekcja_K6; do potwierdzenia w kolejnym przeglądzie.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  <row r="23">
      <c r="A23" s="2" t="inlineStr">
        <is>
          <t>Konkurencja: Tive Solo 5G, interwał transmisji 5-720 min (300-43 200 s)</t>
        </is>
      </c>
      <c r="B23" s="2" t="inlineStr"/>
      <c r="C23" s="2" t="inlineStr"/>
      <c r="D23" s="2" t="inlineStr"/>
      <c r="E23" s="2" t="inlineStr">
        <is>
          <t>Karta katalogowa, dane z wyszukiwarki; do sprawdzenia w pełnej karcie</t>
        </is>
      </c>
      <c r="F23" s="2" t="inlineStr">
        <is>
          <t>https://www.tive.com/compare-trackers</t>
        </is>
      </c>
      <c r="G23" s="2" t="inlineStr">
        <is>
          <t>02.10.2026</t>
        </is>
      </c>
    </row>
    <row r="24">
      <c r="A24" s="2" t="inlineStr">
        <is>
          <t>Konkurencja: Blickfeld Qb2 / QbVolume, zasięg 1-100 m, precyzja &lt;±2 cm, 1-50 Hz</t>
        </is>
      </c>
      <c r="B24" s="2" t="inlineStr"/>
      <c r="C24" s="2" t="inlineStr"/>
      <c r="D24" s="2" t="inlineStr"/>
      <c r="E24" s="2" t="inlineStr">
        <is>
          <t>Karty katalogowe V2.3 (03.2026)</t>
        </is>
      </c>
      <c r="F24" s="2" t="inlineStr">
        <is>
          <t>https://www.blickfeld.com/lidar-sensor-products/qbvolume/</t>
        </is>
      </c>
      <c r="G24" s="2" t="inlineStr">
        <is>
          <t>02.10.2026</t>
        </is>
      </c>
    </row>
    <row r="25">
      <c r="A25" s="2" t="inlineStr">
        <is>
          <t>Konkurencja: Ouster OS0, 35 m (10% odbicia), ±3 cm, do 20 Hz</t>
        </is>
      </c>
      <c r="B25" s="2" t="inlineStr"/>
      <c r="C25" s="2" t="inlineStr"/>
      <c r="D25" s="2" t="inlineStr"/>
      <c r="E25" s="2" t="inlineStr">
        <is>
          <t>Strona producenta</t>
        </is>
      </c>
      <c r="F25" s="2" t="inlineStr">
        <is>
          <t>https://ouster.com/products/hardware/os0</t>
        </is>
      </c>
      <c r="G25" s="2" t="inlineStr">
        <is>
          <t>02.10.2026</t>
        </is>
      </c>
    </row>
    <row r="26">
      <c r="A26" s="2" t="inlineStr">
        <is>
          <t>Konkurencja: SkyBitz SkyCamera (kamera i czujnik wolumetryczny w naczepie)</t>
        </is>
      </c>
      <c r="B26" s="2" t="inlineStr"/>
      <c r="C26" s="2" t="inlineStr"/>
      <c r="D26" s="2" t="inlineStr"/>
      <c r="E26" s="2" t="inlineStr">
        <is>
          <t>Producent nie podaje dokładności</t>
        </is>
      </c>
      <c r="F26" s="2" t="inlineStr">
        <is>
          <t>https://www.skybitz.com/skycamera</t>
        </is>
      </c>
      <c r="G26" s="2" t="inlineStr">
        <is>
          <t>02.10.2026</t>
        </is>
      </c>
    </row>
    <row r="27">
      <c r="A27" s="2" t="inlineStr">
        <is>
          <t>Konkurencja: Nexxiot Globehopper Edge, aktualizacje co 60 min w ruchu</t>
        </is>
      </c>
      <c r="B27" s="2" t="inlineStr"/>
      <c r="C27" s="2" t="inlineStr"/>
      <c r="D27" s="2" t="inlineStr"/>
      <c r="E27" s="2" t="inlineStr">
        <is>
          <t>Informacja prasowa; nazwa „Globe+” nie występuje w dokumentacji</t>
        </is>
      </c>
      <c r="F27" s="2" t="inlineStr">
        <is>
          <t>https://www.porttechnology.org/news/nexxiot-unveils-wireless-cargo-visibility-device/</t>
        </is>
      </c>
      <c r="G27" s="2" t="inlineStr">
        <is>
          <t>02.10.2026</t>
        </is>
      </c>
    </row>
    <row r="28">
      <c r="A28" s="2" t="inlineStr">
        <is>
          <t>Konkurencja: Arviem, interwał pomiaru domyślnie 60 min</t>
        </is>
      </c>
      <c r="B28" s="2" t="inlineStr"/>
      <c r="C28" s="2" t="inlineStr"/>
      <c r="D28" s="2" t="inlineStr"/>
      <c r="E28" s="2" t="inlineStr">
        <is>
          <t>Źródło pośrednie, pobrać kartę katalogową</t>
        </is>
      </c>
      <c r="F28" s="2" t="inlineStr">
        <is>
          <t>do uzupełnienia</t>
        </is>
      </c>
      <c r="G28" s="2" t="inlineStr">
        <is>
          <t>02.10.2026</t>
        </is>
      </c>
    </row>
    <row r="29">
      <c r="A29" s="2" t="inlineStr">
        <is>
          <t>Rynek: naczepy w Polsce 2023, 544,97 tys.</t>
        </is>
      </c>
      <c r="B29" s="2" t="inlineStr"/>
      <c r="C29" s="2" t="inlineStr"/>
      <c r="D29" s="2" t="inlineStr"/>
      <c r="E29" s="2" t="inlineStr">
        <is>
          <t>Eurostat road_eqs_semit; wartość za 2024 do pobrania</t>
        </is>
      </c>
      <c r="F29" s="2" t="inlineStr">
        <is>
          <t>https://baselight.app/u/eurostat/dataset/road_eqs_semit</t>
        </is>
      </c>
      <c r="G29" s="2" t="inlineStr">
        <is>
          <t>02.10.2026</t>
        </is>
      </c>
    </row>
    <row r="30">
      <c r="A30" s="2" t="inlineStr">
        <is>
          <t>Rynek: 43 280 firm z licencją wspólnotową (VII 2026), 45 565 w 2023</t>
        </is>
      </c>
      <c r="B30" s="2" t="inlineStr"/>
      <c r="C30" s="2" t="inlineStr"/>
      <c r="D30" s="2" t="inlineStr"/>
      <c r="E30" s="2" t="inlineStr">
        <is>
          <t>GITD, za trans.info</t>
        </is>
      </c>
      <c r="F30" s="2" t="inlineStr">
        <is>
          <t>https://trans.info/pl/firm-transportowych-ubywa-498383</t>
        </is>
      </c>
      <c r="G30" s="2" t="inlineStr">
        <is>
          <t>02.10.2026</t>
        </is>
      </c>
    </row>
    <row r="31">
      <c r="A31" s="2" t="inlineStr">
        <is>
          <t>Kurs SDR NBP 5,0954 PLN (tabela z 04.09.2026)</t>
        </is>
      </c>
      <c r="B31" s="2" t="inlineStr"/>
      <c r="C31" s="2" t="inlineStr"/>
      <c r="D31" s="2" t="inlineStr"/>
      <c r="E31" s="2" t="inlineStr">
        <is>
          <t>Do przeliczenia limitu CMR (art. 23: 8,33 SDR/kg)</t>
        </is>
      </c>
      <c r="F31" s="2" t="inlineStr">
        <is>
          <t>https://direct.money.pl/kursy-walut/nbp/kurs-XDR</t>
        </is>
      </c>
      <c r="G31" s="2" t="inlineStr">
        <is>
          <t>02.10.2026</t>
        </is>
      </c>
    </row>
    <row r="32">
      <c r="A32" s="2" t="inlineStr">
        <is>
          <t>Cena konkurencji: SkyBitz, abonament od 30 do 75 USD/zasób/mies.</t>
        </is>
      </c>
      <c r="B32" s="2" t="inlineStr"/>
      <c r="C32" s="2" t="inlineStr"/>
      <c r="D32" s="2" t="inlineStr"/>
      <c r="E32" s="2" t="inlineStr">
        <is>
          <t>Serwis Capterra, dane orientacyjne, nie oferta</t>
        </is>
      </c>
      <c r="F32" s="2" t="inlineStr">
        <is>
          <t>https://capterra.com/p/166977/SkyBitz-Local-Fleets/</t>
        </is>
      </c>
      <c r="G32" s="2" t="inlineStr">
        <is>
          <t>02.10.2026</t>
        </is>
      </c>
    </row>
    <row r="33">
      <c r="A33" s="2" t="inlineStr">
        <is>
          <t>eFTI: stosowanie od 21.08.2024 i 21.08.2025, obowiązek dla organów, dobrowolne dla przewoźników</t>
        </is>
      </c>
      <c r="B33" s="2" t="inlineStr"/>
      <c r="C33" s="2" t="inlineStr"/>
      <c r="D33" s="2" t="inlineStr"/>
      <c r="E33" s="2" t="inlineStr">
        <is>
          <t>Komisja Europejska, strona o rozporządzeniu eFTI; sprawdzić tekst rozporządzenia</t>
        </is>
      </c>
      <c r="F33" s="2" t="inlineStr">
        <is>
          <t>https://transport.ec.europa.eu/transport-themes/logistics-and-multimodal-transport/efti-regulation_en</t>
        </is>
      </c>
      <c r="G33" s="2" t="inlineStr">
        <is>
          <t>02.10.2026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05.10: sumy bez zmian (Z8 113 084,00; PRz osobowe 679 472,72; konsorcjum 3 998 262,02); kontrola końcowa po ostatnich zmianach OTWARTA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W TOKU: model Everest11 zaktualizowany 05.10 (dane II kw., komentarze, harmonogram), przeliczony kontrolnie; pozostaje wklejenie do LSI i model PRz (T47)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  <row r="16">
      <c r="A16" s="4" t="inlineStr">
        <is>
          <t>C15</t>
        </is>
      </c>
      <c r="B16" s="4" t="inlineStr">
        <is>
          <t>Harmonogram płatności (arkusze Zaliczka-refundacja): pierwsza zaliczka co najmniej 5%, transza nie więcej niż 40%, suma zaliczek nie więcej niż 90% dofinansowania</t>
        </is>
      </c>
      <c r="C16" s="4" t="inlineStr">
        <is>
          <t>Claude</t>
        </is>
      </c>
      <c r="D16" s="4" t="inlineStr">
        <is>
          <t>po każdej zmianie kosztów</t>
        </is>
      </c>
      <c r="E16" s="4" t="inlineStr">
        <is>
          <t>ZROBIONE 05.10 dla Everest11 (89,5%) i konsorcjum (89,63%); PRz 90,0% (T47)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  <row r="23">
      <c r="A23" s="2" t="inlineStr">
        <is>
          <t>E22</t>
        </is>
      </c>
      <c r="B23" s="2" t="inlineStr">
        <is>
          <t>K6-14: wcześniejsza weryfikacja harmonogramu płatności była błędna (zaliczka liczona jako dofinansowanie razy kolumna H zamiast samej kwoty z kolumny F); suma zaliczek wynosiła 91,6% i 91,2% wobec limitu 90%.</t>
        </is>
      </c>
      <c r="C23" s="2" t="inlineStr">
        <is>
          <t>Poprawione w modelu (D52, N85); refundacja końcowa 10,5% i 10,4%.</t>
        </is>
      </c>
    </row>
    <row r="24">
      <c r="A24" s="2" t="inlineStr">
        <is>
          <t>E23</t>
        </is>
      </c>
      <c r="B24" s="2" t="inlineStr">
        <is>
          <t>Pierwszy eksport modelu (05.10) zastąpił cały komentarz w arkuszu Przychody jednym akapitem i usunął trzy akapity „PROJEKT”.</t>
        </is>
      </c>
      <c r="C24" s="2" t="inlineStr">
        <is>
          <t>Poprawione tego samego dnia; komentarz ma wszystkie akapity.</t>
        </is>
      </c>
    </row>
    <row r="25">
      <c r="A25" s="2" t="inlineStr">
        <is>
          <t>E24</t>
        </is>
      </c>
      <c r="B25" s="2" t="inlineStr">
        <is>
          <t>PRz Z8: zmieniłam stawki i godziny bez danych PRz i rozszerzyłam zmianę na osiem stanowisk (właścicielka nie zatwierdziła).</t>
        </is>
      </c>
      <c r="C25" s="2" t="inlineStr">
        <is>
          <t>Cofnięte; godziny Z8 poprawione zgodnie z decyzją właścicielki przy sumie bez zmian (D43).</t>
        </is>
      </c>
    </row>
    <row r="26">
      <c r="A26" s="2" t="inlineStr">
        <is>
          <t>E25</t>
        </is>
      </c>
      <c r="B26" s="2" t="inlineStr">
        <is>
          <t>Komentarz Finansowanie: zdanie o wycenie spółki ok. 6,3 mln zł mogło sugerować podwyższenie kapitału do tej kwoty.</t>
        </is>
      </c>
      <c r="C26" s="2" t="inlineStr">
        <is>
          <t>Zastąpione opisem mechanizmu (nominalna część i nadwyżka na kapitał zapasowy), D51.</t>
        </is>
      </c>
    </row>
    <row r="27">
      <c r="A27" s="2" t="inlineStr">
        <is>
          <t>E26</t>
        </is>
      </c>
      <c r="B27" s="2" t="inlineStr">
        <is>
          <t>R12: napisałam, że Natanek Logistics jest „jednym z trzech niezależnych klientów”, co jest sprzeczne z danymi księgowej (powiązany z Inwestorem, ok. 95% zakupów usług).</t>
        </is>
      </c>
      <c r="C27" s="2" t="inlineStr">
        <is>
          <t>Poprawione w zestawieniu zmian do LSI (D47).</t>
        </is>
      </c>
    </row>
    <row r="28">
      <c r="A28" s="2" t="inlineStr">
        <is>
          <t>E27</t>
        </is>
      </c>
      <c r="B28" s="2" t="inlineStr">
        <is>
          <t>Komentarz Ocena kondycji podawał środki pieniężne „2 618 tys. zł w 2026 do 16 679 tys. zł w 2039”, czego model nie potwierdzał.</t>
        </is>
      </c>
      <c r="C28" s="2" t="inlineStr">
        <is>
          <t>Poprawione liczbami z przeliczonego modelu (N79).</t>
        </is>
      </c>
    </row>
    <row r="29">
      <c r="A29" s="2" t="inlineStr">
        <is>
          <t>E28</t>
        </is>
      </c>
      <c r="B29" s="2" t="inlineStr">
        <is>
          <t>Zmieniłam pliki Sekcja_1.3_i_ceny.docx, Poprawki_do_wklejenia_WP01-WP03.docx i Opisy_zadan_z_kamieniami_milowymi.docx, które były już przetworzone.</t>
        </is>
      </c>
      <c r="C29" s="2" t="inlineStr">
        <is>
          <t>Przywrócone do wersji sprzed zmian; zmiany tylko w osobnym zestawieniu (D50).</t>
        </is>
      </c>
    </row>
    <row r="30">
      <c r="A30" s="2" t="inlineStr">
        <is>
          <t>E29</t>
        </is>
      </c>
      <c r="B30" s="2" t="inlineStr">
        <is>
          <t>Liczniki w 3_Pakiety_pól (nierozpoczęte WP06 11, WP10 11, WP12 14 i inne) pochodziły z Rejestru z 01.10 i nie były przeliczone po przygotowaniu sekcji 6.1, 2.2/2.5, 6.2-6.4 i 7, więc pokazywały nierozpoczęte uwagi, do których teksty już istniały.</t>
        </is>
      </c>
      <c r="C30" s="2" t="inlineStr">
        <is>
          <t>Przeliczone 05.10: nierozpoczęte 0 we wszystkich pakietach, reszta jako „tekst gotowy, do weryf.”; metoda w komórce A15.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TEKST GOTOWY (Wskazniki_innowacyjnosci_1.2_i_1.4.docx), 6 żółtych parametrów: T11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TEKST GOTOWY (Wskazniki_innowacyjnosci_1.2_i_1.4.docx), 6 żółtych parametrów: T11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TEKST GOTOWY (Wskazniki_innowacyjnosci_1.2_i_1.4.docx), 6 żółtych parametrów: T11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TEKST GOTOWY (Wskazniki_innowacyjnosci_1.2_i_1.4.docx), 6 żółtych parametrów: T11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TEKST GOTOWY (Wskazniki_innowacyjnosci_1.2_i_1.4.docx), 6 żółtych parametrów: T11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TEKST GOTOWY (Wskazniki_innowacyjnosci_1.2_i_1.4.docx), 6 żółtych parametrów: T11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TEKST GOTOWY (Wskazniki_innowacyjnosci_1.2_i_1.4.docx), 6 żółtych parametrów: T11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TEKST GOTOWY w Opisach zadań (zamknięte), 62 żółte wartości: T11, T35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TEKST GOTOWY w Opisach zadań (zamknięte), 62 żółte wartości: T11, T35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TEKST GOTOWY (Sekcja_6.1 i 3.1.2), założenia D37: T23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TEKST GOTOWY: pozycja 3.4 w Zmiany_do_wprowadzenia_w_plikach_zamknietych.docx (forma zatrudnienia, nadzór jakości, relacja do Z3, B+R a obróbka). Otwarte: zgodność 5 040 h z szacunkiem nakładu (T49)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TEKST GOTOWY (Sekcja_6.1 i 3.1.2), założenia D37: T23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TEKST GOTOWY (Sekcja_6.1 i 3.1.2), założenia D37: T23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TEKST GOTOWY (Sekcja_6.1 i 3.1.2), założenia D37: T23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TEKST GOTOWY (Sekcja_6.1 i 3.1.2), założenia D37: T23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TEKST GOTOWY (Sekcja_6.1 i 3.1.2), założenia D37: T23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TEKST GOTOWY (Sekcja_6.1 i 3.1.2), założenia D37: T23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TEKST GOTOWY (Sekcja_6.1 i 3.1.2), założenia D37: T23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TEKST GOTOWY (Sekcja_6.1 i 3.1.2), założenia D37: T23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TEKST GOTOWY (Sekcja_6.1 i 3.1.2), założenia D37: T23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TEKST GOTOWY (Sekcja_6.1 i 3.1.2), założenia D37: T23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TEKST GOTOWY (Sekcja_6.2-6.4), żółte pola: T25, T26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TEKST GOTOWY, do wklejenia w LSI (T09)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TEKST GOTOWY, do wklejenia w LSI (T09)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TEKST GOTOWY, do wklejenia w LSI (T09)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TEKST GOTOWY (Sekcja_6.1 i 3.1.2), założenia D37: T23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TEKST GOTOWY, do wklejenia w LSI (T09)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TEKST GOTOWY, do wklejenia w LSI (T09)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TEKST GOTOWY (Sekcja_6.1 i 3.1.2), założenia D37: T23</t>
        </is>
      </c>
    </row>
    <row r="33">
      <c r="A33" s="2" t="inlineStr">
        <is>
          <t>N32</t>
        </is>
      </c>
      <c r="B33" s="2" t="inlineStr">
        <is>
          <t>1.2 Wskaźniki innowacyjności (5 tabel)</t>
        </is>
      </c>
      <c r="C33" s="2" t="inlineStr">
        <is>
          <t>Jednostki [cm], [ms]; baza AUC 0,50; baza latencji = interwał GSM; PoC z pokryciem eFTI w jednym polu; baza 0,30 m bez uzasadnienia względem 0,10 m.</t>
        </is>
      </c>
      <c r="D33" s="2" t="inlineStr">
        <is>
          <t>Wpisać teksty W1-W5 z pliku Wskazniki_innowacyjnosci_1.2_i_1.4.docx (jednostki SI, bazy jak w D16, rozdzielenie PoC i eFTI, błąd względny 0,03/0,05 m).</t>
        </is>
      </c>
      <c r="E33" s="2" t="inlineStr">
        <is>
          <t>K1-02, K1-03, K1-04; D33</t>
        </is>
      </c>
      <c r="F33" s="2" t="inlineStr">
        <is>
          <t>WYSOKI</t>
        </is>
      </c>
      <c r="G33" s="2" t="inlineStr">
        <is>
          <t>TEKST GOTOWY (Wskazniki_innowacyjnosci_1.2_i_1.4.docx), 6 żółtych parametrów: T11</t>
        </is>
      </c>
    </row>
    <row r="34">
      <c r="A34" s="2" t="inlineStr">
        <is>
          <t>N33</t>
        </is>
      </c>
      <c r="B34" s="2" t="inlineStr">
        <is>
          <t>1.2 Opis innowacji produktowej</t>
        </is>
      </c>
      <c r="C34" s="2" t="inlineStr">
        <is>
          <t>Teza „nie istnieje żaden produkt”; „Nexxiot Globe+”; „QbScan”; parametry w cm i ms; „floty Natanek Logistics”; ROI dodatni od 1. roku; kurs CMR 5 500-23 000 PLN.</t>
        </is>
      </c>
      <c r="D34" s="2" t="inlineStr">
        <is>
          <t>Wprowadzić 8 zmian z części 4 pliku Wskazniki_innowacyjnosci_1.2_i_1.4.docx.</t>
        </is>
      </c>
      <c r="E34" s="2" t="inlineStr">
        <is>
          <t>K1-01, K1-06; D33</t>
        </is>
      </c>
      <c r="F34" s="2" t="inlineStr">
        <is>
          <t>WYSOKI</t>
        </is>
      </c>
      <c r="G34" s="2" t="inlineStr">
        <is>
          <t>TEKST GOTOWY (Wskazniki_innowacyjnosci_1.2_i_1.4.docx), 6 żółtych parametrów: T11</t>
        </is>
      </c>
    </row>
    <row r="35">
      <c r="A35" s="2" t="inlineStr">
        <is>
          <t>N34</t>
        </is>
      </c>
      <c r="B35" s="2" t="inlineStr">
        <is>
          <t>1.4 Tekst i wskaźniki dodatkowe</t>
        </is>
      </c>
      <c r="C35" s="2" t="inlineStr">
        <is>
          <t>Wskaźnik ceny z bazą = koszt naczepy; „liczba warstw ICT”; fill rate 65%→80%; pokrycie eFTI z audytem prawnym podwykonawcy; tekst bez odniesienia do bezpośredniej konkurencji.</t>
        </is>
      </c>
      <c r="D35" s="2" t="inlineStr">
        <is>
          <t>Wpisać nowy tekst (3 029 znaków) i wskaźniki I1-I3; usunąć fill rate i warstwy ICT.</t>
        </is>
      </c>
      <c r="E35" s="2" t="inlineStr">
        <is>
          <t>K1-05, K1-06, K13-03; D33</t>
        </is>
      </c>
      <c r="F35" s="2" t="inlineStr">
        <is>
          <t>WYSOKI</t>
        </is>
      </c>
      <c r="G35" s="2" t="inlineStr">
        <is>
          <t>TEKST GOTOWY (Wskazniki_innowacyjnosci_1.2_i_1.4.docx), 6 żółtych parametrów: T11</t>
        </is>
      </c>
    </row>
    <row r="36">
      <c r="A36" s="2" t="inlineStr">
        <is>
          <t>N35</t>
        </is>
      </c>
      <c r="B36" s="2" t="inlineStr">
        <is>
          <t>Z8: opis i KM-Z8</t>
        </is>
      </c>
      <c r="C36" s="2" t="inlineStr">
        <is>
          <t>Brak pomiaru wartości bazowej mAP (ogólny detektor bez adaptacji domenowej) na tym samym zbiorze testowym.</t>
        </is>
      </c>
      <c r="D36" s="2" t="inlineStr">
        <is>
          <t>Dopisać pomiar bazy mAP do opisu Z8 i KM-Z8 (parametr 4), z zachowaniem limitu 1300 znaków pola parametrów.</t>
        </is>
      </c>
      <c r="E36" s="2" t="inlineStr">
        <is>
          <t>W3 (K1-02); D33</t>
        </is>
      </c>
      <c r="F36" s="2" t="inlineStr">
        <is>
          <t>ŚREDNI</t>
        </is>
      </c>
      <c r="G36" s="2" t="inlineStr">
        <is>
          <t>TEKST GOTOWY w Opisach zadań (zamknięte), 62 żółte wartości: T11, T35</t>
        </is>
      </c>
    </row>
    <row r="37">
      <c r="A37" s="2" t="inlineStr">
        <is>
          <t>N36</t>
        </is>
      </c>
      <c r="B37" s="2" t="inlineStr">
        <is>
          <t>7.4 REDUCE i model finansowy</t>
        </is>
      </c>
      <c r="C37" s="2" t="inlineStr">
        <is>
          <t>Wskaźnik „średni poziom wykorzystania przestrzeni ładunkowej” (fill rate) nadal występuje.</t>
        </is>
      </c>
      <c r="D37" s="2" t="inlineStr">
        <is>
          <t>Usunąć wskaźnik fill rate z 7.4 (REDUCE oparte o dokumenty papierowe, D17), a w modelu finansowym sprawdzić odwołania.</t>
        </is>
      </c>
      <c r="E37" s="2" t="inlineStr">
        <is>
          <t>K13-03, D17</t>
        </is>
      </c>
      <c r="F37" s="2" t="inlineStr">
        <is>
          <t>ŚREDNI</t>
        </is>
      </c>
      <c r="G37" s="2" t="inlineStr">
        <is>
          <t>TEKST GOTOWY (Sekcja_7_zasady_horyzontalne_6R.docx), zobowiązania: T27-T29</t>
        </is>
      </c>
    </row>
    <row r="38">
      <c r="A38" s="2" t="inlineStr">
        <is>
          <t>N37</t>
        </is>
      </c>
      <c r="B38" s="2" t="inlineStr">
        <is>
          <t>Pozostałe wystąpienia nazw produktów</t>
        </is>
      </c>
      <c r="C38" s="2" t="inlineStr">
        <is>
          <t>„Nexxiot Globe+”, „Blickfeld QbScan”, „Nexxiot Glob+” w 1.2, 1.4 i innych sekcjach.</t>
        </is>
      </c>
      <c r="D38" s="2" t="inlineStr">
        <is>
          <t>Ujednolicić: Nexxiot Globehopper (do potwierdzenia nazwy), Blickfeld Qb2 z QbVolume.</t>
        </is>
      </c>
      <c r="E38" s="2" t="inlineStr">
        <is>
          <t>K1-01</t>
        </is>
      </c>
      <c r="F38" s="2" t="inlineStr">
        <is>
          <t>NISKI</t>
        </is>
      </c>
      <c r="G38" s="2" t="inlineStr">
        <is>
          <t>TEKST GOTOWY (Sekcja_1.3_i_ceny.docx, zamknięty); dalsze zmiany wg Zmiany_do_wprowadzenia (D47, D48)</t>
        </is>
      </c>
    </row>
    <row r="39">
      <c r="A39" s="2" t="inlineStr">
        <is>
          <t>N38</t>
        </is>
      </c>
      <c r="B39" s="2" t="inlineStr">
        <is>
          <t>Analiza FTO / K2-03</t>
        </is>
      </c>
      <c r="C39" s="2" t="inlineStr">
        <is>
          <t>Patenty na pomiar wypełnienia naczepy kamerą 3D (UPS i in.) wskazane przez wyszukiwarkę; niezweryfikowane.</t>
        </is>
      </c>
      <c r="D39" s="2" t="inlineStr">
        <is>
          <t>Sprawdzić w Espacenet (EP 3103072 i rodzina) i rozważyć dopisanie do analizy FTO dopiero po potwierdzeniu.</t>
        </is>
      </c>
      <c r="E39" s="2" t="inlineStr">
        <is>
          <t>K2-03</t>
        </is>
      </c>
      <c r="F39" s="2" t="inlineStr">
        <is>
          <t>WYSOKI</t>
        </is>
      </c>
      <c r="G39" s="2" t="inlineStr">
        <is>
          <t>DO SPRAWDZENIA (T13)</t>
        </is>
      </c>
    </row>
    <row r="40">
      <c r="A40" s="2" t="inlineStr">
        <is>
          <t>N39</t>
        </is>
      </c>
      <c r="B40" s="2" t="inlineStr">
        <is>
          <t>I1 wartość bazowa kosztu</t>
        </is>
      </c>
      <c r="C40" s="2" t="inlineStr">
        <is>
          <t>Brak źródła ceny rozwiązań o podobnej funkcji.</t>
        </is>
      </c>
      <c r="D40" s="2" t="inlineStr">
        <is>
          <t>Zebrać oferty od co najmniej 3 dostawców (data zapytania) albo zastąpić wskaźnik I1.</t>
        </is>
      </c>
      <c r="E40" s="2" t="inlineStr">
        <is>
          <t>K1-05</t>
        </is>
      </c>
      <c r="F40" s="2" t="inlineStr">
        <is>
          <t>WYSOKI</t>
        </is>
      </c>
      <c r="G40" s="2" t="inlineStr">
        <is>
          <t>OTWARTE: oferty cenowe dla I1 (T10)</t>
        </is>
      </c>
    </row>
    <row r="41">
      <c r="A41" s="2" t="inlineStr">
        <is>
          <t>N40</t>
        </is>
      </c>
      <c r="B41" s="2" t="inlineStr">
        <is>
          <t>1.3 TAM/SAM/SOM</t>
        </is>
      </c>
      <c r="C41" s="2" t="inlineStr">
        <is>
          <t>TAM 600 000 (prezentacja), 567 800 ciągników, SAM 200 000 bez metody, CEE 400-600 tys.</t>
        </is>
      </c>
      <c r="D41" s="2" t="inlineStr">
        <is>
          <t>Wpisać tekst z pliku Sekcja_1.3_i_ceny.docx (TAM 544,97 tys.), uzupełnić metodę SAM, usunąć CEE z prognozy.</t>
        </is>
      </c>
      <c r="E41" s="2" t="inlineStr">
        <is>
          <t>K2-05; D34</t>
        </is>
      </c>
      <c r="F41" s="2" t="inlineStr">
        <is>
          <t>WYSOKI</t>
        </is>
      </c>
      <c r="G41" s="2" t="inlineStr">
        <is>
          <t>TEKST GOTOWY (Sekcja_1.3_i_ceny.docx, zamknięty); dalsze zmiany wg Zmiany_do_wprowadzenia (D47, D48)</t>
        </is>
      </c>
    </row>
    <row r="42">
      <c r="A42" s="2" t="inlineStr">
        <is>
          <t>N41</t>
        </is>
      </c>
      <c r="B42" s="2" t="inlineStr">
        <is>
          <t>eFTI jako obowiązek (1.3, 1.4, 7.4, model)</t>
        </is>
      </c>
      <c r="C42" s="2" t="inlineStr">
        <is>
          <t>„Obowiązuje od 21.08.2024, dotyczy każdego operatora”.</t>
        </is>
      </c>
      <c r="D42" s="2" t="inlineStr">
        <is>
          <t>Obowiązek dotyczy organów od 21.08.2025; dla przewoźników dobrowolne. Zmienić wszędzie.</t>
        </is>
      </c>
      <c r="E42" s="2" t="inlineStr">
        <is>
          <t>K2-11, K13; D34</t>
        </is>
      </c>
      <c r="F42" s="2" t="inlineStr">
        <is>
          <t>WYSOKI</t>
        </is>
      </c>
      <c r="G42" s="2" t="inlineStr">
        <is>
          <t>TEKST GOTOWY (Sekcja_1.3_i_ceny.docx, zamknięty); dalsze zmiany wg Zmiany_do_wprowadzenia (D47, D48)</t>
        </is>
      </c>
    </row>
    <row r="43">
      <c r="A43" s="2" t="inlineStr">
        <is>
          <t>N42</t>
        </is>
      </c>
      <c r="B43" s="2" t="inlineStr">
        <is>
          <t>1.3 i model: wartość roszczenia i ROI</t>
        </is>
      </c>
      <c r="C43" s="2" t="inlineStr">
        <is>
          <t>5 500 PLN, 3 000-15 000 PLN, 5 500-23 000 PLN, „ROI dodatni od 1. roku”.</t>
        </is>
      </c>
      <c r="D43" s="2" t="inlineStr">
        <is>
          <t>Zastąpić obliczeniem CMR z kursem SDR (8 489-21 222 PLN); usunąć ROI.</t>
        </is>
      </c>
      <c r="E43" s="2" t="inlineStr">
        <is>
          <t>K2-06, K2-14; D34</t>
        </is>
      </c>
      <c r="F43" s="2" t="inlineStr">
        <is>
          <t>WYSOKI</t>
        </is>
      </c>
      <c r="G43" s="2" t="inlineStr">
        <is>
          <t>TEKST GOTOWY (Sekcja_1.3_i_ceny.docx, zamknięty); dalsze zmiany wg Zmiany_do_wprowadzenia (D47, D48)</t>
        </is>
      </c>
    </row>
    <row r="44">
      <c r="A44" s="2" t="inlineStr">
        <is>
          <t>N43</t>
        </is>
      </c>
      <c r="B44" s="2" t="inlineStr">
        <is>
          <t>1.3 ceny konkurencji</t>
        </is>
      </c>
      <c r="C44" s="2" t="inlineStr">
        <is>
          <t>Brak cen konkurencji.</t>
        </is>
      </c>
      <c r="D44" s="2" t="inlineStr">
        <is>
          <t>Wpisać zakres z ofert (T10) albo orientacyjny SkyBitz z Capterra.</t>
        </is>
      </c>
      <c r="E44" s="2" t="inlineStr">
        <is>
          <t>K2-14, K2-15</t>
        </is>
      </c>
      <c r="F44" s="2" t="inlineStr">
        <is>
          <t>WYSOKI</t>
        </is>
      </c>
      <c r="G44" s="2" t="inlineStr">
        <is>
          <t>TEKST GOTOWY (Sekcja_1.3_i_ceny.docx, zamknięty); dalsze zmiany wg Zmiany_do_wprowadzenia (D47, D48)</t>
        </is>
      </c>
    </row>
    <row r="45">
      <c r="A45" s="2" t="inlineStr">
        <is>
          <t>N44</t>
        </is>
      </c>
      <c r="B45" s="2" t="inlineStr">
        <is>
          <t>Model finansowy: komentarz w Przychodach</t>
        </is>
      </c>
      <c r="C45" s="2" t="inlineStr">
        <is>
          <t>„Ekspansja CEE od 2033”, „ROI od pierwszego roku”, 5 500 PLN, spadek naczep 31,4% (z liczb 31,8%).</t>
        </is>
      </c>
      <c r="D45" s="2" t="inlineStr">
        <is>
          <t>ZROBIONE w modelu (Model_finansowy_CargoDT_Everest_II_kwartal_2026.xlsm, Przychody B255): trzej operatorzy z LOI na 50 naczep, 31,8%, eFTI od 21.08.2025 dobrowolne dla przewoźników, limit CMR 8 489-21 222 zł zamiast 5 500 zł i ROI, bez ekspansji CEE.</t>
        </is>
      </c>
      <c r="E45" s="2" t="inlineStr">
        <is>
          <t>K2-12, K2-16</t>
        </is>
      </c>
      <c r="F45" s="2" t="inlineStr">
        <is>
          <t>ŚREDNI</t>
        </is>
      </c>
      <c r="G45" s="2" t="inlineStr">
        <is>
          <t>OTWARTE</t>
        </is>
      </c>
    </row>
    <row r="46">
      <c r="A46" s="2" t="inlineStr">
        <is>
          <t>N45</t>
        </is>
      </c>
      <c r="B46" s="2" t="inlineStr">
        <is>
          <t>2.1 data wdrożenia i flota własna</t>
        </is>
      </c>
      <c r="C46" s="2" t="inlineStr">
        <is>
          <t>11.2029 vs start sprzedaży 01.2030 (D09); „20 naczep” bez floty.</t>
        </is>
      </c>
      <c r="D46" s="2" t="inlineStr">
        <is>
          <t>Ujednolicić: 01.2030; flota własna 5 zestawów w najmie, aneks do 20 (D10).</t>
        </is>
      </c>
      <c r="E46" s="2" t="inlineStr">
        <is>
          <t>K2-01, K2-06; D09, D10</t>
        </is>
      </c>
      <c r="F46" s="2" t="inlineStr">
        <is>
          <t>WYSOKI</t>
        </is>
      </c>
      <c r="G46" s="2" t="inlineStr">
        <is>
          <t>TEKST GOTOWY (Sekcja_1.3_i_ceny.docx, zamknięty); dalsze zmiany wg Zmiany_do_wprowadzenia (D47, D48)</t>
        </is>
      </c>
    </row>
    <row r="47">
      <c r="A47" s="2" t="inlineStr">
        <is>
          <t>N46</t>
        </is>
      </c>
      <c r="B47" s="2" t="inlineStr">
        <is>
          <t>Prezentacja z panelu</t>
        </is>
      </c>
      <c r="C47" s="2" t="inlineStr">
        <is>
          <t>600 000 naczep w Polsce i CEE.</t>
        </is>
      </c>
      <c r="D47" s="2" t="inlineStr">
        <is>
          <t>Używać jednej podstawy (TAM 544,97 tys. dla Polski).</t>
        </is>
      </c>
      <c r="E47" s="2" t="inlineStr">
        <is>
          <t>K2-05</t>
        </is>
      </c>
      <c r="F47" s="2" t="inlineStr">
        <is>
          <t>NISKI</t>
        </is>
      </c>
      <c r="G47" s="2" t="inlineStr">
        <is>
          <t>NIE DOTYCZY (prezentacja z panelu, bez zmian we wniosku)</t>
        </is>
      </c>
    </row>
    <row r="48">
      <c r="A48" s="2" t="inlineStr">
        <is>
          <t>N47</t>
        </is>
      </c>
      <c r="B48" s="2" t="inlineStr">
        <is>
          <t>2.1 Segment 3, Z10 pkt 3.2.2, 1.3</t>
        </is>
      </c>
      <c r="C48" s="2" t="inlineStr">
        <is>
          <t>„400 000-600 000 naczep” w CEE bez źródła; „0% substytutów”; „eFTI obejmuje wszystkich operatorów”.</t>
        </is>
      </c>
      <c r="D48" s="2" t="inlineStr">
        <is>
          <t>Usunąć lub oprzeć na Eurostacie; zamienić tezę o eFTI zgodnie z N41; złagodzić „0% substytutów”.</t>
        </is>
      </c>
      <c r="E48" s="2" t="inlineStr">
        <is>
          <t>K2-05; N41, T19</t>
        </is>
      </c>
      <c r="F48" s="2" t="inlineStr">
        <is>
          <t>WYSOKI</t>
        </is>
      </c>
      <c r="G48" s="2" t="inlineStr">
        <is>
          <t>TEKST GOTOWY (Sekcja_1.3_i_ceny.docx, zamknięty); dalsze zmiany wg Zmiany_do_wprowadzenia (D47, D48)</t>
        </is>
      </c>
    </row>
    <row r="49">
      <c r="A49" s="2" t="inlineStr">
        <is>
          <t>N48</t>
        </is>
      </c>
      <c r="B49" s="2" t="inlineStr">
        <is>
          <t>2.1 Etap 1 i model finansowy (komentarz Przychody)</t>
        </is>
      </c>
      <c r="C49" s="2" t="inlineStr">
        <is>
          <t>„Wdrożenie we własnej działalności”, 20 naczep wdrożenia własnego, „4 klientów” w progu 50 pojazdów.</t>
        </is>
      </c>
      <c r="D49" s="2" t="inlineStr">
        <is>
          <t>Cel 50 pojazdów u trzech operatorów (LOI na łącznie 50 naczep); wdrożenie własne opisać jako wprowadzenie usługi i integrację z TMS.</t>
        </is>
      </c>
      <c r="E49" s="2" t="inlineStr">
        <is>
          <t>K2-01; D35</t>
        </is>
      </c>
      <c r="F49" s="2" t="inlineStr">
        <is>
          <t>WYSOKI</t>
        </is>
      </c>
      <c r="G49" s="2" t="inlineStr">
        <is>
          <t>TEKST GOTOWY (Sekcja_1.3_i_ceny.docx, zamknięty); dalsze zmiany wg Zmiany_do_wprowadzenia (D47, D48)</t>
        </is>
      </c>
    </row>
    <row r="50">
      <c r="A50" s="2" t="inlineStr">
        <is>
          <t>N49</t>
        </is>
      </c>
      <c r="B50" s="2" t="inlineStr">
        <is>
          <t>2.1 pkt cena i opłacalność</t>
        </is>
      </c>
      <c r="C50" s="2" t="inlineStr">
        <is>
          <t>„Reklamacja śr. 3 000-15 000 PLN”, „system zwraca się przy uniknięciu jednej reklamacji rocznie”.</t>
        </is>
      </c>
      <c r="D50" s="2" t="inlineStr">
        <is>
          <t>Zastąpić obliczeniem CMR 8 489-21 222 PLN (kurs SDR 5,0954) i opisem z 1.3 (część V).</t>
        </is>
      </c>
      <c r="E50" s="2" t="inlineStr">
        <is>
          <t>K2-06; N42</t>
        </is>
      </c>
      <c r="F50" s="2" t="inlineStr">
        <is>
          <t>ŚREDNI</t>
        </is>
      </c>
      <c r="G50" s="2" t="inlineStr">
        <is>
          <t>TEKST GOTOWY (Sekcja_1.3_i_ceny.docx, zamknięty); dalsze zmiany wg Zmiany_do_wprowadzenia (D47, D48)</t>
        </is>
      </c>
    </row>
    <row r="51">
      <c r="A51" s="2" t="inlineStr">
        <is>
          <t>N50</t>
        </is>
      </c>
      <c r="B51" s="2" t="inlineStr">
        <is>
          <t>2.3 Rynek docelowy i Plan wprowadzenia, 2.4, 2.1 (data wdrożenia), Z10 3.2.2, model (komentarz Przychody)</t>
        </is>
      </c>
      <c r="C51" s="2" t="inlineStr">
        <is>
          <t>Wdrożenie własne na 20 naczepach, CEE 400-600 tys. bez źródła, SAM „w Polsce i regionie CEE”, reklamacja 3 000-15 000 PLN, data wdrożenia 11.2029.</t>
        </is>
      </c>
      <c r="D51" s="2" t="inlineStr">
        <is>
          <t>Wpisać nowe teksty R23 i P23 oraz zmiany z tabeli 5.3 w pliku Sekcja_1.3_i_ceny.docx.</t>
        </is>
      </c>
      <c r="E51" s="2" t="inlineStr">
        <is>
          <t>K2-01, K2-05, K2-06; D35, D09</t>
        </is>
      </c>
      <c r="F51" s="2" t="inlineStr">
        <is>
          <t>WYSOKI</t>
        </is>
      </c>
      <c r="G51" s="2" t="inlineStr">
        <is>
          <t>TEKST GOTOWY (Sekcja_1.3_i_ceny.docx, zamknięty); dalsze zmiany wg Zmiany_do_wprowadzenia (D47, D48)</t>
        </is>
      </c>
    </row>
    <row r="52">
      <c r="A52" s="2" t="inlineStr">
        <is>
          <t>N51</t>
        </is>
      </c>
      <c r="B52" s="2" t="inlineStr">
        <is>
          <t>2.2 Opis uzyskanych wyników i Wykazanie braku barier</t>
        </is>
      </c>
      <c r="C52" s="2" t="inlineStr">
        <is>
          <t>Wyszukiwarka sugeruje możliwe rozbieżności w opisach patentów (właściciel US 11,685,400 B2; charakter US 2013/0342653 A1 i US 7,468,660 B2; właściciel US 11,151,506 B2). NIEZWERYFIKOWANE: baz patentowych nie ma w dostępie, dane z wyszukiwarki były sprzeczne.</t>
        </is>
      </c>
      <c r="D52" s="2" t="inlineStr">
        <is>
          <t>Sprawdzić 5 patentów z wniosku w Espacenet i Google Patents (adresy w pliku, część 2). Jeśli opis się nie zgadza, poprawić. Teksty z pliku Sekcja_2.2_i_2.5 opierają się na opisach z wniosku i zawierają miejsca na status i terytorium.</t>
        </is>
      </c>
      <c r="E52" s="2" t="inlineStr">
        <is>
          <t>K2-03, K2-09; N38</t>
        </is>
      </c>
      <c r="F52" s="2" t="inlineStr">
        <is>
          <t>WYSOKI</t>
        </is>
      </c>
      <c r="G52" s="2" t="inlineStr">
        <is>
          <t>DO SPRAWDZENIA (T13)</t>
        </is>
      </c>
    </row>
    <row r="53">
      <c r="A53" s="2" t="inlineStr">
        <is>
          <t>N52</t>
        </is>
      </c>
      <c r="B53" s="2" t="inlineStr">
        <is>
          <t>2.2 Opis sposobu uregulowania praw</t>
        </is>
      </c>
      <c r="C53" s="2" t="inlineStr">
        <is>
          <t>Przeniesienie praw PRz „do 12 miesięcy po projekcie” (04.2030) vs sprzedaż od 01.2030.</t>
        </is>
      </c>
      <c r="D53" s="2" t="inlineStr">
        <is>
          <t>Wpisać harmonogram wg § 11 umowy konsorcjum: oświadczenie do 28.08.2029, wycena, przeniesienie do 30.11.2029, brak sprzedaży przed przeniesieniem (tekst 3.3 pliku Sekcja_2.2_i_2.5).</t>
        </is>
      </c>
      <c r="E53" s="2" t="inlineStr">
        <is>
          <t>K2-02; D36</t>
        </is>
      </c>
      <c r="F53" s="2" t="inlineStr">
        <is>
          <t>WYSOKI</t>
        </is>
      </c>
      <c r="G53" s="2" t="inlineStr">
        <is>
          <t>TEKST GOTOWY (Sekcja_2.2_i_2.5), potwierdzenia: T13</t>
        </is>
      </c>
    </row>
    <row r="54">
      <c r="A54" s="2" t="inlineStr">
        <is>
          <t>N53</t>
        </is>
      </c>
      <c r="B54" s="2" t="inlineStr">
        <is>
          <t>2.5 Zasoby kadrowe, techniczne, pozostałe</t>
        </is>
      </c>
      <c r="C54" s="2" t="inlineStr">
        <is>
          <t>Brak skalowania montażu i wsparcia, parametrów chmury, podmiotu produkcji, certyfikatów i WNiP; flota testowa używana do demonstracji klientom.</t>
        </is>
      </c>
      <c r="D54" s="2" t="inlineStr">
        <is>
          <t>Wpisać teksty 4.1-4.3 z pliku; usunąć demonstracje na prototypach (K3-56).</t>
        </is>
      </c>
      <c r="E54" s="2" t="inlineStr">
        <is>
          <t>K2-04, K2-07, K2-08</t>
        </is>
      </c>
      <c r="F54" s="2" t="inlineStr">
        <is>
          <t>WYSOKI</t>
        </is>
      </c>
      <c r="G54" s="2" t="inlineStr">
        <is>
          <t>TEKST GOTOWY (Sekcja_2.2_i_2.5), potwierdzenia: T13</t>
        </is>
      </c>
    </row>
    <row r="55">
      <c r="A55" s="2" t="inlineStr">
        <is>
          <t>N54</t>
        </is>
      </c>
      <c r="B55" s="2" t="inlineStr">
        <is>
          <t>Radar: 77 GHz vs 60 GHz</t>
        </is>
      </c>
      <c r="C55" s="2" t="inlineStr">
        <is>
          <t>Wniosek: radar FMCW 77 GHz; budżet: TI IWR6843 (60 GHz).</t>
        </is>
      </c>
      <c r="D55" s="2" t="inlineStr">
        <is>
          <t>Ujednolicić pasmo w 1.2, Z2, 2.5 i budżecie; zależy od niego ścieżka certyfikacji RED.</t>
        </is>
      </c>
      <c r="E55" s="2" t="inlineStr">
        <is>
          <t>K3-55, K2-04</t>
        </is>
      </c>
      <c r="F55" s="2" t="inlineStr">
        <is>
          <t>ŚREDNI</t>
        </is>
      </c>
      <c r="G55" s="2" t="inlineStr">
        <is>
          <t>OTWARTE: odpowiedź działu technicznego (T35)</t>
        </is>
      </c>
    </row>
    <row r="56">
      <c r="A56" s="2" t="inlineStr">
        <is>
          <t>N55</t>
        </is>
      </c>
      <c r="B56" s="2" t="inlineStr">
        <is>
          <t>1.2 / W3 i opis innowacji: „pierwsza implementacja CV zabezpieczeń”</t>
        </is>
      </c>
      <c r="C56" s="2" t="inlineStr">
        <is>
          <t>Twierdzenia o braku prac o CV zabezpieczeń; istnieją patenty i prace o monitorowaniu zabezpieczeń ładunku.</t>
        </is>
      </c>
      <c r="D56" s="2" t="inlineStr">
        <is>
          <t>Zmienić na „według dostępnej dokumentacji brak systemu analizy obrazu dla naczepy”.</t>
        </is>
      </c>
      <c r="E56" s="2" t="inlineStr">
        <is>
          <t>K1-01; N33</t>
        </is>
      </c>
      <c r="F56" s="2" t="inlineStr">
        <is>
          <t>ŚREDNI</t>
        </is>
      </c>
      <c r="G56" s="2" t="inlineStr">
        <is>
          <t>TEKST GOTOWY (Wskazniki_innowacyjnosci_1.2_i_1.4.docx), 6 żółtych parametrów: T11</t>
        </is>
      </c>
    </row>
    <row r="57">
      <c r="A57" s="2" t="inlineStr">
        <is>
          <t>N56</t>
        </is>
      </c>
      <c r="B57" s="2" t="inlineStr">
        <is>
          <t>2.5: eFTI „opracowana w Z8”</t>
        </is>
      </c>
      <c r="C57" s="2" t="inlineStr">
        <is>
          <t>Numer zadania.</t>
        </is>
      </c>
      <c r="D57" s="2" t="inlineStr">
        <is>
          <t>Poprawić na Z6.</t>
        </is>
      </c>
      <c r="E57" s="2" t="inlineStr">
        <is>
          <t>K3</t>
        </is>
      </c>
      <c r="F57" s="2" t="inlineStr">
        <is>
          <t>NISKI</t>
        </is>
      </c>
      <c r="G57" s="2" t="inlineStr">
        <is>
          <t>TEKST GOTOWY (Sekcja_2.2_i_2.5), potwierdzenia: T13</t>
        </is>
      </c>
    </row>
    <row r="58">
      <c r="A58" s="2" t="inlineStr">
        <is>
          <t>N57</t>
        </is>
      </c>
      <c r="B58" s="2" t="inlineStr">
        <is>
          <t>Model finansowy, arkusz Koszty operacyjne: koszt własny sprzedanego sprzętu</t>
        </is>
      </c>
      <c r="C58" s="2" t="inlineStr">
        <is>
          <t>Koszt komponentów zestawu w modelu: 4 875 zł za zestaw (243,75 tys. zł dla 50 sztuk w 2030 r.), czyli 65% ceny 7 500 zł. Arkusz 5 (ceny publiczne, rabat 30%) daje ok. 7 606 zł.</t>
        </is>
      </c>
      <c r="D58" s="2" t="inlineStr">
        <is>
          <t>Decyzja właścicielki (02.10.2026): koszt komponentów zostaje jak w modelu, 4 875 zł za zestaw (65% ceny). Do uspójnienia: tekst 1.3 (część V) i odpowiedź na K2-12 i K2-13 muszą podać podstawę tej kwoty (konfiguracja zestawu, źródło cen). Arkusz 5 (ok. 7,6 tys. zł przy rabacie 30%) zostaje jako ryzyko.</t>
        </is>
      </c>
      <c r="E58" s="2" t="inlineStr">
        <is>
          <t>K2-12, K2-13; D11</t>
        </is>
      </c>
      <c r="F58" s="2" t="inlineStr">
        <is>
          <t>WYSOKI</t>
        </is>
      </c>
      <c r="G58" s="2" t="inlineStr">
        <is>
          <t>DO USPÓJNIENIA</t>
        </is>
      </c>
    </row>
    <row r="59">
      <c r="A59" s="2" t="inlineStr">
        <is>
          <t>N58</t>
        </is>
      </c>
      <c r="B59" s="2" t="inlineStr">
        <is>
          <t>Model finansowy, arkusz Koszty operacyjne: komentarz</t>
        </is>
      </c>
      <c r="C59" s="2" t="inlineStr">
        <is>
          <t>„Cel 50 pojazdów w 2030 r. pokrywają już 4 kontrakty” oraz „zespół komercjalizacji” bez liczby etatów.</t>
        </is>
      </c>
      <c r="D59" s="2" t="inlineStr">
        <is>
          <t>PROPOZYCJA (D53): zespół komercjalizacji 1,5; 2,0; 2,5; 3,5; 4,5 etatu przy 19,2 tys. zł/etat (komentarz w arkuszu Koszty operacyjne). Do zatwierdzenia.</t>
        </is>
      </c>
      <c r="E59" s="2" t="inlineStr">
        <is>
          <t>K2-13; D35</t>
        </is>
      </c>
      <c r="F59" s="2" t="inlineStr">
        <is>
          <t>ŚREDNI</t>
        </is>
      </c>
      <c r="G59" s="2" t="inlineStr">
        <is>
          <t>DO USPÓJNIENIA</t>
        </is>
      </c>
    </row>
    <row r="60">
      <c r="A60" s="2" t="inlineStr">
        <is>
          <t>N59</t>
        </is>
      </c>
      <c r="B60" s="2" t="inlineStr">
        <is>
          <t>6.1 vs 3.1.2: nazwy stanowisk i status współpracy</t>
        </is>
      </c>
      <c r="C60" s="2" t="inlineStr">
        <is>
          <t>„Cybersecurity Specialist” w 6.1 vs „Cybersecurity / AI Act Specialist” w 3.1.2; pole „Status współpracy” z wszystkimi opcjami; wymiar bez zadań i miesięcy.</t>
        </is>
      </c>
      <c r="D60" s="2" t="inlineStr">
        <is>
          <t>Wpisać teksty z pliku Sekcja_6.1_zespol_projektowy.docx i ujednolicić nazwy z 3.1.2.</t>
        </is>
      </c>
      <c r="E60" s="2" t="inlineStr">
        <is>
          <t>K5-10; D37</t>
        </is>
      </c>
      <c r="F60" s="2" t="inlineStr">
        <is>
          <t>WYSOKI</t>
        </is>
      </c>
      <c r="G60" s="2" t="inlineStr">
        <is>
          <t>TEKST GOTOWY (Sekcja_6.1 i 3.1.2), założenia D37: T23</t>
        </is>
      </c>
    </row>
    <row r="61">
      <c r="A61" s="2" t="inlineStr">
        <is>
          <t>N60</t>
        </is>
      </c>
      <c r="B61" s="2" t="inlineStr">
        <is>
          <t>7.1: liczba osób w zespole</t>
        </is>
      </c>
      <c r="C61" s="2" t="inlineStr">
        <is>
          <t>„3 z 16 osób (2 z 9 u Lidera i 1 z 7 w PRz)” vs 9 osób Everest11 i 5 osób PRz z nazwiska plus osoby planowane.</t>
        </is>
      </c>
      <c r="D61" s="2" t="inlineStr">
        <is>
          <t>Sprawdzić z końcowym składem i poprawić liczby w 7.1.</t>
        </is>
      </c>
      <c r="E61" s="2" t="inlineStr">
        <is>
          <t>K5-11</t>
        </is>
      </c>
      <c r="F61" s="2" t="inlineStr">
        <is>
          <t>NISKI</t>
        </is>
      </c>
      <c r="G61" s="2" t="inlineStr">
        <is>
          <t>TEKST GOTOWY (Sekcja_6.1 i 3.1.2), założenia D37: T23</t>
        </is>
      </c>
    </row>
    <row r="62">
      <c r="A62" s="2" t="inlineStr">
        <is>
          <t>N61</t>
        </is>
      </c>
      <c r="B62" s="2" t="inlineStr">
        <is>
          <t>Z2 i Z6: zakresy IT Specialist i Backend</t>
        </is>
      </c>
      <c r="C62" s="2" t="inlineStr">
        <is>
          <t>Nakładające się prace (strukturyzacja zbioru w Z2, API i eFTI w Z6).</t>
        </is>
      </c>
      <c r="D62" s="2" t="inlineStr">
        <is>
          <t>Rozdział wprowadzony w tekstach zadań (Opisy_zadan, uzasadnienia kosztu Z2 i Z6) i w 6.1; wpisać w LSI w tej samej postaci.</t>
        </is>
      </c>
      <c r="E62" s="2" t="inlineStr">
        <is>
          <t>K5-02</t>
        </is>
      </c>
      <c r="F62" s="2" t="inlineStr">
        <is>
          <t>ŚREDNI</t>
        </is>
      </c>
      <c r="G62" s="2" t="inlineStr">
        <is>
          <t>TEKST GOTOWY (Sekcja_6.1 i 3.1.2), założenia D37: T23</t>
        </is>
      </c>
    </row>
    <row r="63">
      <c r="A63" s="2" t="inlineStr">
        <is>
          <t>N62</t>
        </is>
      </c>
      <c r="B63" s="2" t="inlineStr">
        <is>
          <t>6.2 Everest11: flota testowa i biuro</t>
        </is>
      </c>
      <c r="C63" s="2" t="inlineStr">
        <is>
          <t>„Zasób w posiadaniu Lidera” przy flocie; biuro bez adresu i tytułu prawnego; Z7 na infrastrukturze PRz.</t>
        </is>
      </c>
      <c r="D63" s="2" t="inlineStr">
        <is>
          <t>Wpisać pozycje z pliku Sekcja_6.2-6.4_zasoby_podwykonawca.docx; pisemne ustalenie PRz o udostępnieniu infrastruktury dla Z7 bez odpłatności.</t>
        </is>
      </c>
      <c r="E63" s="2" t="inlineStr">
        <is>
          <t>K5-12, K5-15, K5-16</t>
        </is>
      </c>
      <c r="F63" s="2" t="inlineStr">
        <is>
          <t>ŚREDNI</t>
        </is>
      </c>
      <c r="G63" s="2" t="inlineStr">
        <is>
          <t>TEKST GOTOWY (Sekcja_6.2-6.4), żółte pola: T25, T26</t>
        </is>
      </c>
    </row>
    <row r="64">
      <c r="A64" s="2" t="inlineStr">
        <is>
          <t>N63</t>
        </is>
      </c>
      <c r="B64" s="2" t="inlineStr">
        <is>
          <t>6.4 podwykonawca montażu</t>
        </is>
      </c>
      <c r="C64" s="2" t="inlineStr">
        <is>
          <t>Warunki minimalne bez liczby osób, doświadczenia i sposobu weryfikacji; niejasny wymóg „bez naruszenia homologacji”.</t>
        </is>
      </c>
      <c r="D64" s="2" t="inlineStr">
        <is>
          <t>Wpisać pola Kadrowe, Aparatura i Infrastruktura z pliku.</t>
        </is>
      </c>
      <c r="E64" s="2" t="inlineStr">
        <is>
          <t>K5-19</t>
        </is>
      </c>
      <c r="F64" s="2" t="inlineStr">
        <is>
          <t>ŚREDNI</t>
        </is>
      </c>
      <c r="G64" s="2" t="inlineStr">
        <is>
          <t>TEKST GOTOWY, do wklejenia w LSI (T09)</t>
        </is>
      </c>
    </row>
    <row r="65">
      <c r="A65" s="2" t="inlineStr">
        <is>
          <t>N64</t>
        </is>
      </c>
      <c r="B65" s="2" t="inlineStr">
        <is>
          <t>7.1, 7.2, 7.3 wniosek</t>
        </is>
      </c>
      <c r="C65" s="2" t="inlineStr">
        <is>
          <t>Stary tekst: zestaw retrofit neutralny (a ma panel HMI i buzzer), 16 osób i 10 stanowisk w zespole, opisy bez konkretnych działań per artykuł</t>
        </is>
      </c>
      <c r="D65" s="2" t="inlineStr">
        <is>
          <t>Wkleić teksty z Sekcja_7_zasady_horyzontalne_6R.docx (7.1 z tabelą 7 pozycji, 7.2, 7.3)</t>
        </is>
      </c>
      <c r="E65" s="2" t="inlineStr">
        <is>
          <t>K10-01..06, K11-01, K12-01</t>
        </is>
      </c>
      <c r="F65" s="2" t="inlineStr">
        <is>
          <t>WYSOKI</t>
        </is>
      </c>
      <c r="G65" s="2" t="inlineStr">
        <is>
          <t>TEKST GOTOWY (Sekcja_7_zasady_horyzontalne_6R.docx), zobowiązania: T27-T29</t>
        </is>
      </c>
    </row>
    <row r="66">
      <c r="A66" s="2" t="inlineStr">
        <is>
          <t>N65</t>
        </is>
      </c>
      <c r="B66" s="2" t="inlineStr">
        <is>
          <t>7.4 i 8.2 wniosek</t>
        </is>
      </c>
      <c r="C66" s="2" t="inlineStr">
        <is>
          <t>Wariant A, reduce 65% do 80% i refuse 0% do 90%, zielone zamówienia, niszczenie w toku badań</t>
        </is>
      </c>
      <c r="D66" s="2" t="inlineStr">
        <is>
          <t>Wariant B, reduce, dwa wskaźniki z pliku; teksty trzech aktów prawnych; 8.1 PLRR051 opisy metodologii i weryfikacji</t>
        </is>
      </c>
      <c r="E66" s="2" t="inlineStr">
        <is>
          <t>K13-01..06, D17, D38</t>
        </is>
      </c>
      <c r="F66" s="2" t="inlineStr">
        <is>
          <t>WYSOKI</t>
        </is>
      </c>
      <c r="G66" s="2" t="inlineStr">
        <is>
          <t>TEKST GOTOWY (Sekcja_7_zasady_horyzontalne_6R.docx), zobowiązania: T27-T29</t>
        </is>
      </c>
    </row>
    <row r="67">
      <c r="A67" s="2" t="inlineStr">
        <is>
          <t>N66</t>
        </is>
      </c>
      <c r="B67" s="2" t="inlineStr">
        <is>
          <t>7.1 opis panelu dyspozytora</t>
        </is>
      </c>
      <c r="C67" s="2" t="inlineStr">
        <is>
          <t>„zaprojektowana i wdrożona” WCAG 2.1 AA</t>
        </is>
      </c>
      <c r="D67" s="2" t="inlineStr">
        <is>
          <t>Panel jako wynik projektu weryfikowany w Z9, wdrożenie komercyjne po projekcie (opisy zadań wyłączają produkcyjny dashboard)</t>
        </is>
      </c>
      <c r="E67" s="2" t="inlineStr">
        <is>
          <t>K10-04, K10-05</t>
        </is>
      </c>
      <c r="F67" s="2" t="inlineStr">
        <is>
          <t>ŚREDNI</t>
        </is>
      </c>
      <c r="G67" s="2" t="inlineStr">
        <is>
          <t>TEKST GOTOWY (Sekcja_7_zasady_horyzontalne_6R.docx), zobowiązania: T27-T29</t>
        </is>
      </c>
    </row>
    <row r="68">
      <c r="A68" s="2" t="inlineStr">
        <is>
          <t>N67</t>
        </is>
      </c>
      <c r="B68" s="2" t="inlineStr">
        <is>
          <t>Opisy Z1, Z6, Z7, Z9</t>
        </is>
      </c>
      <c r="C68" s="2" t="inlineStr">
        <is>
          <t>Brak kryteriów dostępności i pomiaru papieru i danych do chmury</t>
        </is>
      </c>
      <c r="D68" s="2" t="inlineStr">
        <is>
          <t>Dopisać: kryteria dostępności w specyfikacji Z1, test panelu HMI w Z7, lista kontrolna WCAG w UX Z9, liczniki papieru (Z6, Z9) i bajtów (Z7, Z9)</t>
        </is>
      </c>
      <c r="E68" s="2" t="inlineStr">
        <is>
          <t>K10-04, K13-01..04</t>
        </is>
      </c>
      <c r="F68" s="2" t="inlineStr">
        <is>
          <t>ŚREDNI</t>
        </is>
      </c>
      <c r="G68" s="2" t="inlineStr">
        <is>
          <t>TEKST GOTOWY w Opisach zadań (zamknięte), 62 żółte wartości: T11, T35</t>
        </is>
      </c>
    </row>
    <row r="69">
      <c r="A69" s="2" t="inlineStr">
        <is>
          <t>N68</t>
        </is>
      </c>
      <c r="B69" s="2" t="inlineStr">
        <is>
          <t>3.2.5 Koszty uproszczone i 8.1 wskaźnik wyjazdów</t>
        </is>
      </c>
      <c r="C69" s="2" t="inlineStr">
        <is>
          <t>Sekcja 3.2.5 pusta, brak wskaźnika „Zrealizowany wyjazd służbowy na 1 pracownika, Europa”</t>
        </is>
      </c>
      <c r="D69" s="2" t="inlineStr">
        <is>
          <t>Dodać 2 pozycje stawek (10-4, 10-5) i wskaźnik = 3</t>
        </is>
      </c>
      <c r="E69" s="2" t="inlineStr">
        <is>
          <t>K3-65</t>
        </is>
      </c>
      <c r="F69" s="2" t="inlineStr">
        <is>
          <t>WYSOKI</t>
        </is>
      </c>
      <c r="G69" s="2" t="inlineStr">
        <is>
          <t>TEKST GOTOWY (Sekcja_3.2_internacjonalizacja_Z10_Z11.docx), T32, T36</t>
        </is>
      </c>
    </row>
    <row r="70">
      <c r="A70" s="2" t="inlineStr">
        <is>
          <t>N69</t>
        </is>
      </c>
      <c r="B70" s="2" t="inlineStr">
        <is>
          <t>3.2.3 pozycja tłumaczenia EPO</t>
        </is>
      </c>
      <c r="C70" s="2" t="inlineStr">
        <is>
          <t>Wydatki ogółem 3 500 równe kwalifikowalnym mimo VAT 23%</t>
        </is>
      </c>
      <c r="D70" s="2" t="inlineStr">
        <is>
          <t>Ogółem 4 305</t>
        </is>
      </c>
      <c r="E70" s="2" t="inlineStr">
        <is>
          <t>K3-59</t>
        </is>
      </c>
      <c r="F70" s="2" t="inlineStr">
        <is>
          <t>NISKI</t>
        </is>
      </c>
      <c r="G70" s="2" t="inlineStr">
        <is>
          <t>TEKST GOTOWY (Sekcja_3.2_internacjonalizacja_Z10_Z11.docx), T32, T36</t>
        </is>
      </c>
    </row>
    <row r="71">
      <c r="A71" s="2" t="inlineStr">
        <is>
          <t>N70</t>
        </is>
      </c>
      <c r="B71" s="2" t="inlineStr">
        <is>
          <t>8.2 wskaźnik FENGR-001 i komentarz modelu Przychody</t>
        </is>
      </c>
      <c r="C71" s="2" t="inlineStr">
        <is>
          <t>489 300 zł jako przychód poza RP</t>
        </is>
      </c>
      <c r="D71" s="2" t="inlineStr">
        <is>
          <t>0 zł w 2030 r. (D40); model bez zmian</t>
        </is>
      </c>
      <c r="E71" s="2" t="inlineStr">
        <is>
          <t>K14-01; D40</t>
        </is>
      </c>
      <c r="F71" s="2" t="inlineStr">
        <is>
          <t>WYSOKI</t>
        </is>
      </c>
      <c r="G71" s="2" t="inlineStr">
        <is>
          <t>TEKST GOTOWY (Sekcja_3.2_internacjonalizacja_Z10_Z11.docx), T32, T36</t>
        </is>
      </c>
    </row>
    <row r="72">
      <c r="A72" s="2" t="inlineStr">
        <is>
          <t>N71</t>
        </is>
      </c>
      <c r="B72" s="2" t="inlineStr">
        <is>
          <t>3.2.2 Z11 opis i 2.2 prawa</t>
        </is>
      </c>
      <c r="C72" s="2" t="inlineStr">
        <is>
          <t>Prawa PRz przenosi „przed zgłoszeniem”, rozliczenie „12 miesięcy po projekcie”</t>
        </is>
      </c>
      <c r="D72" s="2" t="inlineStr">
        <is>
          <t>Nowy tekst Z11: umowa o wykonywaniu wspólnych praw (§ 11 ust. 5) i terminy z § 11 (28.08.2029, 30.11.2029)</t>
        </is>
      </c>
      <c r="E72" s="2" t="inlineStr">
        <is>
          <t>K2-02; D36</t>
        </is>
      </c>
      <c r="F72" s="2" t="inlineStr">
        <is>
          <t>WYSOKI</t>
        </is>
      </c>
      <c r="G72" s="2" t="inlineStr">
        <is>
          <t>TEKST GOTOWY (Sekcja_3.2_internacjonalizacja_Z10_Z11.docx), T32, T36</t>
        </is>
      </c>
    </row>
    <row r="73">
      <c r="A73" s="2" t="inlineStr">
        <is>
          <t>N72</t>
        </is>
      </c>
      <c r="B73" s="2" t="inlineStr">
        <is>
          <t>3.1.3 pozycje amortyzacji (14)</t>
        </is>
      </c>
      <c r="C73" s="2" t="inlineStr">
        <is>
          <t>Zdanie „tylko celów nie związanych z projektem” (7 pozycji Everest11), brak parametrów odpisu, edge AI 500 zł bez źródła, radar „fill rate”, OAK-D jako ToF</t>
        </is>
      </c>
      <c r="D73" s="2" t="inlineStr">
        <is>
          <t>Wkleić pola z Sekcja_3.1_sprzet_i_amortyzacja.docx, zmienić kwoty w P1, P2, P3 oraz w pozycjach Everest11 wg zestawienia</t>
        </is>
      </c>
      <c r="E73" s="2" t="inlineStr">
        <is>
          <t>K3-48..58; D42</t>
        </is>
      </c>
      <c r="F73" s="2" t="inlineStr">
        <is>
          <t>WYSOKI</t>
        </is>
      </c>
      <c r="G73" s="2" t="inlineStr">
        <is>
          <t>TEKST GOTOWY (Sekcja_3.1_sprzet_i_amortyzacja.docx), ceny: T33, T35</t>
        </is>
      </c>
    </row>
    <row r="74">
      <c r="A74" s="2" t="inlineStr">
        <is>
          <t>N73</t>
        </is>
      </c>
      <c r="B74" s="2" t="inlineStr">
        <is>
          <t>7.4 odpady vs likwidacja po M30</t>
        </is>
      </c>
      <c r="C74" s="2" t="inlineStr">
        <is>
          <t>„Sprawne komponenty trafią do dalszych prac rozwojowych lub zestawów demonstracyjnych”</t>
        </is>
      </c>
      <c r="D74" s="2" t="inlineStr">
        <is>
          <t>Prototypy po Z9 demontaż, likwidacja protokołem, przekazanie ZSEE; bez dalszego użycia (K3-56). Nowy tekst w Sekcja_7_zasady_horyzontalne_6R.docx</t>
        </is>
      </c>
      <c r="E74" s="2" t="inlineStr">
        <is>
          <t>K3-56, K13-06</t>
        </is>
      </c>
      <c r="F74" s="2" t="inlineStr">
        <is>
          <t>ŚREDNI</t>
        </is>
      </c>
      <c r="G74" s="2" t="inlineStr">
        <is>
          <t>TEKST GOTOWY (Sekcja_7_zasady_horyzontalne_6R.docx), zobowiązania: T27-T29</t>
        </is>
      </c>
    </row>
    <row r="75">
      <c r="A75" s="2" t="inlineStr">
        <is>
          <t>N74</t>
        </is>
      </c>
      <c r="B75" s="2" t="inlineStr">
        <is>
          <t>3.1.2 podwykonawstwo Z2, Z9 (nazwa, uzasadnienie, metoda)</t>
        </is>
      </c>
      <c r="C75" s="2" t="inlineStr">
        <is>
          <t>Brak kalkulacji i ofert; „odbiór techniczny” w metodzie Z2; Z9 „finalnych, zwalidowanych”.</t>
        </is>
      </c>
      <c r="D75" s="2" t="inlineStr">
        <is>
          <t>Wkleić pola z Sekcja_3.1_podwykonawstwo_i_stawki_PRz.docx (części 2 i 3): Z2 obejmuje montaż i demontaż po kampanii, rozkład godzin.</t>
        </is>
      </c>
      <c r="E75" s="2" t="inlineStr">
        <is>
          <t>K3-43..47; N26, N29; D08, D44</t>
        </is>
      </c>
      <c r="F75" s="2" t="inlineStr">
        <is>
          <t>WYSOKI</t>
        </is>
      </c>
      <c r="G75" s="2" t="inlineStr">
        <is>
          <t>TEKST GOTOWY, do wklejenia w LSI (T09)</t>
        </is>
      </c>
    </row>
    <row r="76">
      <c r="A76" s="2" t="inlineStr">
        <is>
          <t>N75</t>
        </is>
      </c>
      <c r="B76" s="2" t="inlineStr">
        <is>
          <t>5. Analiza ryzyka R8</t>
        </is>
      </c>
      <c r="C76" s="2" t="inlineStr">
        <is>
          <t>Anotacja jako podwykonawstwo; brak podziału montaż Z2/Z9.</t>
        </is>
      </c>
      <c r="D76" s="2" t="inlineStr">
        <is>
          <t>Wkleić nazwę, opis i zapobieganie R8 (część 5 dokumentu).</t>
        </is>
      </c>
      <c r="E76" s="2" t="inlineStr">
        <is>
          <t>K3-46; N24</t>
        </is>
      </c>
      <c r="F76" s="2" t="inlineStr">
        <is>
          <t>WYSOKI</t>
        </is>
      </c>
      <c r="G76" s="2" t="inlineStr">
        <is>
          <t>TEKST GOTOWY, do wklejenia w LSI (T09)</t>
        </is>
      </c>
    </row>
    <row r="77">
      <c r="A77" s="2" t="inlineStr">
        <is>
          <t>N76</t>
        </is>
      </c>
      <c r="B77" s="2" t="inlineStr">
        <is>
          <t>3.1.2 PRz: 40 pozycji wynagrodzeń; Z8 stawki i godziny; Z4 nazwa kosztu</t>
        </is>
      </c>
      <c r="C77" s="2" t="inlineStr">
        <is>
          <t>Brak dodatku miesięcznego i stopnia/tytułu w metodzie, prefiks „Z4 (prace rozwojowe) ·” w nazwie; godziny Z8 liczone według stawek o 8% niższych niż w Z1-Z5.</t>
        </is>
      </c>
      <c r="D77" s="2" t="inlineStr">
        <is>
          <t>Wkleić nazwy, kwoty (Z8) i metody szacowania (części 6.2, 6.4). Suma Z8 i PRz bez zmian.</t>
        </is>
      </c>
      <c r="E77" s="2" t="inlineStr">
        <is>
          <t>K3-41, K3-42; D43</t>
        </is>
      </c>
      <c r="F77" s="2" t="inlineStr">
        <is>
          <t>WYSOKI</t>
        </is>
      </c>
      <c r="G77" s="2" t="inlineStr">
        <is>
          <t>TEKST GOTOWY (Sekcja_3.1_podwykonawstwo_i_stawki_PRz.docx, wersja ostateczna)</t>
        </is>
      </c>
    </row>
    <row r="78">
      <c r="A78" s="2" t="inlineStr">
        <is>
          <t>N77</t>
        </is>
      </c>
      <c r="B78" s="2" t="inlineStr">
        <is>
          <t>3.1.1 opis Z8 (godziny PRz) i tabela godzin osób w Opisach zadań</t>
        </is>
      </c>
      <c r="C78" s="2" t="inlineStr">
        <is>
          <t>Godziny Z8: 325/325/120/110/242/200/204/200; „Montaż i demontaż sensorów wykona podwykonawca” w Z2.</t>
        </is>
      </c>
      <c r="D78" s="2" t="inlineStr">
        <is>
          <t>Po odblokowaniu Opisów zadań: godziny Z8 301/301/111/102/224/185/189/185; zdanie Z2 wg odpowiedzi T37.</t>
        </is>
      </c>
      <c r="E78" s="2" t="inlineStr">
        <is>
          <t>K3-42, K3-45; D43, T37</t>
        </is>
      </c>
      <c r="F78" s="2" t="inlineStr">
        <is>
          <t>ŚREDNI</t>
        </is>
      </c>
      <c r="G78" s="2" t="inlineStr">
        <is>
          <t>ZROBIONE w Opisach zadań (godziny Z8); zdanie Z2 bez zmian</t>
        </is>
      </c>
    </row>
    <row r="79">
      <c r="A79" s="2" t="inlineStr">
        <is>
          <t>N78</t>
        </is>
      </c>
      <c r="B79" s="2" t="inlineStr">
        <is>
          <t>Model Everest11: Założenia C14, Sprawozdania kol. F (22 komórki), Przychody w. 27, Koszty w. 15, 24, 43, 65 (K:X); komentarze w arkuszach Sprawozdania, Przychody, Koszty (B645), Kapitał pracujący</t>
        </is>
      </c>
      <c r="C79" s="2" t="inlineStr">
        <is>
          <t>Dane za I kwartał 2026 i prognoza „I kwartał x 4”.</t>
        </is>
      </c>
      <c r="D79" s="2" t="inlineStr">
        <is>
          <t>Wprowadzić dane za II kwartał i prognozę „I półrocze x 2” wg Sekcja_K6_sprawozdanie_2Q2026_model.docx, części 2 i 4.</t>
        </is>
      </c>
      <c r="E79" s="2" t="inlineStr">
        <is>
          <t>K6-07, K6-06, K6-09; D45</t>
        </is>
      </c>
      <c r="F79" s="2" t="inlineStr">
        <is>
          <t>WYSOKI</t>
        </is>
      </c>
      <c r="G79" s="2" t="inlineStr">
        <is>
          <t>ZROBIONE w modelu (plik z 05.10); do wklejenia w LSI</t>
        </is>
      </c>
    </row>
    <row r="80">
      <c r="A80" s="2" t="inlineStr">
        <is>
          <t>N79</t>
        </is>
      </c>
      <c r="B80" s="2" t="inlineStr">
        <is>
          <t>Model Everest11, arkusz Ocena kondycji finansowej, komentarz B444</t>
        </is>
      </c>
      <c r="C80" s="2" t="inlineStr">
        <is>
          <t>Środki pieniężne „od 2 618 tys. zł w 2026 r. do 16 679 tys. zł w 2039 r.”, których model nie potwierdzał (przed zmianą 2 648 i 31 195 tys. zł); brak zdania o rentowności (K6-13); opis kontrolek bez wiersza 124.</t>
        </is>
      </c>
      <c r="D80" s="2" t="inlineStr">
        <is>
          <t>Wklejony nowy komentarz (liczby z przeliczonego modelu: 2 564 i 30 650 tys. zł) wraz ze zdaniem o rentowności i uzupełnionym opisem kontrolek.</t>
        </is>
      </c>
      <c r="E80" s="2" t="inlineStr">
        <is>
          <t>K6-13; D45</t>
        </is>
      </c>
      <c r="F80" s="2" t="inlineStr">
        <is>
          <t>WYSOKI</t>
        </is>
      </c>
      <c r="G80" s="2" t="inlineStr">
        <is>
          <t>ZROBIONE w pliku modelu</t>
        </is>
      </c>
    </row>
    <row r="81">
      <c r="A81" s="2" t="inlineStr">
        <is>
          <t>N80</t>
        </is>
      </c>
      <c r="B81" s="2" t="inlineStr">
        <is>
          <t>Model Everest11, arkusz Założenia, komentarz B79 (K6-02)</t>
        </is>
      </c>
      <c r="C81" s="2" t="inlineStr">
        <is>
          <t>Brak uzasadnienia stawki CIT i pustych stawek amortyzacji i oprocentowania.</t>
        </is>
      </c>
      <c r="D81" s="2" t="inlineStr">
        <is>
          <t>Dopisane zdania: CIT 19% (przychód 2025 powyżej 2 mln EUR), brak środków trwałych i kredytów w działalności dotychczasowej. Stawka CIT do potwierdzenia przez księgową (T42).</t>
        </is>
      </c>
      <c r="E81" s="2" t="inlineStr">
        <is>
          <t>K6-02</t>
        </is>
      </c>
      <c r="F81" s="2" t="inlineStr">
        <is>
          <t>ŚREDNI</t>
        </is>
      </c>
      <c r="G81" s="2" t="inlineStr">
        <is>
          <t>ZROBIONE w pliku modelu, do potwierdzenia</t>
        </is>
      </c>
    </row>
    <row r="82">
      <c r="A82" s="2" t="inlineStr">
        <is>
          <t>N81</t>
        </is>
      </c>
      <c r="B82" s="2" t="inlineStr">
        <is>
          <t>Koncentracja sprzedaży (Amazon 95% w 2025, 100% w 2026) vs „ponad 50 aktywnych kontrahentów” (pkt 1.3, 2.1, Przychody, Koszty)</t>
        </is>
      </c>
      <c r="C82" s="2" t="inlineStr">
        <is>
          <t>„Rozszerzenie istniejącej relacji handlowej z ponad 50 aktywnymi kontrahentami spedycyjnymi Everest11”.</t>
        </is>
      </c>
      <c r="D82" s="2" t="inlineStr">
        <is>
          <t>ZROBIONE: usunięte „ponad 50 aktywnych kontrahentów” w pkt 1.3, komentarzach modelu i planie zastępczym R11; dopisany jeden odbiorca (Amazon) w komentarzu Przychody.</t>
        </is>
      </c>
      <c r="E82" s="2" t="inlineStr">
        <is>
          <t>K6-05, K2-01; T45</t>
        </is>
      </c>
      <c r="F82" s="2" t="inlineStr">
        <is>
          <t>WYSOKI</t>
        </is>
      </c>
      <c r="G82" s="2" t="inlineStr">
        <is>
          <t>OTWARTE</t>
        </is>
      </c>
    </row>
    <row r="83">
      <c r="A83" s="2" t="inlineStr">
        <is>
          <t>N82</t>
        </is>
      </c>
      <c r="B83" s="2" t="inlineStr">
        <is>
          <t>Ryzyko cen transferowych (K3-32) i niezależność walidacji (K3-11) vs ok. 95% zakupów usług od Natanek Logistics</t>
        </is>
      </c>
      <c r="C83" s="2" t="inlineStr">
        <is>
          <t>Opis ryzyka mówi ogólnie o współpracy z firmami przyszłego Inwestora.</t>
        </is>
      </c>
      <c r="D83" s="2" t="inlineStr">
        <is>
          <t>ZROBIONE: R12 przepisane (skala 95%, Natanek Logistics powiązany z Inwestorem i głównym dostawcą), zdanie w opisie Z9, informacja w pkt 1.3. Do potwierdzenia przez właścicielkę: sformułowania zobowiązań w R12 (kwartalny monitoring udziału, alternatywni przewoźnicy).</t>
        </is>
      </c>
      <c r="E83" s="2" t="inlineStr">
        <is>
          <t>K3-32, K6-16; T45</t>
        </is>
      </c>
      <c r="F83" s="2" t="inlineStr">
        <is>
          <t>WYSOKI</t>
        </is>
      </c>
      <c r="G83" s="2" t="inlineStr">
        <is>
          <t>OTWARTE</t>
        </is>
      </c>
    </row>
    <row r="84">
      <c r="A84" s="2" t="inlineStr">
        <is>
          <t>N83</t>
        </is>
      </c>
      <c r="B84" s="2" t="inlineStr">
        <is>
          <t>Opisy zadań i Poprawki do wklejenia: R12 (ryzyko), R11 (plan zastępczy), Z9 (niezależność), pkt 1.3 po D47-D48</t>
        </is>
      </c>
      <c r="C84" s="2" t="inlineStr">
        <is>
          <t>„Jeden z trzech niezależnych klientów”, „ponad 50 aktywnych kontrahentów”.</t>
        </is>
      </c>
      <c r="D84" s="2" t="inlineStr">
        <is>
          <t>DO WPROWADZENIA W LSI wg zestawienia Zmiany_do_wprowadzenia_w_plikach_zamknietych.docx (pliki Sekcja_1.3, Poprawki, Opisy są zamknięte i przywrócone do wersji sprzed 05.10).</t>
        </is>
      </c>
      <c r="E84" s="2" t="inlineStr">
        <is>
          <t>D47, D48</t>
        </is>
      </c>
      <c r="F84" s="2" t="inlineStr">
        <is>
          <t>WYSOKI</t>
        </is>
      </c>
      <c r="G84" s="2" t="inlineStr">
        <is>
          <t>ZROBIONE</t>
        </is>
      </c>
    </row>
    <row r="85">
      <c r="A85" s="2" t="inlineStr">
        <is>
          <t>N84</t>
        </is>
      </c>
      <c r="B85" s="2" t="inlineStr">
        <is>
          <t>Możliwe powiązanie: Wojciech Chrzanowski (jedyny wspólnik i prezes) – kancelaria adwokacka dostawcy usług prawnych – Maciej Chrzanowski (kierownik zarządzający)</t>
        </is>
      </c>
      <c r="C85" s="2" t="inlineStr">
        <is>
          <t>Księgowa wymienia „Wojciech Chrzanowski Kancelaria Adwokacka” wśród dostawców; KRS: Wojciech Chrzanowski jedyny wspólnik i prezes.</t>
        </is>
      </c>
      <c r="D85" s="2" t="inlineStr">
        <is>
          <t>ZAMKNIĘTE: kancelaria potwierdzona, brak pokrewieństwa z Maciejem Chrzanowskim (zbieg nazwisk). Pozostaje usunięte słowo „niezależnych” przy dostawcach.</t>
        </is>
      </c>
      <c r="E85" s="2" t="inlineStr">
        <is>
          <t>Odpis KRS 05.10.2026; T45</t>
        </is>
      </c>
      <c r="F85" s="2" t="inlineStr">
        <is>
          <t>WYSOKI</t>
        </is>
      </c>
      <c r="G85" s="2" t="inlineStr">
        <is>
          <t>OTWARTE</t>
        </is>
      </c>
    </row>
    <row r="86">
      <c r="A86" s="2" t="inlineStr">
        <is>
          <t>N85</t>
        </is>
      </c>
      <c r="B86" s="2" t="inlineStr">
        <is>
          <t>Model Everest11, arkusze Zaliczka-refundacja i Zaliczka-refundacja Konsorcjum (K6-14)</t>
        </is>
      </c>
      <c r="C86" s="2" t="inlineStr">
        <is>
          <t>Suma zaliczek 91,63% (Everest11) i 91,21% (konsorcjum) wobec limitu 90%; refundacja końcowa 8,4% i 8,8%.</t>
        </is>
      </c>
      <c r="D86" s="2" t="inlineStr">
        <is>
          <t>Przesunięte 63 048,12 zł dofinansowania z II półrocza 2028 do II półrocza 2029; suma zaliczek 89,5% i 89,63%.</t>
        </is>
      </c>
      <c r="E86" s="2" t="inlineStr">
        <is>
          <t>K6-14; D52</t>
        </is>
      </c>
      <c r="F86" s="2" t="inlineStr">
        <is>
          <t>KRYTYCZNY</t>
        </is>
      </c>
      <c r="G86" s="2" t="inlineStr">
        <is>
          <t>ZROBIONE w modelu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36" customWidth="1" min="3" max="3"/>
    <col width="70" customWidth="1" min="4" max="4"/>
  </cols>
  <sheetData>
    <row r="1">
      <c r="A1" s="21" t="inlineStr">
        <is>
          <t>Dokument</t>
        </is>
      </c>
      <c r="B1" s="21" t="inlineStr">
        <is>
          <t>Zakres (uwagi, pola wniosku)</t>
        </is>
      </c>
      <c r="C1" s="21" t="inlineStr">
        <is>
          <t>Status</t>
        </is>
      </c>
      <c r="D1" s="21" t="inlineStr">
        <is>
          <t>Co jeszcze potwierdzić i kto</t>
        </is>
      </c>
    </row>
    <row r="2">
      <c r="A2" s="2" t="inlineStr">
        <is>
          <t>Opisy_zadan_z_kamieniami_milowymi.docx</t>
        </is>
      </c>
      <c r="B2" s="2" t="inlineStr">
        <is>
          <t>WP01-WP03: opisy zadań Z1-Z9, kamienie milowe, ryzyka, uzasadnienia kosztów i metoda szacowania personelu Everest11, podział etatów (D29)</t>
        </is>
      </c>
      <c r="C2" s="2" t="inlineStr">
        <is>
          <t>GOTOWY po potwierdzeniu 62 wartości (żółte)</t>
        </is>
      </c>
      <c r="D2" s="2" t="inlineStr">
        <is>
          <t>Dział techniczny: 62 wartości liczbowe (progi, liczności, czasy). Aneks C pliku. | Godziny Z8 PRz zaktualizowane (N77). | ZAMKNIĘTY (D50): zmiany wyłącznie wg Zmiany_do_wprowadzenia_w_plikach_zamknietych.docx</t>
        </is>
      </c>
    </row>
    <row r="3">
      <c r="A3" s="2" t="inlineStr">
        <is>
          <t>Wskazniki_innowacyjnosci_1.2_i_1.4.docx</t>
        </is>
      </c>
      <c r="B3" s="2" t="inlineStr">
        <is>
          <t>WP04: wskaźniki 1.2 (W1-W5), tekst 1.4 i wskaźniki I1-I2, zmiany w opisie innowacji, produkty referencyjne</t>
        </is>
      </c>
      <c r="C3" s="2" t="inlineStr">
        <is>
          <t>GOTOWY po potwierdzeniu 6 parametrów (żółte)</t>
        </is>
      </c>
      <c r="D3" s="2" t="inlineStr">
        <is>
          <t>Dział techniczny: błąd przemieszczenia względnego 0,03 m i 0,05 m, baza AUC 0,70, baza mAP 0,40, zdarzenie inicjujące PoC, zgodność treści 90%.</t>
        </is>
      </c>
    </row>
    <row r="4">
      <c r="A4" s="2" t="inlineStr">
        <is>
          <t>Sekcja_1.3_i_ceny.docx</t>
        </is>
      </c>
      <c r="B4" s="2" t="inlineStr">
        <is>
          <t>WP05: pkt 1.3, pkt 2.3 (rynek docelowy, plan wprowadzenia), zmiany w 2.1, 2.4 i modelu (tabela 5.3), źródła</t>
        </is>
      </c>
      <c r="C4" s="2" t="inlineStr">
        <is>
          <t>GOTOWY (0 żółtych)</t>
        </is>
      </c>
      <c r="D4" s="2" t="inlineStr">
        <is>
          <t>Właścicielka: ręczne zmiany w 2.1, 2.4 i komentarzach modelu (N40-N50, N57-N58). | ZAMKNIĘTY (D50): zmiany wyłącznie wg Zmiany_do_wprowadzenia_w_plikach_zamknietych.docx</t>
        </is>
      </c>
    </row>
    <row r="5">
      <c r="A5" s="2" t="inlineStr">
        <is>
          <t>Sekcja_2.2_i_2.5_prawa_FTO_zasoby.docx</t>
        </is>
      </c>
      <c r="B5" s="2" t="inlineStr">
        <is>
          <t>WP10: pkt 2.2 (brak barier, stan techniki, prawa), pkt 2.5 (zasoby kadrowe, techniczne, pozostałe)</t>
        </is>
      </c>
      <c r="C5" s="2" t="inlineStr">
        <is>
          <t>GOTOWY (0 żółtych)</t>
        </is>
      </c>
      <c r="D5" s="2" t="inlineStr">
        <is>
          <t>Właścicielka: potwierdzenie, że badanie patentowe nie wykazało patentów EP/PL ograniczających wdrożenie (zdanie w 2.2); harmonogram przeniesienia praw z PRz (plan do 30.11.2029).</t>
        </is>
      </c>
    </row>
    <row r="6">
      <c r="A6" s="2" t="inlineStr">
        <is>
          <t>CargoDT_plan_pracy_i_rejestr_decyzji.xlsx</t>
        </is>
      </c>
      <c r="B6" s="2" t="inlineStr">
        <is>
          <t>Rejestr decyzji, niespójności, zadania, źródła, podział etatów</t>
        </is>
      </c>
      <c r="C6" s="2" t="inlineStr">
        <is>
          <t>Aktualizowany na bieżąco</t>
        </is>
      </c>
      <c r="D6" s="2" t="inlineStr">
        <is>
          <t>-</t>
        </is>
      </c>
    </row>
    <row r="7">
      <c r="A7" s="2" t="inlineStr">
        <is>
          <t>Sekcja_6.1_zespol_projektowy.docx</t>
        </is>
      </c>
      <c r="B7" s="2" t="inlineStr">
        <is>
          <t>WP06: sekcja 6.1 (K5-01 do K5-11); Hajduk: dopisano Z10</t>
        </is>
      </c>
      <c r="C7" s="2" t="inlineStr">
        <is>
          <t>GOTOWY (0 żółtych), założenia D37 do potwierdzenia</t>
        </is>
      </c>
      <c r="D7" s="2" t="inlineStr">
        <is>
          <t>Właścicielka: T23 (formy umów, etaty poza projektem, rola Natanek, oświadczenia).</t>
        </is>
      </c>
    </row>
    <row r="8">
      <c r="A8" s="2" t="inlineStr">
        <is>
          <t>Sekcja_6.2-6.4_zasoby_podwykonawca.docx</t>
        </is>
      </c>
      <c r="B8" s="2" t="inlineStr">
        <is>
          <t>WP06: sekcje 6.2, 6.3, 6.4 (K5-12 do K5-19)</t>
        </is>
      </c>
      <c r="C8" s="2" t="inlineStr">
        <is>
          <t>GOTOWY, 7 żółtych pól do uzupełnienia</t>
        </is>
      </c>
      <c r="D8" s="2" t="inlineStr">
        <is>
          <t>PRz i Everest11: T25, T26.</t>
        </is>
      </c>
    </row>
    <row r="9">
      <c r="A9" s="2" t="inlineStr">
        <is>
          <t>Sekcja_7_zasady_horyzontalne_6R.docx</t>
        </is>
      </c>
      <c r="B9" s="2" t="inlineStr">
        <is>
          <t>WP12: pkt 7.1 do 7.4, 8.1 PLRR051, 8.2 wskaźniki 6R (K10-01 do K13-06)</t>
        </is>
      </c>
      <c r="C9" s="2" t="inlineStr">
        <is>
          <t>GOTOWY (0 żółtych), zobowiązania do potwierdzenia</t>
        </is>
      </c>
      <c r="D9" s="2" t="inlineStr">
        <is>
          <t>Zarząd Everest11, PRz, dział techniczny: T27, T28, T29 (część 8 dokumentu).</t>
        </is>
      </c>
    </row>
    <row r="10">
      <c r="A10" s="2" t="inlineStr">
        <is>
          <t>Sekcja_3.2_internacjonalizacja_Z10_Z11.docx</t>
        </is>
      </c>
      <c r="B10" s="2" t="inlineStr">
        <is>
          <t>WP09: pkt 3.2, Z10, Z11, budżet internacjonalizacji, koszty uproszczone, wskaźnik przychodów poza RP (K3-23, K3-24, K3-59..66, K14-01)</t>
        </is>
      </c>
      <c r="C10" s="2" t="inlineStr">
        <is>
          <t>GOTOWY (0 żółtych), czas przyszły; zadania T32</t>
        </is>
      </c>
      <c r="D10" s="2" t="inlineStr">
        <is>
          <t>Właścicielka, PRz: T32.</t>
        </is>
      </c>
    </row>
    <row r="11">
      <c r="A11" s="2" t="inlineStr">
        <is>
          <t>Sekcja_3.1_sprzet_i_amortyzacja.docx</t>
        </is>
      </c>
      <c r="B11" s="2" t="inlineStr">
        <is>
          <t>WP08: 14 pozycji Amortyzacja (aparatura i sprzęt), K3-48 do K3-58</t>
        </is>
      </c>
      <c r="C11" s="2" t="inlineStr">
        <is>
          <t>GOTOWY (0 żółtych), czas przyszły; decyzje D42, D06</t>
        </is>
      </c>
      <c r="D11" s="2" t="inlineStr">
        <is>
          <t>Dział techniczny, księgowa, zakupy: T33, T34, T35.</t>
        </is>
      </c>
    </row>
    <row r="12">
      <c r="A12" s="2" t="inlineStr">
        <is>
          <t>Sekcja_3.1_podwykonawstwo_i_stawki_PRz.docx</t>
        </is>
      </c>
      <c r="B12" s="2" t="inlineStr">
        <is>
          <t>WP07 i część WP06: podwykonawstwo Z2/Z9 (K3-43..47), R8, stawki wynagrodzeń PRz 40 pozycji (K3-41, K3-42)</t>
        </is>
      </c>
      <c r="C12" s="2" t="inlineStr">
        <is>
          <t>WERSJA OSTATECZNA (poprawki właścicielki), czas przyszły, 0 żółtych</t>
        </is>
      </c>
      <c r="D12" s="2" t="inlineStr">
        <is>
          <t>Opcjonalnie T37.</t>
        </is>
      </c>
    </row>
    <row r="13">
      <c r="A13" s="2" t="inlineStr">
        <is>
          <t>Sekcja_K6_sprawozdanie_2Q2026_model.docx</t>
        </is>
      </c>
      <c r="B13" s="2" t="inlineStr">
        <is>
          <t>WP11 (część K6): dane za II kwartał 2026 w modelu Everest11, prognoza, wpływ na wyniki, komentarze, wariant rotacji zobowiązań</t>
        </is>
      </c>
      <c r="C13" s="2" t="inlineStr">
        <is>
          <t>GOTOWY: części 2 (zmiany w modelu, w tym 2.4 rotacje i 2.5 harmonogram płatności), 3, 4 (komentarze), 5-7, 8 (propozycje D53)</t>
        </is>
      </c>
      <c r="D13" s="2" t="inlineStr">
        <is>
          <t>Właścicielka: D46 (rotacje), D53 (zatwierdzenie propozycji); dział techniczny: T46; załączniki: T41.</t>
        </is>
      </c>
    </row>
    <row r="14">
      <c r="A14" s="2" t="inlineStr">
        <is>
          <t>Model_finansowy_CargoDT_Everest_II_kwartal_2026.xlsm</t>
        </is>
      </c>
      <c r="B14" s="2" t="inlineStr">
        <is>
          <t>WP11: model Everest11 z danymi za II kwartał 2026, prognozą I półrocze x2, rotacjami z I półrocza (po odpowiedzi księgowej) i poprawionymi komentarzami (Sprawozdania, Przychody, Koszty, Kapitał pracujący, Ocena kondycji, Założenia); przeliczony kontrolnie (57 581 liczb zgodnych) | 05.10: komentarze po D47-D49 (Przychody, Koszty, Opłacalność, Finansowanie, Kapitał pracujący) | 05.10 wieczór: harmonogram płatności skorygowany (K6-14), dopisek Koszty (K2-13, N58), tekst K6-12 bez 6,3 mln zł, zdanie o tajemnicy umowy z Amazon</t>
        </is>
      </c>
      <c r="C14" s="2" t="inlineStr">
        <is>
          <t>GOTOWY; D46 wprowadzona (do potwierdzenia); po otwarciu w Excelu zapisać plik</t>
        </is>
      </c>
      <c r="D14" s="2" t="inlineStr">
        <is>
          <t>Właścicielka: D46; Excel: otworzyć, zapisać, sprawdzić kontrolki.</t>
        </is>
      </c>
    </row>
    <row r="15">
      <c r="A15" s="2" t="inlineStr">
        <is>
          <t>Zmiany_do_wprowadzenia_w_plikach_zamknietych.docx</t>
        </is>
      </c>
      <c r="B15" s="2" t="inlineStr">
        <is>
          <t>Zestawienie zmian w Sekcja_1.3, Poprawki (R11, R12), Opisy zadań (R12, Z9) i w polach LSI po odpowiedziach księgowej, odpisie KRS i decyzjach D47-D49</t>
        </is>
      </c>
      <c r="C15" s="2" t="inlineStr">
        <is>
          <t>GOTOWY</t>
        </is>
      </c>
      <c r="D15" s="2" t="inlineStr">
        <is>
          <t>Właścicielka: T48</t>
        </is>
      </c>
    </row>
    <row r="16">
      <c r="A16" s="2" t="inlineStr">
        <is>
          <t>Poprawki_do_wklejenia_WP01-WP03.docx</t>
        </is>
      </c>
      <c r="B16" s="2" t="inlineStr">
        <is>
          <t>WP01-WP03: poprawki do pól 3.1.1, kamieni milowych i ryzyk (w tym R11, R12)</t>
        </is>
      </c>
      <c r="C16" s="2" t="inlineStr">
        <is>
          <t>ZAMKNIĘTY (D50)</t>
        </is>
      </c>
      <c r="D16" s="2" t="inlineStr">
        <is>
          <t>Zmiany wyłącznie wg Zmiany_do_wprowadzenia_w_plikach_zamknietych.docx.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2026-10-05T14:36:01Z</dcterms:modified>
</cp:coreProperties>
</file>