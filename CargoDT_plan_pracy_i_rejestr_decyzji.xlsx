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Zasady" sheetId="1" state="visible" r:id="rId1"/>
    <sheet xmlns:r="http://schemas.openxmlformats.org/officeDocument/2006/relationships" name="1_Decyzje" sheetId="2" state="visible" r:id="rId2"/>
    <sheet xmlns:r="http://schemas.openxmlformats.org/officeDocument/2006/relationships" name="2_Do_zrobienia" sheetId="3" state="visible" r:id="rId3"/>
    <sheet xmlns:r="http://schemas.openxmlformats.org/officeDocument/2006/relationships" name="3_Pakiety_pól" sheetId="4" state="visible" r:id="rId4"/>
    <sheet xmlns:r="http://schemas.openxmlformats.org/officeDocument/2006/relationships" name="4_Ceny_źródła" sheetId="5" state="visible" r:id="rId5"/>
    <sheet xmlns:r="http://schemas.openxmlformats.org/officeDocument/2006/relationships" name="5_Model_marży" sheetId="6" state="visible" r:id="rId6"/>
    <sheet xmlns:r="http://schemas.openxmlformats.org/officeDocument/2006/relationships" name="6_Aneks_flota" sheetId="7" state="visible" r:id="rId7"/>
    <sheet xmlns:r="http://schemas.openxmlformats.org/officeDocument/2006/relationships" name="7_Kontrola_błędów" sheetId="8" state="visible" r:id="rId8"/>
    <sheet xmlns:r="http://schemas.openxmlformats.org/officeDocument/2006/relationships" name="8_Moje_błędy_i_korekty" sheetId="9" state="visible" r:id="rId9"/>
    <sheet xmlns:r="http://schemas.openxmlformats.org/officeDocument/2006/relationships" name="9_Niespójności" sheetId="10" state="visible" r:id="rId10"/>
    <sheet xmlns:r="http://schemas.openxmlformats.org/officeDocument/2006/relationships" name="10_Podział_etatów" sheetId="11" state="visible" r:id="rId11"/>
    <sheet xmlns:r="http://schemas.openxmlformats.org/officeDocument/2006/relationships" name="11_Dokumen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0B4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7" borderId="0" pivotButton="0" quotePrefix="0" xfId="0"/>
    <xf numFmtId="164" fontId="0" fillId="6" borderId="0" pivotButton="0" quotePrefix="0" xfId="0"/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CargoDT - plan pracy i rejestr decyzji (stan: 05.10.2026, termin korekty w LSI: 06.10.2026)</t>
        </is>
      </c>
    </row>
    <row r="2">
      <c r="A2" s="2" t="inlineStr"/>
    </row>
    <row r="3">
      <c r="A3" s="2" t="inlineStr">
        <is>
          <t>JEDNO ŹRÓDŁO PRAWDY: ten plik + arkusz "Rejestr uwag". Czat służy tylko do statusów i decyzji.</t>
        </is>
      </c>
    </row>
    <row r="4">
      <c r="A4" s="2" t="inlineStr">
        <is>
          <t>1. Praca po polach LSI (arkusz 3), nie po pojedynczych uwagach. Pole piszemy raz, odpowiadając na wszystkie przypisane do niego uwagi.</t>
        </is>
      </c>
    </row>
    <row r="5">
      <c r="A5" s="2" t="inlineStr">
        <is>
          <t>2. Kolejność: najpierw pakiety, które mogą dać 0 pkt w K1/K2/K3 lub NIE w K5/K6 (priorytet P1), potem P2.</t>
        </is>
      </c>
    </row>
    <row r="6">
      <c r="A6" s="2" t="inlineStr">
        <is>
          <t>3. Maksymalnie kilka pozycji w jednej wiadomości. Wątki poboczne trafiają do "Wątki otwarte" (arkusz 2) i nie blokują pakietów.</t>
        </is>
      </c>
    </row>
    <row r="7">
      <c r="A7" s="2" t="inlineStr">
        <is>
          <t>4. Każda liczba ma źródło (arkusz 4) albo jest oznaczona jako ZAŁOŻENIE. Zakaz dopasowywania liczb do sumy bez źródła.</t>
        </is>
      </c>
    </row>
    <row r="8">
      <c r="A8" s="2" t="inlineStr">
        <is>
          <t>5. Status "Zweryfikowane" w Rejestrze nadajemy dopiero po kontroli w arkuszu 7 (nie przez autora tekstu).</t>
        </is>
      </c>
    </row>
    <row r="9">
      <c r="A9" s="2" t="inlineStr">
        <is>
          <t>6. Zmiany spoza zakresu wezwania są oceniane (Regulamin par. 8 ust. 15) - każda zmiana musi mieć powód (ID uwagi albo skutek uboczny).</t>
        </is>
      </c>
    </row>
    <row r="10">
      <c r="A10" s="2" t="inlineStr">
        <is>
          <t>7. Twarde ograniczenia: dofinansowanie nie rośnie (projekt 3 998 262,02 zł; Everest11 2 964 296,12 zł; PRz 1 033 965,90 zł); brak nowych osób i nowych podwykonawców B+R; 1 zadanie = 1 konsorcjant; 276 h/mies.; limit 15% wydatków fakultatywnych; podwykonawstwo &lt;=50% (Lider).</t>
        </is>
      </c>
    </row>
    <row r="11">
      <c r="A11" s="2" t="inlineStr"/>
    </row>
    <row r="12">
      <c r="A12" s="2" t="inlineStr">
        <is>
          <t>Terminarz: czw 01.10 decyzje + księga kosztów | pt 02.10 pakiety WP01-WP03, WP06-WP09 (K3) | pon 05.10 WP04, WP05, WP10, WP11 | wt 06.10 WP12, kontrola (arkusz 7), wklejenie do LSI</t>
        </is>
      </c>
    </row>
    <row r="13">
      <c r="A13" s="2" t="inlineStr">
        <is>
          <t>Legenda statusów decyzji: ZATWIERDZONA / POTWIERDZONE (zamknięte) | W TOKU / DO POTWIERDZENIA (żółte) | OTWARTA* (czerwone, wymaga decyzji lub konsultacji)</t>
        </is>
      </c>
    </row>
    <row r="14">
      <c r="A14" t="inlineStr">
        <is>
          <t>Styl tekstów do wklejenia</t>
        </is>
      </c>
      <c r="B14" t="inlineStr">
        <is>
          <t>Czas przyszły dla działań projektu; akapity zaczynamy pełnym zdaniem, nie jednowyrazową etykietą ("Oprogramowanie.", "Tak.", "Zakres."). Ustalenie właścicielki, 02.10.2026.</t>
        </is>
      </c>
    </row>
    <row r="15">
      <c r="A15" t="inlineStr">
        <is>
          <t>Min. 3 dostawców w metodzie szacowania</t>
        </is>
      </c>
      <c r="B15" t="inlineStr">
        <is>
          <t>Każdy koszt ma w metodzie co najmniej trzech dostawców lub źródeł cen z nazwy, a jeśli usługa ma jednego dostawcę z natury (organizator kongresu, opłaty urzędowe EPO), napisano to wprost. Ustalenie właścicielki, 02.10.2026.</t>
        </is>
      </c>
    </row>
    <row r="16">
      <c r="A16" t="inlineStr">
        <is>
          <t>Pliki zamknięte (D50)</t>
        </is>
      </c>
      <c r="B16" t="inlineStr">
        <is>
          <t>Korygujemy wyłącznie: Model_finansowy_CargoDT_Everest_II_kwartal_2026.xlsm, Sekcja_K6_sprawozdanie_2Q2026_model.docx i ten rejestr. Pliki Sekcja_1.3_i_ceny.docx, Poprawki_do_wklejenia_WP01-WP03.docx i Opisy_zadan_z_kamieniami_milowymi.docx są zamknięte: zmiany w nich opisuje wyłącznie Zmiany_do_wprowadzenia_w_plikach_zamknietych.docx.</t>
        </is>
      </c>
    </row>
    <row r="17">
      <c r="A17" t="inlineStr">
        <is>
          <t>Błędy własne</t>
        </is>
      </c>
      <c r="B17" t="inlineStr">
        <is>
          <t>Każdy błąd Claude znaleziony w trakcie pracy trafia do arkusza 8 z opisem korekty (np. E22 do E28).</t>
        </is>
      </c>
    </row>
    <row r="18">
      <c r="A18" t="inlineStr">
        <is>
          <t>Komentarze w modelu</t>
        </is>
      </c>
      <c r="B18" t="inlineStr">
        <is>
          <t>Pole Komentarz w arkuszach modelu ma limit 10 000 znaków (Instrukcja modelu). Liczby w komentarzach muszą zgadzać się z przeliczonym modelem; po każdej zmianie danych przeliczamy model kontrolnie.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95" customWidth="1" min="3" max="3"/>
    <col width="18" customWidth="1" min="4" max="4"/>
    <col width="22" customWidth="1" min="5" max="5"/>
    <col width="30" customWidth="1" min="6" max="6"/>
  </cols>
  <sheetData>
    <row r="1">
      <c r="A1" s="3" t="inlineStr">
        <is>
          <t>ID</t>
        </is>
      </c>
      <c r="B1" s="3" t="inlineStr">
        <is>
          <t>Temat</t>
        </is>
      </c>
      <c r="C1" s="3" t="inlineStr">
        <is>
          <t>Decyzja / ustalenie</t>
        </is>
      </c>
      <c r="D1" s="3" t="inlineStr">
        <is>
          <t>Status</t>
        </is>
      </c>
      <c r="E1" s="3" t="inlineStr">
        <is>
          <t>Kto</t>
        </is>
      </c>
      <c r="F1" s="3" t="inlineStr">
        <is>
          <t>Powiązane uwagi</t>
        </is>
      </c>
    </row>
    <row r="2">
      <c r="A2" s="4" t="inlineStr">
        <is>
          <t>D01</t>
        </is>
      </c>
      <c r="B2" s="4" t="inlineStr">
        <is>
          <t>Amortyzacja jednorazowa dla wszystkich pozycji</t>
        </is>
      </c>
      <c r="C2" s="4" t="inlineStr">
        <is>
          <t>Zatwierdzona. Opis każdej pozycji: podstawa (polityka rachunkowości), używanie wyłącznie w projekcie, likwidacja po M30 z protokołem (potwierdzone: Everest11 i PRz), brak współfinansowania z innych źródeł. Ryzyko: jeśli sprzęt faktycznie zostaje po M30, zapis byłby nieprawdziwy.</t>
        </is>
      </c>
      <c r="D2" s="5" t="inlineStr">
        <is>
          <t>ZATWIERDZONA</t>
        </is>
      </c>
      <c r="E2" s="4" t="inlineStr">
        <is>
          <t>Właściciel</t>
        </is>
      </c>
      <c r="F2" s="4" t="inlineStr">
        <is>
          <t>K3-50..58, K3-56, K3-57</t>
        </is>
      </c>
    </row>
    <row r="3">
      <c r="A3" s="4" t="inlineStr">
        <is>
          <t>D02</t>
        </is>
      </c>
      <c r="B3" s="4" t="inlineStr">
        <is>
          <t>Internacjonalizacja zostaje (Z10 i Z11)</t>
        </is>
      </c>
      <c r="C3" s="4" t="inlineStr">
        <is>
          <t>Zatwierdzona; zmiana kategorii wydatków przy sumie bez zmian. Podróże wg stawki jednostkowej (5.3.3/5.3.4), materiały promocyjne tylko jako element dekoracyjny stoiska (5.3.1), badanie zdolności patentowej = de minimis (5.3.11), tekst o wytwarzaniu produktu w Polsce.</t>
        </is>
      </c>
      <c r="D3" s="5" t="inlineStr">
        <is>
          <t>ZATWIERDZONA</t>
        </is>
      </c>
      <c r="E3" s="4" t="inlineStr">
        <is>
          <t>Właściciel</t>
        </is>
      </c>
      <c r="F3" s="4" t="inlineStr">
        <is>
          <t>K3-23, K3-24, K3-59..66, K14-01</t>
        </is>
      </c>
    </row>
    <row r="4">
      <c r="A4" s="4" t="inlineStr">
        <is>
          <t>D03</t>
        </is>
      </c>
      <c r="B4" s="4" t="inlineStr">
        <is>
          <t>Z1/Z3/Z4/Z6 bronione jako B+R</t>
        </is>
      </c>
      <c r="C4" s="4" t="inlineStr">
        <is>
          <t>Zatwierdzona. Do opisów: hipoteza, niepewność techniczna, eksperyment, mierzalny wynik; rutynowe elementy usunięte z zakresu i kosztów.</t>
        </is>
      </c>
      <c r="D4" s="5" t="inlineStr">
        <is>
          <t>ZATWIERDZONA</t>
        </is>
      </c>
      <c r="E4" s="4" t="inlineStr">
        <is>
          <t>Właściciel</t>
        </is>
      </c>
      <c r="F4" s="4" t="inlineStr">
        <is>
          <t>K3-01..08</t>
        </is>
      </c>
    </row>
    <row r="5">
      <c r="A5" s="4" t="inlineStr">
        <is>
          <t>D04</t>
        </is>
      </c>
      <c r="B5" s="4" t="inlineStr">
        <is>
          <t>Walidacja AUC: klasa pozytywna = zdarzenie ryzyka, podział danych, progi</t>
        </is>
      </c>
      <c r="C5" s="4" t="inlineStr">
        <is>
          <t>Zatwierdzona ("ok"). Do uzupełnienia danymi: liczba przesyłek na kurs (Natanek/Everest11).</t>
        </is>
      </c>
      <c r="D5" s="5" t="inlineStr">
        <is>
          <t>ZATWIERDZONA</t>
        </is>
      </c>
      <c r="E5" s="4" t="inlineStr">
        <is>
          <t>Właściciel</t>
        </is>
      </c>
      <c r="F5" s="4" t="inlineStr">
        <is>
          <t>K3-04, K3-15, K3-18; K1-03</t>
        </is>
      </c>
    </row>
    <row r="6">
      <c r="A6" s="4" t="inlineStr">
        <is>
          <t>D05</t>
        </is>
      </c>
      <c r="B6" s="4" t="inlineStr">
        <is>
          <t>Ścieżka audytu Z9 (inspekcja na ślepo, log niemodyfikowalny, zamrożony skrypt, niezależny ewaluator, próbka 10%, podpis kierowników, PRz tylko odbiór metodyczny w Z8)</t>
        </is>
      </c>
      <c r="C6" s="4" t="inlineStr">
        <is>
          <t>Zatwierdzona.</t>
        </is>
      </c>
      <c r="D6" s="5" t="inlineStr">
        <is>
          <t>ZATWIERDZONA</t>
        </is>
      </c>
      <c r="E6" s="4" t="inlineStr">
        <is>
          <t>Właściciel</t>
        </is>
      </c>
      <c r="F6" s="4" t="inlineStr">
        <is>
          <t>K3-11, K3-12, K3-29; K5-04, K5-07, K5-12</t>
        </is>
      </c>
    </row>
    <row r="7">
      <c r="A7" s="4" t="inlineStr">
        <is>
          <t>D06</t>
        </is>
      </c>
      <c r="B7" s="4" t="inlineStr">
        <is>
          <t>Tor pomiarowy Z2 / typy i liczba kamer</t>
        </is>
      </c>
      <c r="C7" s="4" t="inlineStr">
        <is>
          <t>OTWARTA*: do konsultacji z działem technicznym. Rekomendacja: prawdziwy ToF (OAK-D Pro W to active stereo), 1 ToF + 1 EO na naczepę, konfiguracja 3-4 kamer testowana w laboratorium PRz. W tekście do czasu decyzji oznaczenie *.</t>
        </is>
      </c>
      <c r="D7" s="6" t="inlineStr">
        <is>
          <t>OTWARTA*</t>
        </is>
      </c>
      <c r="E7" s="4" t="inlineStr">
        <is>
          <t>Właściciel + dział techniczny</t>
        </is>
      </c>
      <c r="F7" s="4" t="inlineStr">
        <is>
          <t>K3-55, K3-02</t>
        </is>
      </c>
    </row>
    <row r="8">
      <c r="A8" s="4" t="inlineStr">
        <is>
          <t>D07</t>
        </is>
      </c>
      <c r="B8" s="4" t="inlineStr">
        <is>
          <t>Backend/Full-Stack: Z6 (M19-M27) 9 mies. + Z9 (M28-M30) 3 mies.; koszt łączny bez zmian (260 280 zł)</t>
        </is>
      </c>
      <c r="C8" s="4" t="inlineStr">
        <is>
          <t>Zatwierdzona. Wymaga dopisania zakresu w Z9 i usunięcia "utrzymania" i rutynowych integracji z Z6.</t>
        </is>
      </c>
      <c r="D8" s="5" t="inlineStr">
        <is>
          <t>ZATWIERDZONA</t>
        </is>
      </c>
      <c r="E8" s="4" t="inlineStr">
        <is>
          <t>Właściciel</t>
        </is>
      </c>
      <c r="F8" s="4" t="inlineStr">
        <is>
          <t>K3-08, K3-36, K3-37; K5-02</t>
        </is>
      </c>
    </row>
    <row r="9">
      <c r="A9" s="4" t="inlineStr">
        <is>
          <t>D08</t>
        </is>
      </c>
      <c r="B9" s="4" t="inlineStr">
        <is>
          <t>Montaż pozostaje podwykonawstwem B+R (nie zmieniamy kategorii)</t>
        </is>
      </c>
      <c r="C9" s="4" t="inlineStr">
        <is>
          <t>Zatwierdzona. Uzupełnić wymagania minimalne dla niewybranego podwykonawcy.</t>
        </is>
      </c>
      <c r="D9" s="5" t="inlineStr">
        <is>
          <t>ZATWIERDZONA</t>
        </is>
      </c>
      <c r="E9" s="4" t="inlineStr">
        <is>
          <t>Właściciel</t>
        </is>
      </c>
      <c r="F9" s="4" t="inlineStr">
        <is>
          <t>K3-03, K3-44, K3-45; K5-19</t>
        </is>
      </c>
    </row>
    <row r="10">
      <c r="A10" s="4" t="inlineStr">
        <is>
          <t>D09</t>
        </is>
      </c>
      <c r="B10" s="4" t="inlineStr">
        <is>
          <t>Data wdrożenia = start sprzedaży 01/2030</t>
        </is>
      </c>
      <c r="C10" s="4" t="inlineStr">
        <is>
          <t>Zatwierdzona. Ujednolicić we wniosku i modelu finansowym.</t>
        </is>
      </c>
      <c r="D10" s="5" t="inlineStr">
        <is>
          <t>ZATWIERDZONA</t>
        </is>
      </c>
      <c r="E10" s="4" t="inlineStr">
        <is>
          <t>Właściciel</t>
        </is>
      </c>
      <c r="F10" s="4" t="inlineStr">
        <is>
          <t>K2-06, K14-01</t>
        </is>
      </c>
    </row>
    <row r="11">
      <c r="A11" s="4" t="inlineStr">
        <is>
          <t>D10</t>
        </is>
      </c>
      <c r="B11" s="4" t="inlineStr">
        <is>
          <t>Flota własna Everest11: 5 pojazdów w najmie (zestawy ciągnik+naczepa), wzrost do 20</t>
        </is>
      </c>
      <c r="C11" s="4" t="inlineStr">
        <is>
          <t>Zatwierdzona. Aneks do umów podpisany przed wysłaniem poprawki; do wniosku bez załączników, treść umów opisana w tekście (klauzule: arkusz 6). ZASTĄPIONE 02.10.2026: 5 ciągników siodłowych z naczepami na podstawie umowy partnerskiej z Natanek Logistics od 03.2025, z prawem do danych z pojazdów; teksty nie mówią o pojazdach własnych Everest11 w najmie.</t>
        </is>
      </c>
      <c r="D11" s="5" t="inlineStr">
        <is>
          <t>ZATWIERDZONA</t>
        </is>
      </c>
      <c r="E11" s="4" t="inlineStr">
        <is>
          <t>Właściciel</t>
        </is>
      </c>
      <c r="F11" s="4" t="inlineStr">
        <is>
          <t>K2-01, K2-16, K2-04</t>
        </is>
      </c>
    </row>
    <row r="12">
      <c r="A12" s="4" t="inlineStr">
        <is>
          <t>D11</t>
        </is>
      </c>
      <c r="B12" s="4" t="inlineStr">
        <is>
          <t>Model cenowo-kosztowy: dwie klasy produktu (premium &lt;10% sprzedaży, koszt ok. 30 tys. zł; podstawowa), marża łączna 10%</t>
        </is>
      </c>
      <c r="C12" s="4" t="inlineStr">
        <is>
          <t>W TOKU: model w arkuszu 5. Przy domyślnych założeniach (rabat 30% poza Jetsonem) koszt serii wersji podstawowej to ok. 7,6 tys. zł, a cena dla marży łącznej 10% ok. 8,6 tys. zł. Przy cenie 7 500 zł marża łączna 10% wymaga kosztu serii &lt;= ok. 6,6 tys. zł (parametry edytowalne). ROZSTRZYGNIĘCIE 02.10.2026: koszt komponentów w modelu (4 875 zł za zestaw) zostaje bez zmian; do uzupełnienia podstawa kwoty (N57). | 05.10: koszt 4 875 zł zostaje; propozycja podstawy kwoty (9 komponentów) i zespół komercjalizacji w dokumencie K6, część 8 (D53).</t>
        </is>
      </c>
      <c r="D12" s="7" t="inlineStr">
        <is>
          <t>W TOKU</t>
        </is>
      </c>
      <c r="E12" s="4" t="inlineStr">
        <is>
          <t>Claude + właściciel</t>
        </is>
      </c>
      <c r="F12" s="4" t="inlineStr">
        <is>
          <t>K2-12, K2-13, K2-14, K2-15</t>
        </is>
      </c>
    </row>
    <row r="13">
      <c r="A13" s="4" t="inlineStr">
        <is>
          <t>D12</t>
        </is>
      </c>
      <c r="B13" s="4" t="inlineStr">
        <is>
          <t>Kamera ToF PRz typ 2: 10 000 zł</t>
        </is>
      </c>
      <c r="C13" s="4" t="inlineStr">
        <is>
          <t>Zatwierdzona przez właściciela. Uwaga: ceny katalogowe przemysłowych ToF (Basler blaze 1 579 EUR, Lucid Helios2+ 1 800 EUR) to ok. 6,9-7,9 tys. zł za kamerę; 10 000 zł jest spójne tylko jako ZESTAW (kamera + zasilanie/PoE + obudowa/uchwyt + kable). Opis pozycji musi mówić "zestaw", a pozycja "Akcesoria typ 2" nie może dublować tych elementów.</t>
        </is>
      </c>
      <c r="D13" s="5" t="inlineStr">
        <is>
          <t>ZATWIERDZONA</t>
        </is>
      </c>
      <c r="E13" s="4" t="inlineStr">
        <is>
          <t>Właściciel</t>
        </is>
      </c>
      <c r="F13" s="4" t="inlineStr">
        <is>
          <t>K3-50</t>
        </is>
      </c>
    </row>
    <row r="14">
      <c r="A14" s="4" t="inlineStr">
        <is>
          <t>D13</t>
        </is>
      </c>
      <c r="B14" s="4" t="inlineStr">
        <is>
          <t>Dokument "Badanie stanu techniki" nie jest udostępniany - poza zakresem poprawek</t>
        </is>
      </c>
      <c r="C14" s="4" t="inlineStr">
        <is>
          <t>Zatwierdzona. Uwaga: K2-09/K1-01 dotyczą treści pól w LSI ("Opis uzyskanych wyników"), więc przykłady z baz trzeba wpisać w LSI.</t>
        </is>
      </c>
      <c r="D14" s="5" t="inlineStr">
        <is>
          <t>ZATWIERDZONA</t>
        </is>
      </c>
      <c r="E14" s="4" t="inlineStr">
        <is>
          <t>Właściciel</t>
        </is>
      </c>
      <c r="F14" s="4" t="inlineStr">
        <is>
          <t>K2-09, K1-01</t>
        </is>
      </c>
    </row>
    <row r="15">
      <c r="A15" s="4" t="inlineStr">
        <is>
          <t>D14</t>
        </is>
      </c>
      <c r="B15" s="4" t="inlineStr">
        <is>
          <t>Edge AI w Z2: ceny z cenników publicznych (nie oferty)</t>
        </is>
      </c>
      <c r="C15" s="4" t="inlineStr">
        <is>
          <t>W TOKU: arkusz 4 (Jetson Orin Nano 8 GB moduł ok. 1 400-1 520 zł). Liczba kompletów i klasa dysku zależą od D06.</t>
        </is>
      </c>
      <c r="D15" s="7" t="inlineStr">
        <is>
          <t>W TOKU</t>
        </is>
      </c>
      <c r="E15" s="4" t="inlineStr">
        <is>
          <t>Claude</t>
        </is>
      </c>
      <c r="F15" s="4" t="inlineStr">
        <is>
          <t>K3-48, K3-49</t>
        </is>
      </c>
    </row>
    <row r="16">
      <c r="A16" s="4" t="inlineStr">
        <is>
          <t>D15</t>
        </is>
      </c>
      <c r="B16" s="4" t="inlineStr">
        <is>
          <t>Pkt 5.6: pracownik Everest11 jako ground truth (rozwiązanie proceduralne z D05)</t>
        </is>
      </c>
      <c r="C16" s="4" t="inlineStr">
        <is>
          <t>Zatwierdzona.</t>
        </is>
      </c>
      <c r="D16" s="5" t="inlineStr">
        <is>
          <t>ZATWIERDZONA</t>
        </is>
      </c>
      <c r="E16" s="4" t="inlineStr">
        <is>
          <t>Właściciel</t>
        </is>
      </c>
      <c r="F16" s="4" t="inlineStr">
        <is>
          <t>K3-11</t>
        </is>
      </c>
    </row>
    <row r="17">
      <c r="A17" s="4" t="inlineStr">
        <is>
          <t>D16</t>
        </is>
      </c>
      <c r="B17" s="4" t="inlineStr">
        <is>
          <t>Wskaźnik AUC: baza = metoda referencyjna (progowy alarm EN 12195-1) zmierzona w KM-Z4</t>
        </is>
      </c>
      <c r="C17" s="4" t="inlineStr">
        <is>
          <t>Zatwierdzona do próby: baza = detektor progowy wg EN 12195-1 zmierzony na tym samym teście w Z4 (opis w Z4 i KM-Z4). Właściciel: "spróbuj taką jak rekomendujesz, najwyżej zmienisz".</t>
        </is>
      </c>
      <c r="D17" s="5" t="inlineStr">
        <is>
          <t>ZATWIERDZONA</t>
        </is>
      </c>
      <c r="E17" s="4" t="inlineStr">
        <is>
          <t>Właściciel</t>
        </is>
      </c>
      <c r="F17" s="4" t="inlineStr">
        <is>
          <t>K1-03</t>
        </is>
      </c>
    </row>
    <row r="18">
      <c r="A18" s="4" t="inlineStr">
        <is>
          <t>D17</t>
        </is>
      </c>
      <c r="B18" s="4" t="inlineStr">
        <is>
          <t>6R: REFUSE -&gt; REDUCE (uwaga eksperta K13-02: REFUSE wymaga 100%)</t>
        </is>
      </c>
      <c r="C18" s="4" t="inlineStr">
        <is>
          <t>Zatwierdzona (TAK): REDUCE ze wskaźnikiem ograniczenia dokumentów papierowych (WP12).</t>
        </is>
      </c>
      <c r="D18" s="5" t="inlineStr">
        <is>
          <t>ZATWIERDZONA</t>
        </is>
      </c>
      <c r="E18" s="4" t="inlineStr">
        <is>
          <t>Właściciel</t>
        </is>
      </c>
      <c r="F18" s="4" t="inlineStr">
        <is>
          <t>K13-02, K13-03</t>
        </is>
      </c>
    </row>
    <row r="19">
      <c r="A19" s="4" t="inlineStr">
        <is>
          <t>D18</t>
        </is>
      </c>
      <c r="B19" s="4" t="inlineStr">
        <is>
          <t>Parametry KM w jednostkach SI (g -&gt; m/s^2; TOPS jako wyjątek z uzasadnieniem)</t>
        </is>
      </c>
      <c r="C19" s="4" t="inlineStr">
        <is>
          <t>Zatwierdzona (zasada użytkownika).</t>
        </is>
      </c>
      <c r="D19" s="5" t="inlineStr">
        <is>
          <t>ZATWIERDZONA</t>
        </is>
      </c>
      <c r="E19" s="4" t="inlineStr">
        <is>
          <t>Właściciel</t>
        </is>
      </c>
      <c r="F19" s="4" t="inlineStr">
        <is>
          <t>K3-14..22</t>
        </is>
      </c>
    </row>
    <row r="20">
      <c r="A20" s="4" t="inlineStr">
        <is>
          <t>D19</t>
        </is>
      </c>
      <c r="B20" s="4" t="inlineStr">
        <is>
          <t>Kordos i Chrzanowski: wynagrodzenie w kosztach pośrednich; oświadczenie, że nie pełnią funkcji zarządczych na PRz</t>
        </is>
      </c>
      <c r="C20" s="4" t="inlineStr">
        <is>
          <t>Zatwierdzona. Biografia Chrzanowskiego: funkcje "koordynatora wydziałowego" opisać jako przeszłe.</t>
        </is>
      </c>
      <c r="D20" s="5" t="inlineStr">
        <is>
          <t>ZATWIERDZONA</t>
        </is>
      </c>
      <c r="E20" s="4" t="inlineStr">
        <is>
          <t>Właściciel</t>
        </is>
      </c>
      <c r="F20" s="4" t="inlineStr">
        <is>
          <t>K3-33, K5-08, K5-09</t>
        </is>
      </c>
    </row>
    <row r="21">
      <c r="A21" s="4" t="inlineStr">
        <is>
          <t>D20</t>
        </is>
      </c>
      <c r="B21" s="4" t="inlineStr">
        <is>
          <t>Źródła rynkowe (liczba naczep, liczba firm)</t>
        </is>
      </c>
      <c r="C21" s="4" t="inlineStr">
        <is>
          <t>ZAMKNIĘTE (06.10.2026): źródła są w pliku CargoDT_LSI_do_wklejenia.docx: Eurostat road_eqs_semit 2023 (544,97 tys. naczep), GITD (43 280 licencji, 07.2026), PZPM (72%), Frost &amp; Sullivan (86%), TLP/SpotData (76 tys. firm), GUS (12 tys. spedytorów). SAM 200 tys. ma wyliczenie (ok. 337 tys. naczep, przyjęto 200 tys.). Zostaje do poprawy zdanie o CEE (N91).</t>
        </is>
      </c>
      <c r="D21" s="7" t="inlineStr">
        <is>
          <t>ZAMKNIĘTE</t>
        </is>
      </c>
      <c r="E21" s="4" t="inlineStr">
        <is>
          <t>Claude + właściciel</t>
        </is>
      </c>
      <c r="F21" s="4" t="inlineStr">
        <is>
          <t>K2-05, K2-11, K1-05</t>
        </is>
      </c>
    </row>
    <row r="22">
      <c r="A22" s="2" t="inlineStr">
        <is>
          <t>D21</t>
        </is>
      </c>
      <c r="B22" s="2" t="inlineStr">
        <is>
          <t>K3-05: drugi anotator próby κ</t>
        </is>
      </c>
      <c r="C22" s="2" t="inlineStr">
        <is>
          <t>ZASTĄPIONA (06.10.2026): rozbieżności między anotatorami rozstrzyga AI Senior Engineer (autor specyfikacji anotacji) według binarnych kryteriów taksonomii z Z3; specjalista TSL dostarcza tylko protokoły inspekcji (zgodnie z plikiem LSI i uwagą K3-11). Wcześniejsza wersja: konsensus ze specjalistą TSL. Trzech anotatorów Everest11; PRz tylko odbiera dataset (zakaz wzajemnego zlecania zadań, Instrukcja i Przewodnik).</t>
        </is>
      </c>
      <c r="D22" s="12" t="inlineStr">
        <is>
          <t>ZASTĄPIONA (do potwierdzenia przez właścicielkę)</t>
        </is>
      </c>
      <c r="E22" s="2" t="inlineStr">
        <is>
          <t>Właściciel</t>
        </is>
      </c>
      <c r="F22" s="2" t="inlineStr">
        <is>
          <t>K3-05</t>
        </is>
      </c>
    </row>
    <row r="23">
      <c r="A23" s="2" t="inlineStr">
        <is>
          <t>D22</t>
        </is>
      </c>
      <c r="B23" s="2" t="inlineStr">
        <is>
          <t>Spójność mAP z AUC</t>
        </is>
      </c>
      <c r="C23" s="2" t="inlineStr">
        <is>
          <t>KM-Z9: mAP po kompresji ≥ 0,72 (0,75 minus 3 pp); wskaźnik innowacyjności 0,75 dotyczy FP32.</t>
        </is>
      </c>
      <c r="D23" s="12" t="inlineStr">
        <is>
          <t>DO POTWIERDZENIA</t>
        </is>
      </c>
      <c r="E23" s="2" t="inlineStr">
        <is>
          <t>Właściciel + dział techniczny</t>
        </is>
      </c>
      <c r="F23" s="2" t="inlineStr">
        <is>
          <t>K3-15, K3-19</t>
        </is>
      </c>
    </row>
    <row r="24">
      <c r="A24" s="2" t="inlineStr">
        <is>
          <t>D23</t>
        </is>
      </c>
      <c r="B24" s="2" t="inlineStr">
        <is>
          <t>Jeden KM na zadanie</t>
        </is>
      </c>
      <c r="C24" s="2" t="inlineStr">
        <is>
          <t>Punkt kontrolny M10 jest elementem KM-Z3 (bez KM-Z3b).</t>
        </is>
      </c>
      <c r="D24" s="13" t="inlineStr">
        <is>
          <t>ZATWIERDZONA</t>
        </is>
      </c>
      <c r="E24" s="2" t="inlineStr">
        <is>
          <t>Claude</t>
        </is>
      </c>
      <c r="F24" s="2" t="inlineStr">
        <is>
          <t>K3-22</t>
        </is>
      </c>
    </row>
    <row r="25">
      <c r="A25" s="2" t="inlineStr">
        <is>
          <t>D24</t>
        </is>
      </c>
      <c r="B25" s="2" t="inlineStr">
        <is>
          <t>Zakres B+R w Z6: integracje (API TMS, Trans.eu, TimoCom, e-CMR) zostają jako czynności techniczne i pomocnicze w środowisku testowym, w zakresie niezbędnym do testów i walidacji</t>
        </is>
      </c>
      <c r="C25" s="2" t="inlineStr">
        <is>
          <t>Zmiana po uwadze właściciela: Przewodnik (3.3.1) zalicza do personelu projektu także pracowników technicznych i pomocniczych, a Kryteria wykluczają prace rutynowe „niezwiązane” z B+R; ekspert (uwaga 38) dopuszcza je w zakresie niezbędnym do testowania i walidacji prototypu. Poza zakresem: wdrożenie produkcyjne, produkcyjny dashboard, utrzymanie. Wykonują IT Specialist (API, integracje testowe) i Backend (wsparcie, potok, test eFTI). Nakład do uzasadnienia proporcją względem prac badawczych w Z6.</t>
        </is>
      </c>
      <c r="D25" s="16" t="inlineStr">
        <is>
          <t>ZATWIERDZONA</t>
        </is>
      </c>
      <c r="E25" s="2" t="inlineStr">
        <is>
          <t>Właściciel</t>
        </is>
      </c>
      <c r="F25" s="2" t="inlineStr">
        <is>
          <t>K3-08</t>
        </is>
      </c>
    </row>
    <row r="26">
      <c r="A26" s="2" t="inlineStr">
        <is>
          <t>D25</t>
        </is>
      </c>
      <c r="B26" s="2" t="inlineStr">
        <is>
          <t>Niezależność Z9</t>
        </is>
      </c>
      <c r="C26" s="2" t="inlineStr">
        <is>
          <t>Ścieżka audytu zastępuje decyzję "PRz ocenia Z9" (kolizja z zasadą jednego konsorcjanta).</t>
        </is>
      </c>
      <c r="D26" s="13" t="inlineStr">
        <is>
          <t>ZATWIERDZONA</t>
        </is>
      </c>
      <c r="E26" s="2" t="inlineStr">
        <is>
          <t>Właściciel</t>
        </is>
      </c>
      <c r="F26" s="2" t="inlineStr">
        <is>
          <t>K3-11, K3-12</t>
        </is>
      </c>
    </row>
    <row r="27">
      <c r="A27" s="2" t="inlineStr">
        <is>
          <t>D26</t>
        </is>
      </c>
      <c r="B27" s="2" t="inlineStr">
        <is>
          <t>Progi no-go i wartości do potwierdzenia</t>
        </is>
      </c>
      <c r="C27" s="2" t="inlineStr">
        <is>
          <t>61 wartości liczbowych w dokumencie Poprawki_do_wklejenia_WP01-WP03.docx (podświetlone) do potwierdzenia przez zespół techniczny przed wklejeniem. Odwołuje się do Rady Konsorcjum z § 9 umowy konsorcjum (D27).</t>
        </is>
      </c>
      <c r="D27" s="14" t="inlineStr">
        <is>
          <t>OTWARTA*</t>
        </is>
      </c>
      <c r="E27" s="2" t="inlineStr">
        <is>
          <t>Dział techniczny</t>
        </is>
      </c>
      <c r="F27" s="2" t="inlineStr">
        <is>
          <t>K3-14..32</t>
        </is>
      </c>
    </row>
    <row r="28">
      <c r="A28" s="2" t="inlineStr">
        <is>
          <t>D27</t>
        </is>
      </c>
      <c r="B28" s="2" t="inlineStr">
        <is>
          <t>Rada Konsorcjum (§ 9 umowy konsorcjum) jako organ oceniający kamienie i rekomendujący go/no-go</t>
        </is>
      </c>
      <c r="C28" s="2" t="inlineStr">
        <is>
          <t>Opisy KM i ryzyk odwołują się do Rady Konsorcjum z § 9 umowy konsorcjum: po jednym przedstawicielu każdego członka, przewodniczy kierownik zarządzający Maciej Chrzanowski, posiedzenia co najmniej raz na 6 miesięcy, protokoły, ocena merytoryczna i formalna realizacji zadań na wniosek kierownika zarządzającego, rekomendowanie zmian w harmonogramie i wniosku. Rada jest organem doradczym, więc decyzję o zmianie zakresu podejmuje kierownik zarządzający, a zmiany w harmonogramie zgłasza do instytucji. We wniosku stosujemy wyłącznie nazwę „kierownik zarządzający” (wymóg konkursu); nazwa „Kierownik Projektu” z umowy konsorcjum nie pojawia się. Skład osobowy Rady zostanie ustalony po otrzymaniu dofinansowania i nie jest wpisywany do wniosku.</t>
        </is>
      </c>
      <c r="D28" s="11" t="inlineStr">
        <is>
          <t>ZATWIERDZONA</t>
        </is>
      </c>
      <c r="E28" s="2" t="inlineStr">
        <is>
          <t>Właściciel</t>
        </is>
      </c>
      <c r="F28" s="2" t="inlineStr">
        <is>
          <t>K5-05, K3-21</t>
        </is>
      </c>
    </row>
    <row r="29">
      <c r="A29" s="2" t="inlineStr">
        <is>
          <t>D28</t>
        </is>
      </c>
      <c r="B29" s="2" t="inlineStr">
        <is>
          <t>Niezależna weryfikacja KM zadań PRz przez AI Lead Everest11 (przeliczenie metryk na zamrożonym zbiorze)</t>
        </is>
      </c>
      <c r="C29" s="2" t="inlineStr">
        <is>
          <t>Sposób zapewnienia niezależnego nadzoru nad zadaniami PRz, skoro obaj kierownicy są pracownikami PRz (K5-09). Wpisane w polu weryfikacji KM-Z1, Z3, Z4, Z5, Z7, Z8.</t>
        </is>
      </c>
      <c r="D29" s="11" t="inlineStr">
        <is>
          <t>DO POTWIERDZENIA</t>
        </is>
      </c>
      <c r="E29" s="2" t="inlineStr">
        <is>
          <t>Właściciel</t>
        </is>
      </c>
      <c r="F29" s="2" t="inlineStr">
        <is>
          <t>K5-09, K3-12</t>
        </is>
      </c>
    </row>
    <row r="30">
      <c r="A30" s="2" t="inlineStr">
        <is>
          <t>D29</t>
        </is>
      </c>
      <c r="B30" s="2" t="inlineStr">
        <is>
          <t>Podział etatów 6 stanowisk Everest11 między Z6, Z7 i Z9</t>
        </is>
      </c>
      <c r="C30" s="2" t="inlineStr">
        <is>
          <t>Wariant właściciela: M19-M21 40% Z6 i 60% Z7 (wszyscy); M22-M27 po 1/3 (AI Lead, AI Senior, IT) oraz 20/40/40 (IoT, cyber) i 20/30/50 (TSL) w Z6/Z7/Z9; M28-M30 100% Z9. Koszt łączny bez zmian. Nowe koszty personelu Everest11 z Backendem (Z6 195 210 zł, Z9 65 070 zł): Z6 434 041,00 zł, Z7 308 871,62 zł, Z9 477 149,88 zł; razem 1 220 062,50 zł. Dofinansowanie bez zmian (60%). Wymaga potwierdzenia przez zespół techniczny i wpisania udziałów w zakresy czynności.</t>
        </is>
      </c>
      <c r="D30" s="11" t="inlineStr">
        <is>
          <t>DO POTWIERDZENIA</t>
        </is>
      </c>
      <c r="E30" s="2" t="inlineStr">
        <is>
          <t>Claude + właściciel</t>
        </is>
      </c>
      <c r="F30" s="2" t="inlineStr">
        <is>
          <t>K3-36, K3-37</t>
        </is>
      </c>
    </row>
    <row r="31">
      <c r="A31" s="2" t="inlineStr">
        <is>
          <t>D30</t>
        </is>
      </c>
      <c r="B31" s="2" t="inlineStr">
        <is>
          <t>Dokumentacja AI Act, RODO i patentowa poza kosztami B+R w Z2, Z6, Z9; patent tylko w Z11</t>
        </is>
      </c>
      <c r="C31" s="2" t="inlineStr">
        <is>
          <t>Dostosować 6.1 (Kosterna: dokumentacja patentowa; Hajduk: ocena trafności alertów) do opisów zadań.</t>
        </is>
      </c>
      <c r="D31" s="11" t="inlineStr">
        <is>
          <t>DO POTWIERDZENIA</t>
        </is>
      </c>
      <c r="E31" s="2" t="inlineStr">
        <is>
          <t>Właściciel</t>
        </is>
      </c>
      <c r="F31" s="2" t="inlineStr">
        <is>
          <t>K3-38, K3-40, K3-11, K3-66</t>
        </is>
      </c>
    </row>
    <row r="32">
      <c r="A32" s="2" t="inlineStr">
        <is>
          <t>D31</t>
        </is>
      </c>
      <c r="B32" s="2" t="inlineStr">
        <is>
          <t>Nazwa zadania Z6 zmieniona na „Pipeline PoL/PoC i zgodność z eFTI (Z6)”</t>
        </is>
      </c>
      <c r="C32" s="2" t="inlineStr">
        <is>
          <t>Nazwa obejmuje integracje, które opis Z6 wyłącza z prac B+R. Rekomendacja: zmiana nazwy na „Pipeline PoL/PoC i zgodność z eFTI (Z6)”. Nazwa wpisywana jest raz w 3.1.1 i pobierana automatycznie przez pozycje kosztowe, więc zmiana jest jednorazowa (do sprawdzenia w LSI).</t>
        </is>
      </c>
      <c r="D32" s="16" t="inlineStr">
        <is>
          <t>ZATWIERDZONA</t>
        </is>
      </c>
      <c r="E32" s="2" t="inlineStr">
        <is>
          <t>Właściciel</t>
        </is>
      </c>
      <c r="F32" s="2" t="inlineStr">
        <is>
          <t>K3-08, N01</t>
        </is>
      </c>
    </row>
    <row r="33">
      <c r="A33" s="2" t="inlineStr">
        <is>
          <t>D32</t>
        </is>
      </c>
      <c r="B33" s="2" t="inlineStr">
        <is>
          <t>Tytuł „AI Senior Engineer” zostaje, stawka 16 500 zł (pasmo Mid) z wyjaśnieniem</t>
        </is>
      </c>
      <c r="C33" s="2" t="inlineStr">
        <is>
          <t>Decyzja właściciela: tytuł zostaje; w metodzie szacowania wyjaśnienie, że stawka została wynegocjowana przy podpisaniu umowy warunkowej z 08.06.2026 i mieści się w widełkach Mid. Wszystkie osoby Everest11 nie są pracownikami Everest11 i podpisały umowy warunkowe 08.06.2026 (warunek: dofinansowanie).</t>
        </is>
      </c>
      <c r="D33" s="16" t="inlineStr">
        <is>
          <t>ZATWIERDZONA</t>
        </is>
      </c>
      <c r="E33" s="2" t="inlineStr">
        <is>
          <t>Właściciel</t>
        </is>
      </c>
      <c r="F33" s="2" t="inlineStr">
        <is>
          <t>K3-35, K5-10</t>
        </is>
      </c>
    </row>
    <row r="34">
      <c r="A34" s="2" t="inlineStr">
        <is>
          <t>D33</t>
        </is>
      </c>
      <c r="B34" s="2" t="inlineStr">
        <is>
          <t>Wskaźniki innowacyjności 1.2 i 1.4: nowy zestaw (W1-W5, I1-I3) i usunięcie fill rate</t>
        </is>
      </c>
      <c r="C34" s="2" t="inlineStr">
        <is>
          <t>Bazy: detektor progowy (AUC, D16), ogólny detektor (mAP), 0 Hz w ruchu (model 3D), brak alertu lokalnego; PoC tylko czas, eFTI osobno w 1.4; „liczba warstw ICT” zastąpiona liczbą funkcji AI lokalnie; cena jako roczny koszt posiadania z bazą z ofert; fill rate usunięty. Wartości zakładane: AUC bazy ≤0,70, mAP bazy ≤0,40, błąd względny 0,03/0,05 m.</t>
        </is>
      </c>
      <c r="D34" s="16" t="inlineStr">
        <is>
          <t>DO POTWIERDZENIA</t>
        </is>
      </c>
      <c r="E34" s="2" t="inlineStr">
        <is>
          <t>Właściciel</t>
        </is>
      </c>
      <c r="F34" s="2" t="inlineStr">
        <is>
          <t>K1-01 do K1-06, K3-48</t>
        </is>
      </c>
    </row>
    <row r="35">
      <c r="A35" s="2" t="inlineStr">
        <is>
          <t>D34</t>
        </is>
      </c>
      <c r="B35" s="2" t="inlineStr">
        <is>
          <t>Pkt 1.3 i ceny: nowa podstawa rynku i opis wartości dla klienta</t>
        </is>
      </c>
      <c r="C35" s="2" t="inlineStr">
        <is>
          <t>TAM 544,97 tys. naczep (Eurostat 2023), SAM 200 000 jako założenie z metodą do uzupełnienia, prognoza tylko dla Polski. eFTI opisane jako obowiązek organów i dobrowolne dla przewoźników. Wartość CMR przeliczona kursem SDR NBP 5,0954 (04.09.2026): 8 489-21 222 PLN. Usunięte: ROI dodatni od 1. roku, 5 500 PLN, 43% pustych, 5 mln USD. Flota odniesienia 10 naczep (12 168 PLN w 1. roku, 4 668 PLN potem).</t>
        </is>
      </c>
      <c r="D35" s="16" t="inlineStr">
        <is>
          <t>DO POTWIERDZENIA</t>
        </is>
      </c>
      <c r="E35" s="2" t="inlineStr">
        <is>
          <t>Właściciel</t>
        </is>
      </c>
      <c r="F35" s="2" t="inlineStr">
        <is>
          <t>K2-05, K2-06, K2-11, K2-14, K2-15, K2-17</t>
        </is>
      </c>
    </row>
    <row r="36">
      <c r="A36" s="2" t="inlineStr">
        <is>
          <t>D35</t>
        </is>
      </c>
      <c r="B36" s="2" t="inlineStr">
        <is>
          <t>Wdrożenie na 50 pojazdach u klientów zewnętrznych, bez floty własnej Everest11 w liczbie wdrożeń</t>
        </is>
      </c>
      <c r="C36" s="2" t="inlineStr">
        <is>
          <t>Decyzja właściciela: wdrożenie opisane jako 50 pojazdów w sumie (trzej operatorzy z listami intencyjnymi na łącznie 50 naczep, ponownie podpisanymi). Model finansowy bez zmian liczbowych. Usuwa pytanie o pochodzenie 20 naczep (K2-01). Flota testowa Z9 (D10, min. 3 pojazdy) jest odrębna. Zmiany: 1.3, 2.1 Etap 1, komentarz w modelu.</t>
        </is>
      </c>
      <c r="D36" s="16" t="inlineStr">
        <is>
          <t>ZATWIERDZONA</t>
        </is>
      </c>
      <c r="E36" s="2" t="inlineStr">
        <is>
          <t>Właściciel</t>
        </is>
      </c>
      <c r="F36" s="2" t="inlineStr">
        <is>
          <t>K2-01, K6</t>
        </is>
      </c>
    </row>
    <row r="37">
      <c r="A37" s="2" t="inlineStr">
        <is>
          <t>D36</t>
        </is>
      </c>
      <c r="B37" s="2" t="inlineStr">
        <is>
          <t>Prawa PRz w chwili wdrożenia (K2-02): mechanizm z § 11 umowy konsorcjum, bez zmian w umowie</t>
        </is>
      </c>
      <c r="C37" s="2" t="inlineStr">
        <is>
          <t>Umowa konsorcjum (§ 11 ust. 7-11): prawo pierwszeństwa Lidera do przeniesienia praw PRz, oświadczenie w ciągu 120 dni od wyników i końca projektu (do 28.08.2029), wycena niezależnego eksperta nadzorowana przez Radę, 7 dni na zastrzeżenia PRz, drugi ekspert i średnia przy sporze. Umowa nie narzuca terminu przeniesienia. We wniosku plan: przeniesienie do 30.11.2029 i zapis, że do czasu przeniesienia Everest11 nie sprzedaje produktu opartego na wynikach PRz. Wariant A (zmiana umowy) i B (licencja) odrzucone.</t>
        </is>
      </c>
      <c r="D37" s="16" t="inlineStr">
        <is>
          <t>ZATWIERDZONA (harmonogram do potwierdzenia z PRz)</t>
        </is>
      </c>
      <c r="E37" s="2" t="inlineStr">
        <is>
          <t>Właściciel</t>
        </is>
      </c>
      <c r="F37" s="2" t="inlineStr">
        <is>
          <t>K2-02</t>
        </is>
      </c>
    </row>
    <row r="38">
      <c r="A38" s="2" t="inlineStr">
        <is>
          <t>D37</t>
        </is>
      </c>
      <c r="B38" s="2" t="inlineStr">
        <is>
          <t>Sekcja 6.1: statusy i dostępność zespołu (K5-01, K5-08, K5-09)</t>
        </is>
      </c>
      <c r="C38" s="2" t="inlineStr">
        <is>
          <t>Założenia (do potwierdzenia przez właścicielkę): Kordos, Chrzanowski i Retajczyk na umowie zlecenia z Everest11 (0,4 etatu, 67 h), pozostałe osoby Everest11 na umowie o pracę (warunkowe z 08.06.2026); start 01.11.2026; godziny przy 168 h na etat; Kordos i Chrzanowski mają etat w PRz (razem 235 h), Hajduk etat w Natanek Logistics (252 h), Kosterna 269 h i Wojdat 210 h do 28.02.2027; Natanek Logistics jest partnerem testowym, nie podwykonawcą; funkcja koordynatora wydziałowego Chrzanowskiego zakończona w 2022 r.</t>
        </is>
      </c>
      <c r="D38" s="16" t="inlineStr">
        <is>
          <t>DO POTWIERDZENIA</t>
        </is>
      </c>
      <c r="E38" s="2" t="inlineStr">
        <is>
          <t>Właścicielka</t>
        </is>
      </c>
      <c r="F38" s="2" t="inlineStr">
        <is>
          <t>K5-01, K5-07, K5-08, K5-09</t>
        </is>
      </c>
    </row>
    <row r="39">
      <c r="A39" s="2" t="inlineStr">
        <is>
          <t>D38</t>
        </is>
      </c>
      <c r="B39" s="2" t="inlineStr">
        <is>
          <t>6R: wariant B (reduce) z dwoma wskaźnikami mierzonymi w trakcie projektu</t>
        </is>
      </c>
      <c r="C39" s="2" t="inlineStr">
        <is>
          <t>Zasada reduce, wskaźnik 1: papier, 500 stron A4 do nie więcej niż 50 w 250 kursach testowych (Z6 50 cykli, Z9 200); wskaźnik 2: dane do chmury, 100% do nie więcej niż 5% surowego strumienia (Z7, Z9). Wypełnienie naczep 65% do 80% usunięte. Rozwija D17. Rola PRz: dobór lekkich architektur Z3 i Z8 i niezależne przeliczenie wolumenu.</t>
        </is>
      </c>
      <c r="D39" s="16" t="inlineStr">
        <is>
          <t>DO POTWIERDZENIA</t>
        </is>
      </c>
      <c r="E39" s="2" t="inlineStr">
        <is>
          <t>Właścicielka, dział techniczny</t>
        </is>
      </c>
      <c r="F39" s="2" t="inlineStr">
        <is>
          <t>K13-01..06</t>
        </is>
      </c>
    </row>
    <row r="40">
      <c r="A40" s="2" t="inlineStr">
        <is>
          <t>D39</t>
        </is>
      </c>
      <c r="B40" s="2" t="inlineStr">
        <is>
          <t>Zestaw CargoDT w tabeli dostępności: pozytywny, nie neutralny</t>
        </is>
      </c>
      <c r="C40" s="2" t="inlineStr">
        <is>
          <t>Kierowca jest użytkownikiem (panel HMI i buzzer 100 dB, alert w 3 poziomach), więc neutralność nie spełnia definicji z Instrukcji. API i aparatura badawcza pozostają neutralne.</t>
        </is>
      </c>
      <c r="D40" s="16" t="inlineStr">
        <is>
          <t>ZATWIERDZONA (propozycja, brak sprzeciwu)</t>
        </is>
      </c>
      <c r="E40" s="2" t="inlineStr">
        <is>
          <t>Właścicielka</t>
        </is>
      </c>
      <c r="F40" s="2" t="inlineStr">
        <is>
          <t>K10-05</t>
        </is>
      </c>
    </row>
    <row r="41">
      <c r="A41" s="2" t="inlineStr">
        <is>
          <t>D40</t>
        </is>
      </c>
      <c r="B41" s="2" t="inlineStr">
        <is>
          <t>Wskaźnik przychodów poza RP (FENGR-001): 0 zł w 2030 r.</t>
        </is>
      </c>
      <c r="C41" s="2" t="inlineStr">
        <is>
          <t>Wartość 0 zł w 2030 r. (pierwszy rok sprzedaży tylko w Polsce, brak licencji za granicą); pierwsze przychody poza RP wg modelu od 2032-2033. Model bez zmian. Zatwierdzona przez właścicielkę 02.10.2026.</t>
        </is>
      </c>
      <c r="D41" s="16" t="inlineStr">
        <is>
          <t>ZATWIERDZONA</t>
        </is>
      </c>
      <c r="E41" s="2" t="inlineStr">
        <is>
          <t>Właścicielka</t>
        </is>
      </c>
      <c r="F41" s="2" t="inlineStr">
        <is>
          <t>K14-01</t>
        </is>
      </c>
    </row>
    <row r="42">
      <c r="A42" s="2" t="inlineStr">
        <is>
          <t>D41</t>
        </is>
      </c>
      <c r="B42" s="2" t="inlineStr">
        <is>
          <t>Internacjonalizacja: przebudowa budżetu bez zmiany sumy i dofinansowania</t>
        </is>
      </c>
      <c r="C42" s="2" t="inlineStr">
        <is>
          <t>Suma kwalifikowalna 86 871,00 zł i dofinansowanie 43 435,50 zł bez zmian względem poprzedniej wersji (ogółem 101 273,37 zł zamiast 104 075,78 zł wyłącznie z powodu poprawy VAT: stawki podróży netto=brutto, tłumaczenia z VAT). TRANSLOG 23 919 zł wg cennika historycznego: powierzchnia 9 m² (285 EUR/m²) + opłata podstawowa 350 EUR = 13 735 zł (de minimis 5.3.8); energia 130 EUR, zabudowa 199 EUR/m², meble 240 EUR = 10 184 zł (art. 19, 5.3.2); kurs NBP 4,2836, waloryzacja ok. 10%. Doradztwo 14 dni x 8 h x 125 zł = 14 000 zł; rzecznik 8 000 zł (de minimis) + 15 500 zł (dokumentacja, zgłoszenie, tłumaczenia, art. 28); EPO 7 785 zł; element dekoracyjny stoiska 1 200 zł; podróże 3 x 5 489 zł. Zatwierdzona 02.10.2026.</t>
        </is>
      </c>
      <c r="D42" s="16" t="inlineStr">
        <is>
          <t>ZATWIERDZONA</t>
        </is>
      </c>
      <c r="E42" s="2" t="inlineStr">
        <is>
          <t>Właścicielka</t>
        </is>
      </c>
      <c r="F42" s="2" t="inlineStr">
        <is>
          <t>K3-24, K3-59..66</t>
        </is>
      </c>
    </row>
    <row r="43">
      <c r="A43" s="2" t="inlineStr">
        <is>
          <t>D42</t>
        </is>
      </c>
      <c r="B43" s="2" t="inlineStr">
        <is>
          <t>Amortyzacja: przesunięcia cen przy niezmienionej sumie (Everest11 57 100 zł, PRz 147 700 zł)</t>
        </is>
      </c>
      <c r="C43" s="2" t="inlineStr">
        <is>
          <t>PRz Z1: ToF typ 2 zestaw 10 000 zł, EO typ 2 4 500 zł, radar typ 2 3 500 zł (K3-50). Everest11 Z2: kamera ToF Orbbec Femto Bolt 2 100 zł + akcesoria 400 zł (zamiast OAK-D Pro W, active stereo); platforma edge AI: jednostka 1 400 zł, dysk 400 zł, router 1 200 zł za komplet 3 000 zł (zamiast 500/1 000/1 500). Odpis jednorazowy, likwidacja po M30 (D01).</t>
        </is>
      </c>
      <c r="D43" s="16" t="inlineStr">
        <is>
          <t>DO POTWIERDZENIA</t>
        </is>
      </c>
      <c r="E43" s="2" t="inlineStr">
        <is>
          <t>Właścicielka, dział techniczny</t>
        </is>
      </c>
      <c r="F43" s="2" t="inlineStr">
        <is>
          <t>K3-48..58</t>
        </is>
      </c>
    </row>
    <row r="44">
      <c r="A44" s="2" t="inlineStr">
        <is>
          <t>D43</t>
        </is>
      </c>
      <c r="B44" s="2" t="inlineStr">
        <is>
          <t>PRz Z8: godziny obniżone do stawek z Z1-Z5, budżet bez zmian</t>
        </is>
      </c>
      <c r="C44" s="2" t="inlineStr">
        <is>
          <t>Decyzja właścicielki: stawki godzinowe w Z8 mają być takie same jak w Z1, Z3, Z4, Z5 (x1,08 względem dotychczasowych liczb w Z8), a godziny są obniżone (np. główny specjalista 301 zamiast 325). Godziny Z8: 301, 301, 111, 102, 224, 185, 189, 185; suma Z8 113 076,00 zł (było 113 084,00); suma pozycji osobowych PRz 679 464,72 zł (było 679 472,72). Z1, Z3, Z4, Z5 bez zmian (zgodne z plikiem PRz).</t>
        </is>
      </c>
      <c r="D44" s="16" t="inlineStr">
        <is>
          <t>ZATWIERDZONA (właścicielka)</t>
        </is>
      </c>
      <c r="E44" s="2" t="inlineStr">
        <is>
          <t>Właścicielka, PRz</t>
        </is>
      </c>
      <c r="F44" s="2" t="inlineStr">
        <is>
          <t>K3-41, K3-42</t>
        </is>
      </c>
    </row>
    <row r="45">
      <c r="A45" s="2" t="inlineStr">
        <is>
          <t>D44</t>
        </is>
      </c>
      <c r="B45" s="2" t="inlineStr">
        <is>
          <t>Podwykonawstwo Z2/Z9: średnia z 3 ofert, rozdział zakresu, R8</t>
        </is>
      </c>
      <c r="C45" s="2" t="inlineStr">
        <is>
          <t>Z2 150 000 zł: montaż toru (M7-M8) i demontaż po kampanii (M18), 600 godz. x 250 zł (50 000 zł za pojazd). Z9 70 000 zł: montaż zestawów prototypowych (M22) i demontaż (M30), ok. 280 godz. x 250 zł (ok. 23 333 zł za pojazd). Kwoty to średnia 3 ofert (Cadway-Automotive, RLE VESOFTX, BEISSBARTH EQUIPMENT); rozkład godzin to kalkulacja Everest11 dobrana do ofert. Stawka 250 zł/h w zakresie 200-300 zł (kb.pl, Interia, cenauslug.pl; do sprawdzenia w przeglądarce). Wybór wykonawcy z zachowaniem zasady konkurencyjności. Nazwa Z9 wg N29. R8 przepisane. WERSJA OSTATECZNA: plik Sekcja_3.1_podwykonawstwo_i_stawki_PRz.docx z poprawkami właścicielki (usunięto zdanie „Podwykonawca nie wykona prac badawczych”, atrybucję godzin do IoT Specialist i odwołanie do pkt 6.4 w wyborze wykonawcy).</t>
        </is>
      </c>
      <c r="D45" s="16" t="inlineStr">
        <is>
          <t>ZATWIERDZONA (D08), szczegóły do potwierdzenia T37</t>
        </is>
      </c>
      <c r="E45" s="2" t="inlineStr">
        <is>
          <t>Właścicielka</t>
        </is>
      </c>
      <c r="F45" s="2" t="inlineStr">
        <is>
          <t>K3-43..47, K5-19</t>
        </is>
      </c>
    </row>
    <row r="46">
      <c r="A46" s="2" t="inlineStr">
        <is>
          <t>D45</t>
        </is>
      </c>
      <c r="B46" s="2" t="inlineStr">
        <is>
          <t>K6-07: dane za II kwartał 2026 w modelu Everest11 i prognoza dotychczasowej działalności z I półrocza x 2</t>
        </is>
      </c>
      <c r="C46" s="2" t="inlineStr">
        <is>
          <t>Do modelu wpisane: data sprawozdania 30.06.2026 (Założenia C14), bilans i RZiS (Sprawozdania finansowe, kol. F) oraz prognoza dotychczasowej działalności z wyniku I półrocza razy 2 (Przychody w. 27: 19 526,84; Koszty w. 15, 24, 43, 65). Wpływ: zysk netto łącznie 2026 996 -&gt; 962 tys. zł, środki na koniec 2026 2 648 -&gt; 2 564 tys. zł, wskaźniki bez istotnych zmian, opłacalność bez zmian. Dwie komórki (F82, F195) z zaokrągleniem o 0,11 i 0,02 tys. zł, by bilans się zgadzał.</t>
        </is>
      </c>
      <c r="D46" s="16" t="inlineStr">
        <is>
          <t>DO POTWIERDZENIA</t>
        </is>
      </c>
      <c r="E46" s="2" t="inlineStr">
        <is>
          <t>Właścicielka</t>
        </is>
      </c>
      <c r="F46" s="2" t="inlineStr">
        <is>
          <t>K6-07, K6-06, K6-09</t>
        </is>
      </c>
    </row>
    <row r="47">
      <c r="A47" s="2" t="inlineStr">
        <is>
          <t>D46</t>
        </is>
      </c>
      <c r="B47" s="2" t="inlineStr">
        <is>
          <t>Rotacje dotychczasowej działalności: poziom z I półrocza 2026 (należności 37 dni, zobowiązania 29 dni) zamiast średniej 2023-2025</t>
        </is>
      </c>
      <c r="C47" s="2" t="inlineStr">
        <is>
          <t>Model: średnia 2023-2025 (96-133 dni). Rzeczywiste: 59 dni (31.03.2026), 29 dni (30.06.2026). Wrażliwość: przy 60 dniach środki na koniec 2026 760 tys. zł, przy 29 dniach -793 tys. zł. Rekomendacja: wariant A i wyjaśnienie księgowej (T40), albo wariant B (60 dni).</t>
        </is>
      </c>
      <c r="D47" s="16" t="inlineStr">
        <is>
          <t>WPROWADZONA W MODELU (do potwierdzenia przez właścicielkę)</t>
        </is>
      </c>
      <c r="E47" s="2" t="inlineStr">
        <is>
          <t>Właścicielka, księgowa</t>
        </is>
      </c>
      <c r="F47" s="2" t="inlineStr">
        <is>
          <t>K6-04, K6-08</t>
        </is>
      </c>
    </row>
    <row r="48">
      <c r="A48" s="2" t="inlineStr">
        <is>
          <t>D47</t>
        </is>
      </c>
      <c r="B48" s="2" t="inlineStr">
        <is>
          <t>Zakupy od Natanek Logistics (ok. 95% usług obcych) opisujemy wprost; Natanek Logistics nie jest „niezależnym klientem”</t>
        </is>
      </c>
      <c r="C48" s="2" t="inlineStr">
        <is>
          <t>Decyzja właścicielki 05.10.2026: piszemy wprost o skali (ok. 13,4 mln zł w 2025, ok. 8,4 mln zł w I półroczu 2026). Zmiany: ryzyko R12 (Opisy zadań, Poprawki), opis Z9 (niezależność walidacji), pkt 1.3 (Natanek Logistics powiązany z Inwestorem), komentarz Sprawozdania w modelu.</t>
        </is>
      </c>
      <c r="D48" s="16" t="inlineStr">
        <is>
          <t>ZATWIERDZONA</t>
        </is>
      </c>
      <c r="E48" s="2" t="inlineStr">
        <is>
          <t>Właścicielka</t>
        </is>
      </c>
      <c r="F48" s="2" t="inlineStr">
        <is>
          <t>K3-32, K3-11, K6-16</t>
        </is>
      </c>
    </row>
    <row r="49">
      <c r="A49" s="2" t="inlineStr">
        <is>
          <t>D48</t>
        </is>
      </c>
      <c r="B49" s="2" t="inlineStr">
        <is>
          <t>Dotychczasowa działalność: jeden odbiorca (Amazon, umowa); usunięte „ponad 50 aktywnych kontrahentów”</t>
        </is>
      </c>
      <c r="C49" s="2" t="inlineStr">
        <is>
          <t>Decyzja właścicielki 05.10.2026: Amazon to jedyny aktywny odbiorca w 2026 (95% w 2025, 5% Nara Motors). Usunięte sformułowania o bazie 50+ w pkt 1.3 (3 miejsca), komentarzach modelu (Przychody, Koszty, Opłacalność) i planie zastępczym R11. Kanał sprzedaży CargoDT: trzej operatorzy z LOI na 50 naczep, sprzedaż bezpośrednia, 15 rozmów (III-V 2026). ZMIANA 06.10.2026 (D59): baza „ponad 50 kontrahentów” zostaje we wniosku, ale bez słowa „aktywnych” i bez „bieżącej współpracy”.</t>
        </is>
      </c>
      <c r="D49" s="16" t="inlineStr">
        <is>
          <t>ZATWIERDZONA</t>
        </is>
      </c>
      <c r="E49" s="2" t="inlineStr">
        <is>
          <t>Właścicielka</t>
        </is>
      </c>
      <c r="F49" s="2" t="inlineStr">
        <is>
          <t>K2-01, K2-16, K6-05</t>
        </is>
      </c>
    </row>
    <row r="50">
      <c r="A50" s="2" t="inlineStr">
        <is>
          <t>D49</t>
        </is>
      </c>
      <c r="B50" s="2" t="inlineStr">
        <is>
          <t>K6-12: struktura udziałów po dokapitalizowaniu</t>
        </is>
      </c>
      <c r="C50" s="2" t="inlineStr">
        <is>
          <t>Jedyny wspólnik: Wojciech Chrzanowski (KRS: wpis 02.06.2025, 100 udziałów, 5 000 zł). Po przyznaniu dofinansowania wycena spółki, Z. Natanek obejmie udziały zgodnie z wyceną, nie więcej niż 20%. Przy wkładzie 1 253 358 zł 20% to wycena po podwyższeniu ok. 6,3 mln zł. Komentarz w arkuszu Finansowanie.</t>
        </is>
      </c>
      <c r="D50" s="16" t="inlineStr">
        <is>
          <t>ZATWIERDZONA</t>
        </is>
      </c>
      <c r="E50" s="2" t="inlineStr">
        <is>
          <t>Właścicielka</t>
        </is>
      </c>
      <c r="F50" s="2" t="inlineStr">
        <is>
          <t>K6-12</t>
        </is>
      </c>
    </row>
    <row r="51">
      <c r="A51" s="2" t="inlineStr">
        <is>
          <t>D50</t>
        </is>
      </c>
      <c r="B51" s="2" t="inlineStr">
        <is>
          <t>Zasada organizacyjna: korygujemy tylko model Everest11, dokument K6 i rejestr; pozostałe pliki są zamknięte</t>
        </is>
      </c>
      <c r="C51" s="2" t="inlineStr">
        <is>
          <t>Decyzja właścicielki 05.10.2026: Sekcja_1.3_i_ceny.docx, Poprawki_do_wklejenia_WP01-WP03.docx, Opisy_zadan_z_kamieniami_milowymi.docx nie są zmieniane. Wszystkie zmiany do nich opisuje odrębne zestawienie Zmiany_do_wprowadzenia_w_plikach_zamknietych.docx. Trzy pliki przywrócone do wersji sprzed zmian z 05.10.</t>
        </is>
      </c>
      <c r="D51" s="16" t="inlineStr">
        <is>
          <t>ZATWIERDZONA</t>
        </is>
      </c>
      <c r="E51" s="2" t="inlineStr">
        <is>
          <t>Właścicielka</t>
        </is>
      </c>
      <c r="F51" s="2" t="inlineStr">
        <is>
          <t>D47, D48, N83</t>
        </is>
      </c>
    </row>
    <row r="52">
      <c r="A52" s="2" t="inlineStr">
        <is>
          <t>D51</t>
        </is>
      </c>
      <c r="B52" s="2" t="inlineStr">
        <is>
          <t>K6-12: kapitał zakładowy rośnie tylko o wartość nominalną, wkład inwestora to głównie nadwyżka na kapitał zapasowy</t>
        </is>
      </c>
      <c r="C52" s="2" t="inlineStr">
        <is>
          <t>Zastępuje zdanie o wycenie 6,3 mln zł. Inwestor obejmuje wszystkie nowe udziały, dotychczasowy wspólnik niczego nie wnosi (25 udziałów po 50 zł = 1 250 zł nominalnie przy 20%). Wycena po przyznaniu dofinansowania określa liczbę udziałów i cenę emisyjną. Uwaga: przy wkładzie 1 253 358 zł i limicie 20% wycena po podwyższeniu musi wynieść co najmniej ok. 6,3 mln zł (przed ok. 5,0 mln zł).</t>
        </is>
      </c>
      <c r="D52" s="16" t="inlineStr">
        <is>
          <t>ZATWIERDZONA (tekst), ryzyko wyceny do świadomości właścicielki</t>
        </is>
      </c>
      <c r="E52" s="2" t="inlineStr">
        <is>
          <t>Właścicielka</t>
        </is>
      </c>
      <c r="F52" s="2" t="inlineStr">
        <is>
          <t>K6-12</t>
        </is>
      </c>
    </row>
    <row r="53">
      <c r="A53" s="2" t="inlineStr">
        <is>
          <t>D52</t>
        </is>
      </c>
      <c r="B53" s="2" t="inlineStr">
        <is>
          <t>K6-14: harmonogram płatności skorygowany (suma zaliczek 89,5% Everest11 i 89,63% konsorcjum)</t>
        </is>
      </c>
      <c r="C53" s="2" t="inlineStr">
        <is>
          <t>Wcześniejsza weryfikacja K6-14 była błędna (zaliczka liczona jako F razy H). Poprawnie suma zaliczek wynosiła 91,63% i 91,21% (limit 90%), refundacja końcowa 8,4% i 8,8%. Przesunięte 63 048,12 zł dofinansowania z II półrocza 2028 do II półrocza 2029 w obu arkuszach (Everest11 i Konsorcjum). Sumy bez zmian. Plik PRz ma 90,0% i 10,0%.</t>
        </is>
      </c>
      <c r="D53" s="16" t="inlineStr">
        <is>
          <t>WPROWADZONA W MODELU</t>
        </is>
      </c>
      <c r="E53" s="2" t="inlineStr">
        <is>
          <t>Claude</t>
        </is>
      </c>
      <c r="F53" s="2" t="inlineStr">
        <is>
          <t>K6-14</t>
        </is>
      </c>
    </row>
    <row r="54">
      <c r="A54" s="2" t="inlineStr">
        <is>
          <t>D53</t>
        </is>
      </c>
      <c r="B54" s="2" t="inlineStr">
        <is>
          <t>K2-13 i N58: koszt docelowy zestawu 4 875 zł (9 komponentów) i zespół komercjalizacji 1,5-4,5 etatu przy 19,2 tys. zł/etat</t>
        </is>
      </c>
      <c r="C54" s="2" t="inlineStr">
        <is>
          <t>Propozycja Claude na prośbę właścicielki („wiarygodnie i spójnie”). Tylko cena Jetson (399 USD, 1KU+) pochodzi z cennika; pozostałe ceny to założenia klasy OEM do potwierdzenia ofertami w Z7. Etaty wynikają dokładnie z kwot w modelu; widełki płac z Hays Salary Guide 2026 (13 000-19 000 zł brutto). Wrażliwość: koszt +1 000 zł obniża marżę brutto z 35% do 22%.</t>
        </is>
      </c>
      <c r="D54" s="16" t="inlineStr">
        <is>
          <t>DO ZATWIERDZENIA (dział techniczny, właścicielka)</t>
        </is>
      </c>
      <c r="E54" s="2" t="inlineStr">
        <is>
          <t>Dział techniczny, właścicielka</t>
        </is>
      </c>
      <c r="F54" s="2" t="inlineStr">
        <is>
          <t>K2-12, K2-13, N58</t>
        </is>
      </c>
    </row>
    <row r="55">
      <c r="A55" s="2" t="inlineStr">
        <is>
          <t>D54</t>
        </is>
      </c>
      <c r="B55" s="2" t="inlineStr">
        <is>
          <t>Korekta o 1 grosz w budżecie (wersja C wniosku)</t>
        </is>
      </c>
      <c r="C55" s="2" t="inlineStr">
        <is>
          <t>Dofinansowanie Everest11 w LSI 2 964 296,11 zł (konsorcjum 3 998 262,01 zł), wkład własny 1 253 357,99 zł ogółem i 1 172 420,21 zł kwalifikowalnie. Powód: LSI obcina dofinansowanie do pełnych groszy w pozycjach AI Senior Engineer Z9 i podwykonawstwo Z9. Model dopasowany: kolumna F w obu arkuszach Zaliczka-refundacja obcięta do groszy.</t>
        </is>
      </c>
      <c r="D55" s="16" t="inlineStr">
        <is>
          <t>WPROWADZONA W MODELU</t>
        </is>
      </c>
      <c r="E55" s="2" t="inlineStr">
        <is>
          <t>Właścicielka, Claude</t>
        </is>
      </c>
      <c r="F55" s="2" t="inlineStr">
        <is>
          <t>K6-12, K6-14</t>
        </is>
      </c>
    </row>
    <row r="56">
      <c r="A56" s="2" t="inlineStr">
        <is>
          <t>D55</t>
        </is>
      </c>
      <c r="B56" s="2" t="inlineStr">
        <is>
          <t>Szczegółowe komentarze do 11 arkuszy modelu (zarzut „zbyt ogólne”)</t>
        </is>
      </c>
      <c r="C56" s="2" t="inlineStr">
        <is>
          <t>Nowe teksty w Sekcja_K6, część 9 (limit 10 000 znaków, Instrukcja pkt 16), do wklejenia przez właścicielkę w komórki: Założenia B79, Sprawozdania B203, Przychody B255, Koszty B645, Środki trwałe B873, Rozliczenie dotacji B327, Kapitał pracujący B133, Finansowanie B179, Opłacalność B106, Ocena B444, Opłacalność - Konsorcjum B101. Zastępują komentarze z części 4.</t>
        </is>
      </c>
      <c r="D56" s="16" t="inlineStr">
        <is>
          <t>TEKST GOTOWY (do wklejenia w model)</t>
        </is>
      </c>
      <c r="E56" s="2" t="inlineStr">
        <is>
          <t>Właścicielka, Claude</t>
        </is>
      </c>
      <c r="F56" s="2" t="inlineStr">
        <is>
          <t>K6-01 do K6-17 (ogólność komentarzy)</t>
        </is>
      </c>
    </row>
    <row r="57">
      <c r="A57" s="2" t="inlineStr">
        <is>
          <t>D56</t>
        </is>
      </c>
      <c r="B57" s="2" t="inlineStr">
        <is>
          <t>Przegląd pliku CargoDT_LSI_do_wklejenia.docx (opisy po weryfikacji technicznej)</t>
        </is>
      </c>
      <c r="C57" s="2" t="inlineStr">
        <is>
          <t>Plik odpowiada na większość uwag technicznych (K1, K3 zadania i KM, R1 do R5, R9), progi spójne we wszystkich polach. Nie wolno go wklejać bez poprawek: 5 problemów wysokiej wagi (baza ponad 50 kontrahentów, R11 i R12 niezgodne z D47 i D48, brak pól K3-33 i K3-39, zamiany ZNAJDŹ nieistniejące w wersji C, K14-01). Szczegóły i teksty zamienne: Zmiany_do_wprowadzenia_w_plikach_zamknietych.docx, część 7.</t>
        </is>
      </c>
      <c r="D57" s="16" t="inlineStr">
        <is>
          <t>WYNIK GOTOWY (część 7), DECYZJE DO PODJĘCIA</t>
        </is>
      </c>
      <c r="E57" s="2" t="inlineStr">
        <is>
          <t>Właścicielka, dział techniczny, Claude</t>
        </is>
      </c>
      <c r="F57" s="2" t="inlineStr">
        <is>
          <t>K1-01 do K3-66, K5-12/13, K14-01</t>
        </is>
      </c>
    </row>
    <row r="58">
      <c r="A58" s="2" t="inlineStr">
        <is>
          <t>D57</t>
        </is>
      </c>
      <c r="B58" s="2" t="inlineStr">
        <is>
          <t>R10 kontra 2.2 i Z11: czy sprzedaż może ruszyć przed przeniesieniem praw PRz</t>
        </is>
      </c>
      <c r="C58" s="2" t="inlineStr">
        <is>
          <t>Propozycja Claude: sprzedaż po przeniesieniu (do 30.11.2029), pilotaż 11.2029 na podstawie umowy o wykonywaniu wspólnych praw (§ 11 ust. 5); usunąć z R10 zdanie „Brak przeniesienia nie wstrzymuje wdrożenia”.</t>
        </is>
      </c>
      <c r="D58" s="16" t="inlineStr">
        <is>
          <t>DO ZATWIERDZENIA</t>
        </is>
      </c>
      <c r="E58" s="2" t="inlineStr">
        <is>
          <t>Właścicielka (po konsultacji z PRz)</t>
        </is>
      </c>
      <c r="F58" s="2" t="inlineStr">
        <is>
          <t>K2-02, K3-25</t>
        </is>
      </c>
    </row>
    <row r="59">
      <c r="A59" s="2" t="inlineStr">
        <is>
          <t>D58</t>
        </is>
      </c>
      <c r="B59" s="2" t="inlineStr">
        <is>
          <t>K14-01: wskaźnik „Przychody ze sprzedaży poza RP” (wartość 0 zł w 2030 r.)</t>
        </is>
      </c>
      <c r="C59" s="2" t="inlineStr">
        <is>
          <t>ZASTĘPUJE wcześniejszą propozycję z 06.10 (pierwsza licencja CEE w 2030). Obowiązuje D40: wartość 0 zł w 2030 r., ryzyko komentarza eksperta zaakceptowane. Do zrobienia: wkleić pole 8.2 z Sekcja_3.2 część 6 i zamienić zdanie „wynikają z modelu od 2032-2033” na „przychodów poza RP nie zakładamy w prognozie”, bo model nie ma sprzedaży zagranicznej.</t>
        </is>
      </c>
      <c r="D59" s="16" t="inlineStr">
        <is>
          <t>ZAMKNIĘTA (D40), do wklejenia</t>
        </is>
      </c>
      <c r="E59" s="2" t="inlineStr">
        <is>
          <t>Właścicielka</t>
        </is>
      </c>
      <c r="F59" s="2" t="inlineStr">
        <is>
          <t>K14-01, K3-24, K2-05</t>
        </is>
      </c>
    </row>
    <row r="60">
      <c r="A60" s="2" t="inlineStr">
        <is>
          <t>D59</t>
        </is>
      </c>
      <c r="B60" s="2" t="inlineStr">
        <is>
          <t>Baza „ponad 50 kontrahentów” zostaje we wniosku (zmienia D48)</t>
        </is>
      </c>
      <c r="C60" s="2" t="inlineStr">
        <is>
          <t>Decyzja właścicielki 06.10.2026: kontrahenci istnieją, ale nie są aktywni. Sformułowania: „baza ponad 50 kontrahentów Everest11, z którymi spółka współpracowała, także obecnie nieaktywnych”; bez „aktywnych” i „bieżącej współpracy”. Ryzyko: uwaga K2-01 prosi o strukturę bazy; potrzebny wyciąg z TMS (T55). Komentarze w modelu (Przychody, Koszty, Opłacalność) nie wymagają zmian, bo już nie powołują się na bazę.</t>
        </is>
      </c>
      <c r="D60" s="16" t="inlineStr">
        <is>
          <t>ZATWIERDZONA (sformułowania do potwierdzenia)</t>
        </is>
      </c>
      <c r="E60" s="2" t="inlineStr">
        <is>
          <t>Właścicielka</t>
        </is>
      </c>
      <c r="F60" s="2" t="inlineStr">
        <is>
          <t>K2-01, K2-16, K6-05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90" customWidth="1" min="3" max="3"/>
    <col width="22" customWidth="1" min="4" max="4"/>
    <col width="14" customWidth="1" min="5" max="5"/>
    <col width="28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Zadanie</t>
        </is>
      </c>
      <c r="C1" s="3" t="inlineStr">
        <is>
          <t>Opis</t>
        </is>
      </c>
      <c r="D1" s="3" t="inlineStr">
        <is>
          <t>Kto</t>
        </is>
      </c>
      <c r="E1" s="3" t="inlineStr">
        <is>
          <t>Termin</t>
        </is>
      </c>
      <c r="F1" s="3" t="inlineStr">
        <is>
          <t>Blokuje / dotyczy</t>
        </is>
      </c>
      <c r="G1" s="3" t="inlineStr">
        <is>
          <t>Status</t>
        </is>
      </c>
    </row>
    <row r="2">
      <c r="A2" s="4" t="inlineStr">
        <is>
          <t>T01</t>
        </is>
      </c>
      <c r="B2" s="4" t="inlineStr">
        <is>
          <t>Konsultacja z działem technicznym (pytania w kolumnie "Opis")</t>
        </is>
      </c>
      <c r="C2" s="4" t="inlineStr">
        <is>
          <t>Pytania: (1) czy w Z2 wystarczy 1 ToF + 1 EO na naczepę; (2) czy w Z1 4 kamery ToF tego samego typu na stanowisku PRz do badań MCI; (3) czy kamery z Z2 mają być prawdziwym ToF (Femto Bolt / Helios2) zamiast OAK-D Pro W (active stereo); (4) dysk NVMe: konsumencki 0-70 C w obudowie z ogrzewaniem czy przemysłowy -40/+85 C (ok. 10x droższy); (5) 3 komplety edge AI zamiast 4 (deweloperski = pierwszy komplet przed montażem).</t>
        </is>
      </c>
      <c r="D2" s="4" t="inlineStr">
        <is>
          <t>Właściciel</t>
        </is>
      </c>
      <c r="E2" s="4" t="inlineStr">
        <is>
          <t>02.10 rano</t>
        </is>
      </c>
      <c r="F2" s="4" t="inlineStr">
        <is>
          <t>Blokuje: K3-55, K3-48/49, D06</t>
        </is>
      </c>
      <c r="G2" s="4" t="inlineStr">
        <is>
          <t>OTWARTE</t>
        </is>
      </c>
    </row>
    <row r="3">
      <c r="A3" s="4" t="inlineStr">
        <is>
          <t>T02</t>
        </is>
      </c>
      <c r="B3" s="4" t="inlineStr">
        <is>
          <t>Aneks do umów najmu: klauzule w arkuszu 6; podpisać przed wysłaniem poprawki</t>
        </is>
      </c>
      <c r="C3" s="4" t="inlineStr">
        <is>
          <t>Zakres: liczba pojazdów 5 -&gt; 20 wg harmonogramu, zgoda na montaż/demontaż, dostęp do danych, okres, ubezpieczenie.</t>
        </is>
      </c>
      <c r="D3" s="4" t="inlineStr">
        <is>
          <t>Właściciel</t>
        </is>
      </c>
      <c r="E3" s="4" t="inlineStr">
        <is>
          <t>05.10</t>
        </is>
      </c>
      <c r="F3" s="4" t="inlineStr">
        <is>
          <t>K2-01, K2-04, K2-16</t>
        </is>
      </c>
      <c r="G3" s="4" t="inlineStr">
        <is>
          <t>OTWARTE</t>
        </is>
      </c>
    </row>
    <row r="4">
      <c r="A4" s="4" t="inlineStr">
        <is>
          <t>T03</t>
        </is>
      </c>
      <c r="B4" s="4" t="inlineStr">
        <is>
          <t>Dane księgowej: 2Q2026, skład udziałów Inwestora i Natanek Logistics, polityka rachunkowości i amortyzacja</t>
        </is>
      </c>
      <c r="C4" s="4" t="inlineStr">
        <is>
          <t>Potrzebne do K6-07, K6-12, K3-32, K6-16 oraz opisu amortyzacji jednorazowej (D01).</t>
        </is>
      </c>
      <c r="D4" s="4" t="inlineStr">
        <is>
          <t>Właściciel (księgowa)</t>
        </is>
      </c>
      <c r="E4" s="4" t="inlineStr">
        <is>
          <t>05.10</t>
        </is>
      </c>
      <c r="F4" s="4" t="inlineStr">
        <is>
          <t>Blokuje WP11</t>
        </is>
      </c>
      <c r="G4" s="4" t="inlineStr">
        <is>
          <t>ZROBIONE 05.10 (sprawozdanie II kw., księgowa, KRS, polityka rachunkowości); zob. T44</t>
        </is>
      </c>
    </row>
    <row r="5">
      <c r="A5" s="4" t="inlineStr">
        <is>
          <t>T04</t>
        </is>
      </c>
      <c r="B5" s="4" t="inlineStr">
        <is>
          <t>Dane do K3-04: liczba przesyłek na kurs, liczba kursów, częstość zdarzeń (Natanek/Everest11)</t>
        </is>
      </c>
      <c r="C5" s="4" t="inlineStr">
        <is>
          <t>Bez tego tekst K3-04 użyje założeń oznaczonych jako ZAŁOŻENIE.</t>
        </is>
      </c>
      <c r="D5" s="4" t="inlineStr">
        <is>
          <t>Właściciel</t>
        </is>
      </c>
      <c r="E5" s="4" t="inlineStr">
        <is>
          <t>02.10</t>
        </is>
      </c>
      <c r="F5" s="4" t="inlineStr">
        <is>
          <t>K3-04, K3-15, K3-18</t>
        </is>
      </c>
      <c r="G5" s="4" t="inlineStr">
        <is>
          <t>OTWARTE</t>
        </is>
      </c>
    </row>
    <row r="6">
      <c r="A6" s="4" t="inlineStr">
        <is>
          <t>T05</t>
        </is>
      </c>
      <c r="B6" s="4" t="inlineStr">
        <is>
          <t>Pobranie wartości Eurostat road_eqs_semit (PL, 2024) i danych GITD z datą</t>
        </is>
      </c>
      <c r="C6" s="4" t="inlineStr">
        <is>
          <t>Claude nie ma dostępu do ec.europa.eu.</t>
        </is>
      </c>
      <c r="D6" s="4" t="inlineStr">
        <is>
          <t>Właściciel</t>
        </is>
      </c>
      <c r="E6" s="4" t="inlineStr">
        <is>
          <t>02.10</t>
        </is>
      </c>
      <c r="F6" s="4" t="inlineStr">
        <is>
          <t>K2-05</t>
        </is>
      </c>
      <c r="G6" s="4" t="inlineStr">
        <is>
          <t>OTWARTE</t>
        </is>
      </c>
    </row>
    <row r="7">
      <c r="A7" s="4" t="inlineStr">
        <is>
          <t>T06</t>
        </is>
      </c>
      <c r="B7" s="4" t="inlineStr">
        <is>
          <t>Lista ponad 50 kontrahentów Everest11 (struktura, liczba naczep, kto realnie może zakupić) i treść dokumentów zainteresowania</t>
        </is>
      </c>
      <c r="C7" s="4" t="inlineStr">
        <is>
          <t>K2-01 wymaga opisu struktury bazy klientów.</t>
        </is>
      </c>
      <c r="D7" s="4" t="inlineStr">
        <is>
          <t>Właściciel</t>
        </is>
      </c>
      <c r="E7" s="4" t="inlineStr">
        <is>
          <t>05.10</t>
        </is>
      </c>
      <c r="F7" s="4" t="inlineStr">
        <is>
          <t>K2-01, K2-16</t>
        </is>
      </c>
      <c r="G7" s="4" t="inlineStr">
        <is>
          <t>WYCOFANE (D48): brak bazy 50+ aktywnych kontrahentów</t>
        </is>
      </c>
    </row>
    <row r="8">
      <c r="A8" s="4" t="inlineStr">
        <is>
          <t>T07</t>
        </is>
      </c>
      <c r="B8" s="4" t="inlineStr">
        <is>
          <t>Potwierdzenie z PRz: konfiguracja kamer, sprzęt po M30 (likwidacja), zgoda na zapisy w opisach</t>
        </is>
      </c>
      <c r="C8" s="4" t="inlineStr">
        <is>
          <t>Wymagane dla D01, D06.</t>
        </is>
      </c>
      <c r="D8" s="4" t="inlineStr">
        <is>
          <t>Właściciel</t>
        </is>
      </c>
      <c r="E8" s="4" t="inlineStr">
        <is>
          <t>02.10</t>
        </is>
      </c>
      <c r="F8" s="4" t="inlineStr">
        <is>
          <t>K3-55, K3-56</t>
        </is>
      </c>
      <c r="G8" s="4" t="inlineStr">
        <is>
          <t>OTWARTE</t>
        </is>
      </c>
    </row>
    <row r="9">
      <c r="A9" s="4" t="inlineStr">
        <is>
          <t>T08</t>
        </is>
      </c>
      <c r="B9" s="4" t="inlineStr">
        <is>
          <t>Dane do modelu marży: koszt serii wersji podstawowej i premium (BOM) - dział techniczny + zakupy</t>
        </is>
      </c>
      <c r="C9" s="4" t="inlineStr">
        <is>
          <t>Arkusz 5 ma założenia oznaczone; docelowo potrzebne oferty lub cenniki.</t>
        </is>
      </c>
      <c r="D9" s="4" t="inlineStr">
        <is>
          <t>Właściciel + Claude</t>
        </is>
      </c>
      <c r="E9" s="4" t="inlineStr">
        <is>
          <t>05.10</t>
        </is>
      </c>
      <c r="F9" s="4" t="inlineStr">
        <is>
          <t>K2-13</t>
        </is>
      </c>
      <c r="G9" s="4" t="inlineStr">
        <is>
          <t>PROPOZYCJA GOTOWA (D53); czeka na dział techniczny (T46)</t>
        </is>
      </c>
    </row>
    <row r="10">
      <c r="A10" s="4" t="inlineStr">
        <is>
          <t>T09</t>
        </is>
      </c>
      <c r="B10" s="4" t="inlineStr">
        <is>
          <t>Wklejanie tekstów do LSI na bieżąco (po każdym zatwierdzonym polu)</t>
        </is>
      </c>
      <c r="C10" s="4" t="inlineStr">
        <is>
          <t>Zmniejsza ryzyko pracy w ostatnim dniu.</t>
        </is>
      </c>
      <c r="D10" s="4" t="inlineStr">
        <is>
          <t>Właściciel</t>
        </is>
      </c>
      <c r="E10" s="4" t="inlineStr">
        <is>
          <t>od 02.10</t>
        </is>
      </c>
      <c r="F10" s="4" t="inlineStr">
        <is>
          <t>Wszystkie</t>
        </is>
      </c>
      <c r="G10" s="4" t="inlineStr">
        <is>
          <t>OTWARTE</t>
        </is>
      </c>
    </row>
    <row r="11">
      <c r="A11" s="4" t="inlineStr">
        <is>
          <t>T10</t>
        </is>
      </c>
      <c r="B11" s="4" t="inlineStr">
        <is>
          <t>Oferty cenowe dla wskaźnika I1 (1.4): zapytania do co najmniej 3 dostawców rozwiązań o zbliżonej funkcji (monitoring warunków + obraz lub zajętość przestrzeni ładunkowej, subskrypcja i zestaw na 5 lat), z datami zapytań</t>
        </is>
      </c>
      <c r="C11" s="4" t="inlineStr">
        <is>
          <t>Publicznych cen nie znaleziono. Bez ofert wskaźnik I1 nie ma wiarygodnej wartości bazowej i zostanie zastąpiony innym wskaźnikiem 1.4.</t>
        </is>
      </c>
      <c r="D11" s="4" t="inlineStr">
        <is>
          <t>Właściciel</t>
        </is>
      </c>
      <c r="E11" s="4" t="inlineStr">
        <is>
          <t>05.10</t>
        </is>
      </c>
      <c r="F11" s="4" t="inlineStr">
        <is>
          <t>K1-05, N39, D33</t>
        </is>
      </c>
      <c r="G11" s="4" t="inlineStr">
        <is>
          <t>OTWARTE</t>
        </is>
      </c>
    </row>
    <row r="12">
      <c r="A12" s="4" t="inlineStr">
        <is>
          <t>T11</t>
        </is>
      </c>
      <c r="B12" s="4" t="inlineStr">
        <is>
          <t>Potwierdzenie technicznie wartości zakładanych w D33: baza AUC detektora progowego ≤0,70, baza mAP ≤0,40, błąd przemieszczenia względnego 0,03 m / 0,05 m, zdarzenie inicjujące PoL i PoC</t>
        </is>
      </c>
      <c r="C12" s="4" t="inlineStr">
        <is>
          <t>Wartości zastąpią pomiary z Z4, Z5 i Z8; oznaczone na żółto w pliku Wskazniki_innowacyjnosci_1.2_i_1.4.docx.</t>
        </is>
      </c>
      <c r="D12" s="4" t="inlineStr">
        <is>
          <t>Właściciel (dział techniczny)</t>
        </is>
      </c>
      <c r="E12" s="4" t="inlineStr">
        <is>
          <t>05.10</t>
        </is>
      </c>
      <c r="F12" s="4" t="inlineStr">
        <is>
          <t>K1-02 do K1-04, D33</t>
        </is>
      </c>
      <c r="G12" s="4" t="inlineStr">
        <is>
          <t>OTWARTE</t>
        </is>
      </c>
    </row>
    <row r="13">
      <c r="A13" s="4" t="inlineStr">
        <is>
          <t>T12</t>
        </is>
      </c>
      <c r="B13" s="4" t="inlineStr">
        <is>
          <t>Sprawdzenie źródeł i kart katalogowych konkurencji (Blickfeld, Ouster, SkyBitz, Schmitz, Tive, Arviem, Nexxiot), nazwy produktów, Hosmer-Lemeshow, prEN 17321, EN 13382, akty do rozporządzenia 2020/1056, oryginał badania PITD</t>
        </is>
      </c>
      <c r="C13" s="4" t="inlineStr">
        <is>
          <t>Dane w pliku z wyszukiwarki z 02.10.2026, przed wpisaniem do LSI pobrać karty i dopisać adresy oraz daty dostępu. Nazwy: Nexxiot Globehopper (nie Globe+), Blickfeld Qb2/QbVolume (nie QbScan).</t>
        </is>
      </c>
      <c r="D13" s="4" t="inlineStr">
        <is>
          <t>Właściciel + Claude</t>
        </is>
      </c>
      <c r="E13" s="4" t="inlineStr">
        <is>
          <t>05.10</t>
        </is>
      </c>
      <c r="F13" s="4" t="inlineStr">
        <is>
          <t>K1-01, N37</t>
        </is>
      </c>
      <c r="G13" s="4" t="inlineStr">
        <is>
          <t>OTWARTE</t>
        </is>
      </c>
    </row>
    <row r="14">
      <c r="A14" s="4" t="inlineStr">
        <is>
          <t>T13</t>
        </is>
      </c>
      <c r="B14" s="4" t="inlineStr">
        <is>
          <t>Sprawdzenie w Espacenet i Google Patents dokumentów wskazanych przez wyszukiwarkę (US 11,151,506 B2, US 11,685,400 B2, US 2013/0342653 A1, US 7,468,660 B2, US 9,965,939 B1, EP 3103072 i rodzina UPS, US 10,769,576 B2, US 11,370,348 B2)</t>
        </is>
      </c>
      <c r="C14" s="4" t="inlineStr">
        <is>
          <t>Dane z wyszukiwarki były sprzeczne i niezweryfikowane. Najpierw potwierdzenie, potem ewentualna zmiana wniosku.</t>
        </is>
      </c>
      <c r="D14" s="4" t="inlineStr">
        <is>
          <t>Właściciel (rzecznik patentowy) + Claude</t>
        </is>
      </c>
      <c r="E14" s="4" t="inlineStr">
        <is>
          <t>06.10</t>
        </is>
      </c>
      <c r="F14" s="4" t="inlineStr">
        <is>
          <t>K2-03, N38</t>
        </is>
      </c>
      <c r="G14" s="4" t="inlineStr">
        <is>
          <t>OTWARTE</t>
        </is>
      </c>
    </row>
    <row r="15">
      <c r="A15" s="4" t="inlineStr">
        <is>
          <t>T14</t>
        </is>
      </c>
      <c r="B15" s="4" t="inlineStr">
        <is>
          <t>Metoda SAM 200 000: udział nadwozi zamkniętych i kurtynowych oraz naczep bez telematyki fabrycznej w 544,97 tys. naczep (CEPiK/PZPM albo własna analiza)</t>
        </is>
      </c>
      <c r="C15" s="4" t="inlineStr">
        <is>
          <t>Metoda SAM opracowana z danych publicznych (Aneks A pliku Sekcja_1.3_i_ceny.docx). Do zrobienia: sprawdzenie liczb PZPM i nowszych danych o telematyce naczep.</t>
        </is>
      </c>
      <c r="D15" s="4" t="inlineStr">
        <is>
          <t>Właściciel + Claude</t>
        </is>
      </c>
      <c r="E15" s="4" t="inlineStr">
        <is>
          <t>06.10</t>
        </is>
      </c>
      <c r="F15" s="4" t="inlineStr">
        <is>
          <t>K2-05, N40</t>
        </is>
      </c>
      <c r="G15" s="4" t="inlineStr">
        <is>
          <t>CZĘŚCIOWO</t>
        </is>
      </c>
    </row>
    <row r="16">
      <c r="A16" s="4" t="inlineStr">
        <is>
          <t>T15</t>
        </is>
      </c>
      <c r="B16" s="4" t="inlineStr">
        <is>
          <t>Dane z rozmów z klientami i listów intencyjnych: liczba rozmów, treść LOI (liczba naczep, warunki, termin), struktura bazy 50+ kontrahentów, stan rozmów z ubezpieczycielem, nazwy targów z Z10</t>
        </is>
      </c>
      <c r="C16" s="4" t="inlineStr">
        <is>
          <t>Podane: 15 rozmów z potencjalnymi klientami (marzec-maj 2026), stan rozmów z ubezpieczycielem bez zmian, targi z wniosku, LOI. Pozostaje opcjonalnie struktura bazy 50+ (Aneks C).</t>
        </is>
      </c>
      <c r="D16" s="4" t="inlineStr">
        <is>
          <t>Właściciel</t>
        </is>
      </c>
      <c r="E16" s="4" t="inlineStr">
        <is>
          <t>05.10</t>
        </is>
      </c>
      <c r="F16" s="4" t="inlineStr">
        <is>
          <t>K2-01, K2-10, K2-11</t>
        </is>
      </c>
      <c r="G16" s="4" t="inlineStr">
        <is>
          <t>CZĘŚCIOWO</t>
        </is>
      </c>
    </row>
    <row r="17">
      <c r="A17" s="4" t="inlineStr">
        <is>
          <t>T16</t>
        </is>
      </c>
      <c r="B17" s="4" t="inlineStr">
        <is>
          <t>Koszt serii zestawu (BOM), koszt montażu, koszt obsługi subskrypcji na pojazd</t>
        </is>
      </c>
      <c r="C17" s="4" t="inlineStr">
        <is>
          <t>Wymagane do uzasadnienia cen (K2-06) i decyzji D11. Po decyzji o 4 875 zł potrzebna tylko podstawa tej kwoty (konfiguracja zestawu produkcyjnego, źródła cen) i koszt obsługi subskrypcji (hosting 50 zł już w modelu).</t>
        </is>
      </c>
      <c r="D17" s="4" t="inlineStr">
        <is>
          <t>Właściciel (dział techniczny) + Claude</t>
        </is>
      </c>
      <c r="E17" s="4" t="inlineStr">
        <is>
          <t>05.10</t>
        </is>
      </c>
      <c r="F17" s="4" t="inlineStr">
        <is>
          <t>K2-06, K2-12, K2-13, D11</t>
        </is>
      </c>
      <c r="G17" s="4" t="inlineStr">
        <is>
          <t>PROPOZYCJA GOTOWA (D53); czeka na dział techniczny (T46)</t>
        </is>
      </c>
    </row>
    <row r="18">
      <c r="A18" s="4" t="inlineStr">
        <is>
          <t>T17</t>
        </is>
      </c>
      <c r="B18" s="4" t="inlineStr">
        <is>
          <t>Ponowne podpisanie listów intencyjnych trzech operatorów (łącznie 50 naczep) z elementami z Aneksu B (profil operatora, liczba naczep, warunki cenowe, kryteria zakupu, dane o szkodach, ważność do 31.12.2030, zgoda na wskazanie z nazwy)</t>
        </is>
      </c>
      <c r="C18" s="4" t="inlineStr">
        <is>
          <t>Listy podpisane ponownie z wszystkimi elementami z Aneksu B (potwierdzenie właścicielki 02.10.2026): 20, 20 i 10 naczep, łącznie 50.</t>
        </is>
      </c>
      <c r="D18" s="4" t="inlineStr">
        <is>
          <t>Właściciel</t>
        </is>
      </c>
      <c r="E18" s="4" t="inlineStr">
        <is>
          <t>05.10</t>
        </is>
      </c>
      <c r="F18" s="4" t="inlineStr">
        <is>
          <t>K2-01, K2-06, D35</t>
        </is>
      </c>
      <c r="G18" s="4" t="inlineStr">
        <is>
          <t>ZROBIONE</t>
        </is>
      </c>
    </row>
    <row r="19">
      <c r="A19" s="4" t="inlineStr">
        <is>
          <t>T18</t>
        </is>
      </c>
      <c r="B19" s="4" t="inlineStr">
        <is>
          <t>Wypełnienie tabeli struktury bazy 50+ kontrahentów z CRM i karty rozmowy dla 15 rozmów (Aneks C)</t>
        </is>
      </c>
      <c r="C19" s="4" t="inlineStr">
        <is>
          <t>Daje sumy do tekstu 1.3 i 2.1.</t>
        </is>
      </c>
      <c r="D19" s="4" t="inlineStr">
        <is>
          <t>Właściciel</t>
        </is>
      </c>
      <c r="E19" s="4" t="inlineStr">
        <is>
          <t>05.10</t>
        </is>
      </c>
      <c r="F19" s="4" t="inlineStr">
        <is>
          <t>K2-01, K2-11</t>
        </is>
      </c>
      <c r="G19" s="4" t="inlineStr">
        <is>
          <t>WYCOFANE (D48): brak bazy 50+ aktywnych kontrahentów</t>
        </is>
      </c>
    </row>
    <row r="20">
      <c r="A20" s="4" t="inlineStr">
        <is>
          <t>T19</t>
        </is>
      </c>
      <c r="B20" s="4" t="inlineStr">
        <is>
          <t>Pobranie z Eurostatu liczby naczep w Czechach, Słowacji, na Węgrzech i w Rumunii (road_eqs_semit) albo usunięcie wielkości rynku CEE z 1.3, 2.1 (Segment 3) i Z10 (3.2.2)</t>
        </is>
      </c>
      <c r="C20" s="4" t="inlineStr">
        <is>
          <t>Obecne „400 000-600 000 naczep” nie ma źródła.</t>
        </is>
      </c>
      <c r="D20" s="4" t="inlineStr">
        <is>
          <t>Właściciel + Claude</t>
        </is>
      </c>
      <c r="E20" s="4" t="inlineStr">
        <is>
          <t>06.10</t>
        </is>
      </c>
      <c r="F20" s="4" t="inlineStr">
        <is>
          <t>K2-05, N47</t>
        </is>
      </c>
      <c r="G20" s="4" t="inlineStr">
        <is>
          <t>OTWARTE</t>
        </is>
      </c>
    </row>
    <row r="21">
      <c r="A21" s="4" t="inlineStr">
        <is>
          <t>T20</t>
        </is>
      </c>
      <c r="B21" s="4" t="inlineStr">
        <is>
          <t>Ocena rzecznika patentowego (jeśli zlecona): zastrzeżenia US 11,151,506 B2 i ewentualnie rodziny UPS EP 3103072; sprawdzenie rodzin w Espacenet</t>
        </is>
      </c>
      <c r="C21" s="4" t="inlineStr">
        <is>
          <t>Bez zwiększenia budżetu projektu (środki własne Everest11).</t>
        </is>
      </c>
      <c r="D21" s="4" t="inlineStr">
        <is>
          <t>Właściciel</t>
        </is>
      </c>
      <c r="E21" s="4" t="inlineStr">
        <is>
          <t>05.10</t>
        </is>
      </c>
      <c r="F21" s="4" t="inlineStr">
        <is>
          <t>K2-03, N51</t>
        </is>
      </c>
      <c r="G21" s="4" t="inlineStr">
        <is>
          <t>ANULOWANE (decyzja: bez rzecznika)</t>
        </is>
      </c>
    </row>
    <row r="22">
      <c r="A22" s="4" t="inlineStr">
        <is>
          <t>T21</t>
        </is>
      </c>
      <c r="B22" s="4" t="inlineStr">
        <is>
          <t>Trzy proste decyzje o produkcji zestawów: (1) kto kompletuje: własny zespół czy firma zewnętrzna, (2) kto robi badania CE: laboratorium wybrane w zapytaniu ofertowym, (3) skąd środki na badania i pierwszą serię: kapitał własny Lidera; plus akceptacja założeń zasobów (3 h montażu, 0,3 h wsparcia, parametry chmury)</t>
        </is>
      </c>
      <c r="C22" s="4" t="inlineStr">
        <is>
          <t>Zatwierdzone 02.10.2026: kompletacja pierwszej serii własnym zespołem, od 2032 firma zewnętrzna z zapytania ofertowego; badania CE w laboratorium z zapytania; finansowanie z kapitału własnego Lidera; założenia 3 h montażu, 0,3 h wsparcia i parametry chmury przyjęte. Teksty 2.5 bez nazw i kwot.</t>
        </is>
      </c>
      <c r="D22" s="4" t="inlineStr">
        <is>
          <t>Właściciel (Kozioł, Ruciński)</t>
        </is>
      </c>
      <c r="E22" s="4" t="inlineStr">
        <is>
          <t>05.10</t>
        </is>
      </c>
      <c r="F22" s="4" t="inlineStr">
        <is>
          <t>K2-04, K2-07</t>
        </is>
      </c>
      <c r="G22" s="4" t="inlineStr">
        <is>
          <t>ZROBIONE</t>
        </is>
      </c>
    </row>
    <row r="23">
      <c r="A23" s="4" t="inlineStr">
        <is>
          <t>T22</t>
        </is>
      </c>
      <c r="B23" s="4" t="inlineStr">
        <is>
          <t>Brzmienie zapisu umowy konsorcjum o terminie przeniesienia praw PRz (do decyzji D36)</t>
        </is>
      </c>
      <c r="C23" s="4" t="inlineStr">
        <is>
          <t>Potrzebne do wyboru wariantu A lub B.</t>
        </is>
      </c>
      <c r="D23" s="4" t="inlineStr">
        <is>
          <t>Właściciel</t>
        </is>
      </c>
      <c r="E23" s="4" t="inlineStr">
        <is>
          <t>03.10</t>
        </is>
      </c>
      <c r="F23" s="4" t="inlineStr">
        <is>
          <t>K2-02, D36</t>
        </is>
      </c>
      <c r="G23" s="4" t="inlineStr">
        <is>
          <t>ZROBIONE (§ 11 przekazany 02.10.2026)</t>
        </is>
      </c>
    </row>
    <row r="24">
      <c r="A24" s="4" t="inlineStr">
        <is>
          <t>T23</t>
        </is>
      </c>
      <c r="B24" s="4" t="inlineStr">
        <is>
          <t>Potwierdzenie założeń sekcji 6.1 (D37): formy umów, etaty poza projektem (PRz, Natanek Logistics), brak funkcji zarządczych w PRz, Natanek jako partner a nie podwykonawca, umowa o poufności</t>
        </is>
      </c>
      <c r="C24" s="4" t="inlineStr">
        <is>
          <t>Teksty 6.1 są napisane przy tych założeniach; jeśli któreś jest inne, zmieni się zdanie w polach „Sposób zarządzania”, „Status współpracy” i dopiskach do doświadczenia.</t>
        </is>
      </c>
      <c r="D24" s="4" t="inlineStr">
        <is>
          <t>Właścicielka</t>
        </is>
      </c>
      <c r="E24" s="4" t="inlineStr">
        <is>
          <t>03.10</t>
        </is>
      </c>
      <c r="F24" s="4" t="inlineStr">
        <is>
          <t>K5-01, K5-07, K5-08, K5-09</t>
        </is>
      </c>
      <c r="G24" s="4" t="inlineStr">
        <is>
          <t>OTWARTE</t>
        </is>
      </c>
    </row>
    <row r="25">
      <c r="A25" s="4" t="inlineStr">
        <is>
          <t>T24</t>
        </is>
      </c>
      <c r="B25" s="4" t="inlineStr">
        <is>
          <t>Dane do sekcji 6.2-6.4 (K5-12 do K5-19): biuro (adres, tytuł prawny, powierzchnia, stanowiska), flota Natanek (liczba i typy pojazdów, okres, podstawa, odpłatność, prawo do danych), sprzęt IT i WNiP Everest11, infrastruktura PRz (EMC, fotogrametria, GPU)</t>
        </is>
      </c>
      <c r="C25" s="4" t="inlineStr">
        <is>
          <t>Dane podane 02.10.2026: biuro (Książkowa 51F, najem na czas nieokreślony, ok. 60 m2), flota (5 zestawów, umowa od 03.2025, prawo do danych), PRz posiada EMC, fotogrametrię i GPU. Pozostaje T25 i T26.</t>
        </is>
      </c>
      <c r="D25" s="4" t="inlineStr">
        <is>
          <t>Właścicielka (Everest11, PRz)</t>
        </is>
      </c>
      <c r="E25" s="4" t="inlineStr">
        <is>
          <t>03.10</t>
        </is>
      </c>
      <c r="F25" s="4" t="inlineStr">
        <is>
          <t>K5-12 do K5-19</t>
        </is>
      </c>
      <c r="G25" s="4" t="inlineStr">
        <is>
          <t>ZROBIONE</t>
        </is>
      </c>
    </row>
    <row r="26">
      <c r="A26" s="4" t="inlineStr">
        <is>
          <t>T25</t>
        </is>
      </c>
      <c r="B26" s="4" t="inlineStr">
        <is>
          <t>PRz: karta aparatury EMC (model i zakresy), system fotogrametryczny (typ i niepewność), zasoby GPU (liczba, typ, pamięć)</t>
        </is>
      </c>
      <c r="C26" s="4" t="inlineStr">
        <is>
          <t>Trzy żółte pola w sekcji 6.2 (PRz).</t>
        </is>
      </c>
      <c r="D26" s="4" t="inlineStr">
        <is>
          <t>Właścicielka (PRz)</t>
        </is>
      </c>
      <c r="E26" s="4" t="inlineStr">
        <is>
          <t>04.10</t>
        </is>
      </c>
      <c r="F26" s="4" t="inlineStr">
        <is>
          <t>K5-16</t>
        </is>
      </c>
      <c r="G26" s="4" t="inlineStr">
        <is>
          <t>OTWARTE</t>
        </is>
      </c>
    </row>
    <row r="27">
      <c r="A27" s="4" t="inlineStr">
        <is>
          <t>T26</t>
        </is>
      </c>
      <c r="B27" s="4" t="inlineStr">
        <is>
          <t>Everest11: liczba stanowisk w biurze, liczba i dostawca stanowisk komputerowych, narzędzia i repozytoria, prawa do TMS i API, wykaz licencji oprogramowania</t>
        </is>
      </c>
      <c r="C27" s="4" t="inlineStr">
        <is>
          <t>Pola żółte w 6.2 i 6.3 (Everest11).</t>
        </is>
      </c>
      <c r="D27" s="4" t="inlineStr">
        <is>
          <t>Właścicielka (Everest11)</t>
        </is>
      </c>
      <c r="E27" s="4" t="inlineStr">
        <is>
          <t>04.10</t>
        </is>
      </c>
      <c r="F27" s="4" t="inlineStr">
        <is>
          <t>K5-14, K5-15, K5-17</t>
        </is>
      </c>
      <c r="G27" s="4" t="inlineStr">
        <is>
          <t>OTWARTE</t>
        </is>
      </c>
    </row>
    <row r="28">
      <c r="A28" s="4" t="inlineStr">
        <is>
          <t>T27</t>
        </is>
      </c>
      <c r="B28" s="4" t="inlineStr">
        <is>
          <t>Zarząd Everest11: przyjąć 4 dokumenty równościowe do 31.10.2026</t>
        </is>
      </c>
      <c r="C28" s="4" t="inlineStr">
        <is>
          <t>Polityka równego traktowania, procedura rekrutacji i wynagradzania, polityka godzenia pracy z życiem prywatnym, polityka danych osobowych. Tekst 7.1 mówi o przyjęciu przed startem.</t>
        </is>
      </c>
      <c r="D28" s="4" t="inlineStr">
        <is>
          <t>Właścicielka (Everest11)</t>
        </is>
      </c>
      <c r="E28" s="4" t="inlineStr">
        <is>
          <t>31.10</t>
        </is>
      </c>
      <c r="F28" s="4" t="inlineStr">
        <is>
          <t>K10-01</t>
        </is>
      </c>
      <c r="G28" s="4" t="inlineStr">
        <is>
          <t>OTWARTE</t>
        </is>
      </c>
    </row>
    <row r="29">
      <c r="A29" s="4" t="inlineStr">
        <is>
          <t>T28</t>
        </is>
      </c>
      <c r="B29" s="4" t="inlineStr">
        <is>
          <t>PRz: potwierdzić Plan Równości Płci po 2025, regulamin pracy, kodeks etyki, regulacje antymobbingowe; potwierdzić rolę PRz w 6R</t>
        </is>
      </c>
      <c r="C29" s="4" t="inlineStr">
        <is>
          <t>Źródło: zarządzenie Rektora nr 91/2022 (plan na lata 2022-2025). Rola PRz: dobór lekkich architektur Z3 i Z8 i przeliczenie wolumenu danych.</t>
        </is>
      </c>
      <c r="D29" s="4" t="inlineStr">
        <is>
          <t>Właścicielka (PRz)</t>
        </is>
      </c>
      <c r="E29" s="4" t="inlineStr">
        <is>
          <t>04.10</t>
        </is>
      </c>
      <c r="F29" s="4" t="inlineStr">
        <is>
          <t>K10-01, K13-05</t>
        </is>
      </c>
      <c r="G29" s="4" t="inlineStr">
        <is>
          <t>OTWARTE</t>
        </is>
      </c>
    </row>
    <row r="30">
      <c r="A30" s="4" t="inlineStr">
        <is>
          <t>T29</t>
        </is>
      </c>
      <c r="B30" s="4" t="inlineStr">
        <is>
          <t>Dział techniczny: potwierdzić rozmywanie wizerunków w zbiorze, cel 5% danych do chmury, listę kontrolną dostępności w Z9, pomiar papieru</t>
        </is>
      </c>
      <c r="C30" s="4" t="inlineStr">
        <is>
          <t>Teksty 7.2 i 7.4 zawierają te zobowiązania. Zob. część 8 pliku Sekcja_7_zasady_horyzontalne_6R.docx.</t>
        </is>
      </c>
      <c r="D30" s="4" t="inlineStr">
        <is>
          <t>Dział techniczny</t>
        </is>
      </c>
      <c r="E30" s="4" t="inlineStr">
        <is>
          <t>05.10</t>
        </is>
      </c>
      <c r="F30" s="4" t="inlineStr">
        <is>
          <t>K11-01, K13-01..04</t>
        </is>
      </c>
      <c r="G30" s="4" t="inlineStr">
        <is>
          <t>OTWARTE</t>
        </is>
      </c>
    </row>
    <row r="31">
      <c r="A31" s="4" t="inlineStr">
        <is>
          <t>T30</t>
        </is>
      </c>
      <c r="B31" s="4" t="inlineStr">
        <is>
          <t>(zamknięte) TRANSLOG: podział pakietu wg cennika historycznego od właścicielki</t>
        </is>
      </c>
      <c r="C31" s="4" t="inlineStr">
        <is>
          <t>Podział 24 000 zł jest oszacowaniem (16 000 + 8 000); tekst powołuje się na korespondencję.</t>
        </is>
      </c>
      <c r="D31" s="4" t="inlineStr">
        <is>
          <t>Właścicielka</t>
        </is>
      </c>
      <c r="E31" s="4" t="inlineStr">
        <is>
          <t>05.10</t>
        </is>
      </c>
      <c r="F31" s="4" t="inlineStr">
        <is>
          <t>K3-64</t>
        </is>
      </c>
      <c r="G31" s="4" t="inlineStr">
        <is>
          <t>ZROBIONE</t>
        </is>
      </c>
    </row>
    <row r="32">
      <c r="A32" s="4" t="inlineStr">
        <is>
          <t>T31</t>
        </is>
      </c>
      <c r="B32" s="4" t="inlineStr">
        <is>
          <t>Kurs NBP z 09.03.2026: 4,2836 PLN/EUR (podany przez właścicielkę)</t>
        </is>
      </c>
      <c r="C32" s="4" t="inlineStr">
        <is>
          <t>Pozycja 11-3 (opłaty EPO).</t>
        </is>
      </c>
      <c r="D32" s="4" t="inlineStr">
        <is>
          <t>Właścicielka</t>
        </is>
      </c>
      <c r="E32" s="4" t="inlineStr">
        <is>
          <t>04.10</t>
        </is>
      </c>
      <c r="F32" s="4" t="inlineStr">
        <is>
          <t>K3-60</t>
        </is>
      </c>
      <c r="G32" s="4" t="inlineStr">
        <is>
          <t>ZROBIONE</t>
        </is>
      </c>
    </row>
    <row r="33">
      <c r="A33" s="4" t="inlineStr">
        <is>
          <t>T32</t>
        </is>
      </c>
      <c r="B33" s="4" t="inlineStr">
        <is>
          <t>Umowa o wykonywaniu wspólnych praw z PRz przed Z11; wniosek o zmianę PKD do 31.03.2027</t>
        </is>
      </c>
      <c r="C33" s="4" t="inlineStr">
        <is>
          <t>Wyjaśnienie celu w części 9 pliku Sekcja_3.2. De minimis: oświadczenie składane przed podpisaniem umowy, nie jest potrzebne we wniosku.</t>
        </is>
      </c>
      <c r="D33" s="4" t="inlineStr">
        <is>
          <t>Właścicielka, PRz, księgowość</t>
        </is>
      </c>
      <c r="E33" s="4" t="inlineStr">
        <is>
          <t>06.10</t>
        </is>
      </c>
      <c r="F33" s="4" t="inlineStr">
        <is>
          <t>K3-23, K3-24, K2-02</t>
        </is>
      </c>
      <c r="G33" s="4" t="inlineStr">
        <is>
          <t>OTWARTE</t>
        </is>
      </c>
    </row>
    <row r="34">
      <c r="A34" s="4" t="inlineStr">
        <is>
          <t>T33</t>
        </is>
      </c>
      <c r="B34" s="4" t="inlineStr">
        <is>
          <t>Zakupy Everest11 i PRz: potwierdzić ceny w 3 źródłach każdej pozycji amortyzacji (tabela w części 6 pliku Sekcja_3.1)</t>
        </is>
      </c>
      <c r="C34" s="4" t="inlineStr">
        <is>
          <t>W metodach wpisano po 3 dostawców; ceny zweryfikowane dla części składników, dla pozostałych (IMU, UPS supercap, LED, minikomputery PRz) do potwierdzenia.</t>
        </is>
      </c>
      <c r="D34" s="4" t="inlineStr">
        <is>
          <t>Właścicielka (Everest11)</t>
        </is>
      </c>
      <c r="E34" s="4" t="inlineStr">
        <is>
          <t>05.10</t>
        </is>
      </c>
      <c r="F34" s="4" t="inlineStr">
        <is>
          <t>K3-49</t>
        </is>
      </c>
      <c r="G34" s="4" t="inlineStr">
        <is>
          <t>OTWARTE</t>
        </is>
      </c>
    </row>
    <row r="35">
      <c r="A35" s="4" t="inlineStr">
        <is>
          <t>T34</t>
        </is>
      </c>
      <c r="B35" s="4" t="inlineStr">
        <is>
          <t>Księgowa: polityka rachunkowości potwierdzona (jednorazowy odpis kompletów do 10 000 zł); symbole KŚT w ewidencji, nie w polach LSI</t>
        </is>
      </c>
      <c r="C35" s="4" t="inlineStr">
        <is>
          <t>Zob. część 6 pliku Sekcja_3.1_sprzet_i_amortyzacja.docx. Łączy się z T03.</t>
        </is>
      </c>
      <c r="D35" s="4" t="inlineStr">
        <is>
          <t>Właścicielka (księgowa), PRz</t>
        </is>
      </c>
      <c r="E35" s="4" t="inlineStr">
        <is>
          <t>05.10</t>
        </is>
      </c>
      <c r="F35" s="4" t="inlineStr">
        <is>
          <t>K3-50, K3-52, K3-56</t>
        </is>
      </c>
      <c r="G35" s="4" t="inlineStr">
        <is>
          <t>ZROBIONE</t>
        </is>
      </c>
    </row>
    <row r="36">
      <c r="A36" s="4" t="inlineStr">
        <is>
          <t>T35</t>
        </is>
      </c>
      <c r="B36" s="4" t="inlineStr">
        <is>
          <t>Dział techniczny: D06 (konfiguracja kamer), klasa dysku NVMe, pasmo i cena radaru</t>
        </is>
      </c>
      <c r="C36" s="4" t="inlineStr">
        <is>
          <t>D06 kamery; klasa dysku NVMe; pasmo i cena radaru; płyta nośna do Jetsona (ok. 1 000 zł na komplet); klasa switcha PoE+. Czekamy na odpowiedź.</t>
        </is>
      </c>
      <c r="D36" s="4" t="inlineStr">
        <is>
          <t>Dział techniczny</t>
        </is>
      </c>
      <c r="E36" s="4" t="inlineStr">
        <is>
          <t>05.10</t>
        </is>
      </c>
      <c r="F36" s="4" t="inlineStr">
        <is>
          <t>K3-55, K3-49, N54</t>
        </is>
      </c>
      <c r="G36" s="4" t="inlineStr">
        <is>
          <t>WYSŁANE (właścicielka potwierdziła 02.10); czekamy na odpowiedzi</t>
        </is>
      </c>
    </row>
    <row r="37">
      <c r="A37" s="4" t="inlineStr">
        <is>
          <t>T36</t>
        </is>
      </c>
      <c r="B37" s="4" t="inlineStr">
        <is>
          <t>Dwie dodatkowe oferty rzecznika patentowego (poza JWP) na orzeczenie, dokumentację i zgłoszenie EPO</t>
        </is>
      </c>
      <c r="C37" s="4" t="inlineStr">
        <is>
          <t>Wymóg: min. 3 dostawców w metodzie szacowania (Instrukcja i uwaga właścicielki). Po ofertach dopiszę metodę w pozycjach 11-1 i 11-2.</t>
        </is>
      </c>
      <c r="D37" s="4" t="inlineStr">
        <is>
          <t>Właścicielka (Everest11)</t>
        </is>
      </c>
      <c r="E37" s="4" t="inlineStr">
        <is>
          <t>05.10</t>
        </is>
      </c>
      <c r="F37" s="4" t="inlineStr">
        <is>
          <t>K3-61, K3-66</t>
        </is>
      </c>
      <c r="G37" s="4" t="inlineStr">
        <is>
          <t>OTWARTE</t>
        </is>
      </c>
    </row>
    <row r="38">
      <c r="A38" s="4" t="inlineStr">
        <is>
          <t>T37</t>
        </is>
      </c>
      <c r="B38" s="4" t="inlineStr">
        <is>
          <t>Opcjonalnie: e-mail do 3 oferentów o rozbicie ofert na godziny i stawki; sprawdzić 3 źródła stawek (kb.pl, Interia, cenauslug.pl)</t>
        </is>
      </c>
      <c r="C38" s="4" t="inlineStr">
        <is>
          <t>Zob. część 9 dokumentu Sekcja_3.1_podwykonawstwo_i_stawki_PRz.docx. Od odpowiedzi zależy zdanie w opisie Z2 i nazwa pozycji Z2.</t>
        </is>
      </c>
      <c r="D38" s="4" t="inlineStr">
        <is>
          <t>Właścicielka (Everest11)</t>
        </is>
      </c>
      <c r="E38" s="4" t="inlineStr">
        <is>
          <t>05.10</t>
        </is>
      </c>
      <c r="F38" s="4" t="inlineStr">
        <is>
          <t>K3-43, K3-44, K3-45</t>
        </is>
      </c>
      <c r="G38" s="4" t="inlineStr">
        <is>
          <t>OTWARTE</t>
        </is>
      </c>
    </row>
    <row r="39">
      <c r="A39" s="4" t="inlineStr">
        <is>
          <t>T38</t>
        </is>
      </c>
      <c r="B39" s="4" t="inlineStr">
        <is>
          <t>PRz: godziny Z8 objęte oddelegowaniami; wyciąg z tabeli stawek Regulaminu (opcjonalnie)</t>
        </is>
      </c>
      <c r="C39" s="4" t="inlineStr">
        <is>
          <t>Zob. część 6.2 dokumentu Sekcja_3.1_podwykonawstwo_i_stawki_PRz.docx. Godziny Z8: 301, 301, 111, 102, 224, 185, 189, 185.</t>
        </is>
      </c>
      <c r="D39" s="4" t="inlineStr">
        <is>
          <t>PRz (przez Właścicielkę)</t>
        </is>
      </c>
      <c r="E39" s="4" t="inlineStr">
        <is>
          <t>05.10</t>
        </is>
      </c>
      <c r="F39" s="4" t="inlineStr">
        <is>
          <t>K3-41, K3-42</t>
        </is>
      </c>
      <c r="G39" s="4" t="inlineStr">
        <is>
          <t>OTWARTE</t>
        </is>
      </c>
    </row>
    <row r="40">
      <c r="A40" s="4" t="inlineStr">
        <is>
          <t>T39</t>
        </is>
      </c>
      <c r="B40" s="4" t="inlineStr">
        <is>
          <t>Księgowa Everest11: struktura wiekowa należności i zobowiązań na 30.06.2026 (do 30, 31-60, 61-90, &gt;90 dni), zaliczki i przedpłaty od odbiorców</t>
        </is>
      </c>
      <c r="C40" s="4" t="inlineStr">
        <is>
          <t>Bilans pokazuje zaliczki 0 i zapasy 0. Bez tych danych K6-08 nie jest w pełni zamknięte; nie wolno ich zgadywać.</t>
        </is>
      </c>
      <c r="D40" s="4" t="inlineStr">
        <is>
          <t>Właścicielka (Everest11)</t>
        </is>
      </c>
      <c r="E40" s="4" t="inlineStr">
        <is>
          <t>05.10</t>
        </is>
      </c>
      <c r="F40" s="4" t="inlineStr">
        <is>
          <t>K6-08</t>
        </is>
      </c>
      <c r="G40" s="4" t="inlineStr">
        <is>
          <t>ZROBIONE: całość sald do 30 dni, brak zaliczek i zapasów (05.10); do doprecyzowania T44</t>
        </is>
      </c>
    </row>
    <row r="41">
      <c r="A41" s="4" t="inlineStr">
        <is>
          <t>T40</t>
        </is>
      </c>
      <c r="B41" s="4" t="inlineStr">
        <is>
          <t>Księgowa Everest11: wyjaśnić spadek zobowiązań handlowych (7,5 mln zł 31.12.2025 -&gt; 1,4 mln zł 30.06.2026) i należności (4,9 -&gt; 2,0 mln zł)</t>
        </is>
      </c>
      <c r="C41" s="4" t="inlineStr">
        <is>
          <t>Podstawa wyboru wariantu A lub B w D46 i odpowiedzi na K6-04.</t>
        </is>
      </c>
      <c r="D41" s="4" t="inlineStr">
        <is>
          <t>Właścicielka (Everest11)</t>
        </is>
      </c>
      <c r="E41" s="4" t="inlineStr">
        <is>
          <t>05.10</t>
        </is>
      </c>
      <c r="F41" s="4" t="inlineStr">
        <is>
          <t>K6-04, D46</t>
        </is>
      </c>
      <c r="G41" s="4" t="inlineStr">
        <is>
          <t>ZROBIONE: regularne płatności, wcześniej przeterminowania, poziom 2026 utrzymany (05.10)</t>
        </is>
      </c>
    </row>
    <row r="42">
      <c r="A42" s="4" t="inlineStr">
        <is>
          <t>T41</t>
        </is>
      </c>
      <c r="B42" s="4" t="inlineStr">
        <is>
          <t>LSI: załączyć podpisane sprawozdania za II kwartał 2026 (bilans, RZiS na 30.06.2026), usunąć załączniki za I kwartał; wpisać zmiany w modelu wg dokumentu K6</t>
        </is>
      </c>
      <c r="C42" s="4" t="inlineStr">
        <is>
          <t>Zob. Sekcja_K6_sprawozdanie_2Q2026_model.docx, części 2 i 6. Pliki PDF od Everest11 podpisane 02.10.2026. Gotowy plik modelu: Model_finansowy_CargoDT_Everest_II_kwartal_2026.xlsm (zmiany z dokumentu K6 już wprowadzone, wariant A rotacji zobowiązań). | 05.10: właścicielka potwierdziła, że ma podpisane sprawozdania II kwartału, PIT Inwestora i zaświadczenie bankowe; pozostaje załączenie w LSI.</t>
        </is>
      </c>
      <c r="D42" s="4" t="inlineStr">
        <is>
          <t>Właścicielka</t>
        </is>
      </c>
      <c r="E42" s="4" t="inlineStr">
        <is>
          <t>06.10</t>
        </is>
      </c>
      <c r="F42" s="4" t="inlineStr">
        <is>
          <t>K6-07</t>
        </is>
      </c>
      <c r="G42" s="4" t="inlineStr">
        <is>
          <t>DOKUMENTY GOTOWE, do załączenia w LSI</t>
        </is>
      </c>
    </row>
    <row r="43">
      <c r="A43" s="4" t="inlineStr">
        <is>
          <t>T42</t>
        </is>
      </c>
      <c r="B43" s="4" t="inlineStr">
        <is>
          <t>Dopisek do maila do księgowej: stawka CIT (19% czy 9%), udział usług obcych od podmiotów powiązanych z Inwestorem (Z. Natanek) w 2025 i I poł. 2026 (K6-16)</t>
        </is>
      </c>
      <c r="C43" s="4" t="inlineStr">
        <is>
          <t>Zob. dokument K6, część 7.1.</t>
        </is>
      </c>
      <c r="D43" s="4" t="inlineStr">
        <is>
          <t>Właścicielka (księgowa)</t>
        </is>
      </c>
      <c r="E43" s="4" t="inlineStr">
        <is>
          <t>05.10</t>
        </is>
      </c>
      <c r="F43" s="4" t="inlineStr">
        <is>
          <t>K6-02, K6-16</t>
        </is>
      </c>
      <c r="G43" s="4" t="inlineStr">
        <is>
          <t>ZROBIONE: CIT 19%; ok. 95% zakupów usług od Natanek Logistics, ok. 5% inni dostawcy (05.10); kwoty do doprecyzowania T44</t>
        </is>
      </c>
    </row>
    <row r="44">
      <c r="A44" s="4" t="inlineStr">
        <is>
          <t>T43</t>
        </is>
      </c>
      <c r="B44" s="4" t="inlineStr">
        <is>
          <t>Dział techniczny i właścicielka: zatwierdzić tabele 8.1 i 8.2 z dokumentu K6 (koszt zestawu 4 875 zł i zespół komercjalizacji)</t>
        </is>
      </c>
      <c r="C44" s="4" t="inlineStr">
        <is>
          <t>Zob. dokument K6, część 7.2.</t>
        </is>
      </c>
      <c r="D44" s="4" t="inlineStr">
        <is>
          <t>Właścicielka</t>
        </is>
      </c>
      <c r="E44" s="4" t="inlineStr">
        <is>
          <t>05.10</t>
        </is>
      </c>
      <c r="F44" s="4" t="inlineStr">
        <is>
          <t>K6-12, K2-12, K2-13, N58, K6-10, K6-11</t>
        </is>
      </c>
      <c r="G44" s="4" t="inlineStr">
        <is>
          <t>OTWARTE</t>
        </is>
      </c>
    </row>
    <row r="45">
      <c r="A45" s="4" t="inlineStr">
        <is>
          <t>T44</t>
        </is>
      </c>
      <c r="B45" s="4" t="inlineStr">
        <is>
          <t>Opcjonalnie: kwoty (nie procenty) zakupów od Natanek Logistics w 2025 i I poł. 2026</t>
        </is>
      </c>
      <c r="C45" s="4" t="inlineStr">
        <is>
          <t>Zob. dokument K6, część 6. Przybliżenia w komentarzu: ok. 13,4 mln zł i ok. 8,4 mln zł.</t>
        </is>
      </c>
      <c r="D45" s="4" t="inlineStr">
        <is>
          <t>Właścicielka (księgowa)</t>
        </is>
      </c>
      <c r="E45" s="4" t="inlineStr">
        <is>
          <t>06.10</t>
        </is>
      </c>
      <c r="F45" s="4" t="inlineStr">
        <is>
          <t>K6-08, K6-16</t>
        </is>
      </c>
      <c r="G45" s="4" t="inlineStr">
        <is>
          <t>OTWARTE</t>
        </is>
      </c>
    </row>
    <row r="46">
      <c r="A46" s="4" t="inlineStr">
        <is>
          <t>T45</t>
        </is>
      </c>
      <c r="B46" s="4" t="inlineStr">
        <is>
          <t>Odpowiedzi właścicielki 05.10: kancelaria adwokacka potwierdzona (słowo „niezależnych” usunięte), brak pokrewieństwa z M. Chrzanowskim, dwaj pozostali operatorzy niepowiązani, umowa z Amazon objęta tajemnicą</t>
        </is>
      </c>
      <c r="C46" s="4" t="inlineStr">
        <is>
          <t>Zob. dokument K6, część 5.2.</t>
        </is>
      </c>
      <c r="D46" s="4" t="inlineStr">
        <is>
          <t>Właścicielka</t>
        </is>
      </c>
      <c r="E46" s="4" t="inlineStr">
        <is>
          <t>06.10</t>
        </is>
      </c>
      <c r="F46" s="4" t="inlineStr">
        <is>
          <t>K6-05, K6-16, K3-32, K2-01</t>
        </is>
      </c>
      <c r="G46" s="4" t="inlineStr">
        <is>
          <t>OTWARTE</t>
        </is>
      </c>
    </row>
    <row r="47">
      <c r="A47" s="4" t="inlineStr">
        <is>
          <t>T46</t>
        </is>
      </c>
      <c r="B47" s="4" t="inlineStr">
        <is>
          <t>Dział techniczny: ocena założeń cenowych komponentów zestawu retrofit (tabela 8.1 w dokumencie K6) i plan zapytań ofertowych w Z7</t>
        </is>
      </c>
      <c r="C47" s="4" t="inlineStr">
        <is>
          <t>Bez tego komentarz w modelu mówi tylko, że ceny to założenia do potwierdzenia.</t>
        </is>
      </c>
      <c r="D47" s="4" t="inlineStr">
        <is>
          <t>Właścicielka (dział techniczny)</t>
        </is>
      </c>
      <c r="E47" s="4" t="inlineStr">
        <is>
          <t>06.10</t>
        </is>
      </c>
      <c r="F47" s="4" t="inlineStr">
        <is>
          <t>K2-13, D53</t>
        </is>
      </c>
      <c r="G47" s="4" t="inlineStr">
        <is>
          <t>OTWARTE</t>
        </is>
      </c>
    </row>
    <row r="48">
      <c r="A48" s="4" t="inlineStr">
        <is>
          <t>T47</t>
        </is>
      </c>
      <c r="B48" s="4" t="inlineStr">
        <is>
          <t>PRz: sprawdzić własny arkusz Zaliczka-refundacja (90,0% zaliczek i 10,0% refundacji, na granicy limitu); opcjonalnie przesunąć ok. 1% do refundacji końcowej</t>
        </is>
      </c>
      <c r="C48" s="4" t="inlineStr">
        <is>
          <t>Plik modelu PRz nie jest edytowany przez Claude.</t>
        </is>
      </c>
      <c r="D48" s="4" t="inlineStr">
        <is>
          <t>PRz (przez właścicielkę)</t>
        </is>
      </c>
      <c r="E48" s="4" t="inlineStr">
        <is>
          <t>06.10</t>
        </is>
      </c>
      <c r="F48" s="4" t="inlineStr">
        <is>
          <t>K6-14</t>
        </is>
      </c>
      <c r="G48" s="4" t="inlineStr">
        <is>
          <t>OPCJONALNE</t>
        </is>
      </c>
    </row>
    <row r="49">
      <c r="A49" s="4" t="inlineStr">
        <is>
          <t>T48</t>
        </is>
      </c>
      <c r="B49" s="4" t="inlineStr">
        <is>
          <t>Wprowadzić zmiany z dokumentu Zmiany_do_wprowadzenia_w_plikach_zamknietych.docx w odpowiednich polach LSI (pkt 1.3, ryzyka R11 i R12, opis Z9, opis dokapitalizowania)</t>
        </is>
      </c>
      <c r="C49" s="4" t="inlineStr">
        <is>
          <t>Pliki źródłowe są zamknięte, zmiany tylko w LSI.</t>
        </is>
      </c>
      <c r="D49" s="4" t="inlineStr">
        <is>
          <t>Właścicielka</t>
        </is>
      </c>
      <c r="E49" s="4" t="inlineStr">
        <is>
          <t>06.10</t>
        </is>
      </c>
      <c r="F49" s="4" t="inlineStr">
        <is>
          <t>D47, D48, N83</t>
        </is>
      </c>
      <c r="G49" s="4" t="inlineStr">
        <is>
          <t>OTWARTE</t>
        </is>
      </c>
    </row>
    <row r="50">
      <c r="A50" s="4" t="inlineStr">
        <is>
          <t>T49</t>
        </is>
      </c>
      <c r="B50" s="4" t="inlineStr">
        <is>
          <t>Zgodność godzin anotatorów (3 x 10 mc x 168 h = 5 040 h) z szacunkiem nakładu w opisie Z2</t>
        </is>
      </c>
      <c r="C50" s="4" t="inlineStr">
        <is>
          <t>Opis Z2 podaje 2 750-3 000 h na anotację 15 000 klatek (11-12 min na klatkę), a reszta ma pokryć próbę zgodności, reanotację, pilotaż i kontrolę. Dział techniczny ma potwierdzić podział ok. 5 040 h, żeby wniosek nie pozostawił niewyjaśnionej różnicy (uwaga K3-39 i K5-03).</t>
        </is>
      </c>
      <c r="D50" s="4" t="inlineStr">
        <is>
          <t>Dział techniczny + Claude</t>
        </is>
      </c>
      <c r="E50" s="4" t="inlineStr">
        <is>
          <t>06.10</t>
        </is>
      </c>
      <c r="F50" s="4" t="inlineStr">
        <is>
          <t>K3-39, K5-03, N12</t>
        </is>
      </c>
      <c r="G50" s="4" t="inlineStr">
        <is>
          <t>OTWARTE</t>
        </is>
      </c>
    </row>
    <row r="51">
      <c r="A51" s="4" t="inlineStr">
        <is>
          <t>T50</t>
        </is>
      </c>
      <c r="B51" s="4" t="inlineStr">
        <is>
          <t>Włoch: wniosek opisuje go jako kierownika Zakładu PRz (K3-33); deklaracje dla Batsch, Nowak, Kusy, Król i potwierdzenie dla AI Lead</t>
        </is>
      </c>
      <c r="C51" s="4" t="inlineStr">
        <is>
          <t>Przewodnik 3.3.1 i 3.3.9: osoba zarządzająca, nadzorująca lub koordynująca u konsorcjanta jest rozliczana wyłącznie w kosztach pośrednich. Biografia Włocha w LSI mówi o funkcji kierownika Zakładu. Trzeba od PRz pisemnie: czy funkcję pełni. Wariant A: wyłączenie 81 793,80 zł (z narzutem 102 242,25 zł) z Personelu PRz; wariant B: korekta biografii tylko jeśli opis jest nieprawdziwy. Od właścicielki: potwierdzenie dla Jakuba Kosterny. Teksty: Zmiany_do_wprowadzenia, poz. 5.1-5.4.</t>
        </is>
      </c>
      <c r="D51" s="4" t="inlineStr">
        <is>
          <t>Właścicielka + PRz</t>
        </is>
      </c>
      <c r="E51" s="4" t="inlineStr">
        <is>
          <t>06.10</t>
        </is>
      </c>
      <c r="F51" s="4" t="inlineStr">
        <is>
          <t>K3-33, D19, T23, N86</t>
        </is>
      </c>
      <c r="G51" s="4" t="inlineStr">
        <is>
          <t>OTWARTE</t>
        </is>
      </c>
    </row>
    <row r="52">
      <c r="A52" s="4" t="inlineStr">
        <is>
          <t>T51</t>
        </is>
      </c>
      <c r="B52" s="4" t="inlineStr">
        <is>
          <t>Uzupełnić żółte pola w komentarzu Finansowanie i potwierdzić D53 oraz sprzedaż zestawów po 2034 r.</t>
        </is>
      </c>
      <c r="C52" s="4" t="inlineStr">
        <is>
          <t>Dane: data Warunkowej Umowy Inwestycyjnej, bank, data i kwota zaświadczenia, źródło sfinansowania nabycia praw PRz; sprawdzić w LSI, że umowa i zaświadczenie są załączone; decyzja o sprzedaży zestawów po 2034 r. (Sekcja_K6, 9.13).</t>
        </is>
      </c>
      <c r="D52" s="4" t="inlineStr">
        <is>
          <t>Właścicielka</t>
        </is>
      </c>
      <c r="E52" s="4" t="inlineStr">
        <is>
          <t>06.10</t>
        </is>
      </c>
      <c r="F52" s="4" t="inlineStr">
        <is>
          <t>D55, D53, K6-12</t>
        </is>
      </c>
      <c r="G52" s="4" t="inlineStr">
        <is>
          <t>OTWARTE</t>
        </is>
      </c>
    </row>
    <row r="53">
      <c r="A53" s="4" t="inlineStr">
        <is>
          <t>T52</t>
        </is>
      </c>
      <c r="B53" s="4" t="inlineStr">
        <is>
          <t>Pliki źródłowe a LSI: poprawić Sekcja_7_zasady_horyzontalne_6R, Sekcja_3.1_sprzet_i_amortyzacja, Sekcja_3.1_podwykonawstwo_i_stawki_PRz (cicha notyfikacja zamiast alarmu dźwiękowego, 30 miesięcy, stawki PRz) albo wkleić pola w całości z pliku LSI</t>
        </is>
      </c>
      <c r="C53" s="4" t="inlineStr">
        <is>
          <t>Zamiany ZNAJDŹ/ZAMIEŃ z części B pliku LSI nie znajdą tekstu w wersji C, bo tych plików jeszcze nie wklejono. Decyzja: poprawiamy pliki (wtedy Claude je przebuduje) albo wklejasz pola w całości z pliku LSI.</t>
        </is>
      </c>
      <c r="D53" s="4" t="inlineStr">
        <is>
          <t>Właścicielka (decyzja), Claude (poprawki)</t>
        </is>
      </c>
      <c r="E53" s="4" t="inlineStr">
        <is>
          <t>06.10</t>
        </is>
      </c>
      <c r="F53" s="4" t="inlineStr">
        <is>
          <t>N92, D49</t>
        </is>
      </c>
      <c r="G53" s="4" t="inlineStr">
        <is>
          <t>OTWARTE</t>
        </is>
      </c>
    </row>
    <row r="54">
      <c r="A54" s="4" t="inlineStr">
        <is>
          <t>T53</t>
        </is>
      </c>
      <c r="B54" s="4" t="inlineStr">
        <is>
          <t>Godziny reanotacji w Z8 (specjaliści danych PRz: 225 i 184 h) wystarczające do reanotacji klas po zmianie taksonomii 2.0? Dopisać wykonawcę reanotacji w Z8</t>
        </is>
      </c>
      <c r="C54" s="4" t="inlineStr">
        <is>
          <t>Anotatorzy Z2 kończą w M18, a reanotacja w M22 do M26.</t>
        </is>
      </c>
      <c r="D54" s="4" t="inlineStr">
        <is>
          <t>Dział techniczny + PRz</t>
        </is>
      </c>
      <c r="E54" s="4" t="inlineStr">
        <is>
          <t>06.10</t>
        </is>
      </c>
      <c r="F54" s="4" t="inlineStr">
        <is>
          <t>N97, K3-09</t>
        </is>
      </c>
      <c r="G54" s="4" t="inlineStr">
        <is>
          <t>OTWARTE</t>
        </is>
      </c>
    </row>
    <row r="55">
      <c r="A55" s="4" t="inlineStr">
        <is>
          <t>T54</t>
        </is>
      </c>
      <c r="B55" s="4" t="inlineStr">
        <is>
          <t>Potwierdzić fakty z pliku LSI bez dokumentów: umowa z Natanek od 03.2025, 5 ciągników i 3 pojazdy, ok. 60 m2 biura, PKD 62.10.B i 63.10.D i termin 31.03.2027, patent Delphi wygasa 2027, kurs NBP 5,0954 z 04.09.2026, rozmowy z ubezpieczycielem, 15 rozmów z klientami</t>
        </is>
      </c>
      <c r="C55" s="4" t="inlineStr">
        <is>
          <t>Zdania w pliku LSI nie mają w repozytorium dokumentu źródłowego; dopisać lub usunąć.</t>
        </is>
      </c>
      <c r="D55" s="4" t="inlineStr">
        <is>
          <t>Właścicielka</t>
        </is>
      </c>
      <c r="E55" s="4" t="inlineStr">
        <is>
          <t>06.10</t>
        </is>
      </c>
      <c r="F55" s="4" t="inlineStr">
        <is>
          <t>Zmiany 7.4</t>
        </is>
      </c>
      <c r="G55" s="4" t="inlineStr">
        <is>
          <t>OTWARTE</t>
        </is>
      </c>
    </row>
    <row r="56">
      <c r="A56" s="4" t="inlineStr">
        <is>
          <t>T55</t>
        </is>
      </c>
      <c r="B56" s="4" t="inlineStr">
        <is>
          <t>Wyciąg z TMS o strukturze kontrahentów (liczba z obrotem w 12 mies., przewoźnicy z flotą 5 do 50 naczep) albo ostateczne usunięcie „bazy ponad 50”</t>
        </is>
      </c>
      <c r="C56" s="4" t="inlineStr">
        <is>
          <t>Uwaga K2-01 wymaga struktury; bez wyciągu zostają teksty z Zmiany 1.1 do 1.4.</t>
        </is>
      </c>
      <c r="D56" s="4" t="inlineStr">
        <is>
          <t>Właścicielka</t>
        </is>
      </c>
      <c r="E56" s="4" t="inlineStr">
        <is>
          <t>06.10</t>
        </is>
      </c>
      <c r="F56" s="4" t="inlineStr">
        <is>
          <t>N88, D47, K2-01</t>
        </is>
      </c>
      <c r="G56" s="4" t="inlineStr">
        <is>
          <t>OTWARTE</t>
        </is>
      </c>
    </row>
    <row r="57">
      <c r="A57" s="4" t="inlineStr">
        <is>
          <t>T56</t>
        </is>
      </c>
      <c r="B57" s="4" t="inlineStr">
        <is>
          <t>Wkleić pola docelowe z Zmiany część 8: R11 (opis i zapobieganie), R12 (3.1 i 3.2 plus po jednym zdaniu), budżet 3.2.3 i 3.2.5 z Sekcja_3.2, pole 8.2 z poprawionym zdaniem</t>
        </is>
      </c>
      <c r="C57" s="4" t="inlineStr">
        <is>
          <t>Teksty gotowe w części 8 dokumentu „Zmiany”. Brakuje tylko dwóch ofert rzecznika dla 11-1 i 11-2 (T36) i decyzji o delegacie na kongres.</t>
        </is>
      </c>
      <c r="D57" s="4" t="inlineStr">
        <is>
          <t>Właścicielka</t>
        </is>
      </c>
      <c r="E57" s="4" t="inlineStr">
        <is>
          <t>06.10</t>
        </is>
      </c>
      <c r="F57" s="4" t="inlineStr">
        <is>
          <t>N89, N98, N101, N102</t>
        </is>
      </c>
      <c r="G57" s="4" t="inlineStr">
        <is>
          <t>OTWARTE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1" customWidth="1" min="4" max="4"/>
    <col width="90" customWidth="1" min="5" max="5"/>
    <col width="9" customWidth="1" min="6" max="6"/>
    <col width="9" customWidth="1" min="7" max="7"/>
    <col width="9" customWidth="1" min="8" max="8"/>
    <col width="12" customWidth="1" min="9" max="9"/>
    <col width="45" customWidth="1" min="10" max="10"/>
  </cols>
  <sheetData>
    <row r="1">
      <c r="A1" s="3" t="inlineStr">
        <is>
          <t>Pakiet (pole/sekcja LSI)</t>
        </is>
      </c>
      <c r="B1" s="3" t="inlineStr">
        <is>
          <t>Priorytet</t>
        </is>
      </c>
      <c r="C1" s="3" t="inlineStr">
        <is>
          <t>Termin</t>
        </is>
      </c>
      <c r="D1" s="3" t="inlineStr">
        <is>
          <t>Liczba uwag</t>
        </is>
      </c>
      <c r="E1" s="3" t="inlineStr">
        <is>
          <t>ID uwag z Rejestru</t>
        </is>
      </c>
      <c r="F1" s="3" t="inlineStr">
        <is>
          <t>Nierozp. (stan 05.10)</t>
        </is>
      </c>
      <c r="G1" s="3" t="inlineStr">
        <is>
          <t>W trakcie (stan 05.10)</t>
        </is>
      </c>
      <c r="H1" s="3" t="inlineStr">
        <is>
          <t>Tekst gotowy, do weryf. (stan 05.10)</t>
        </is>
      </c>
      <c r="I1" s="3" t="inlineStr">
        <is>
          <t>Zweryf. (stan 05.10)</t>
        </is>
      </c>
      <c r="J1" s="3" t="inlineStr">
        <is>
          <t>Status pakietu / uwagi</t>
        </is>
      </c>
    </row>
    <row r="2">
      <c r="A2" s="4" t="inlineStr">
        <is>
          <t>WP01 Opisy zadań B+R</t>
        </is>
      </c>
      <c r="B2" s="4" t="inlineStr">
        <is>
          <t>P1</t>
        </is>
      </c>
      <c r="C2" s="4" t="inlineStr">
        <is>
          <t>pt 02.10</t>
        </is>
      </c>
      <c r="D2" s="4" t="n">
        <v>13</v>
      </c>
      <c r="E2" s="4" t="inlineStr">
        <is>
          <t>K3-01, K3-02, K3-03, K3-04, K3-05, K3-06, K3-07, K3-08, K3-09, K3-10, K3-11, K3-12, K3-13</t>
        </is>
      </c>
      <c r="F2" s="4" t="n">
        <v>0</v>
      </c>
      <c r="G2" s="4" t="n">
        <v>1</v>
      </c>
      <c r="H2" s="4" t="n">
        <v>9</v>
      </c>
      <c r="I2" s="4" t="n">
        <v>3</v>
      </c>
      <c r="J2" s="4" t="inlineStr">
        <is>
          <t>Opisy zadań: wersja 2 w pliku Opisy_zadan (zamknięty); godziny Z8 zaktualizowane; 62 żółte wartości czekają na dział techniczny (T11, T29, T35); zmiana opisu Z9 (D47) tylko w LSI wg zestawienia.</t>
        </is>
      </c>
    </row>
    <row r="3">
      <c r="A3" s="4" t="inlineStr">
        <is>
          <t>WP02 Kamienie milowe</t>
        </is>
      </c>
      <c r="B3" s="4" t="inlineStr">
        <is>
          <t>P1</t>
        </is>
      </c>
      <c r="C3" s="4" t="inlineStr">
        <is>
          <t>pt 02.10</t>
        </is>
      </c>
      <c r="D3" s="4" t="n">
        <v>9</v>
      </c>
      <c r="E3" s="4" t="inlineStr">
        <is>
          <t>K3-14, K3-15, K3-16, K3-17, K3-18, K3-19, K3-20, K3-21, K3-22</t>
        </is>
      </c>
      <c r="F3" s="4" t="n">
        <v>0</v>
      </c>
      <c r="G3" s="4" t="n">
        <v>0</v>
      </c>
      <c r="H3" s="4" t="n">
        <v>9</v>
      </c>
      <c r="I3" s="4" t="n">
        <v>0</v>
      </c>
      <c r="J3" s="4" t="inlineStr">
        <is>
          <t>Kamienie milowe: wersja 2 w pliku Opisy_zadan (zamknięty); żółte progi: T11, T35.</t>
        </is>
      </c>
    </row>
    <row r="4">
      <c r="A4" s="4" t="inlineStr">
        <is>
          <t>WP03 Ryzyka</t>
        </is>
      </c>
      <c r="B4" s="4" t="inlineStr">
        <is>
          <t>P1</t>
        </is>
      </c>
      <c r="C4" s="4" t="inlineStr">
        <is>
          <t>pt 02.10</t>
        </is>
      </c>
      <c r="D4" s="4" t="n">
        <v>8</v>
      </c>
      <c r="E4" s="4" t="inlineStr">
        <is>
          <t>K3-25, K3-26, K3-27, K3-28, K3-29, K3-30, K3-31, K3-32</t>
        </is>
      </c>
      <c r="F4" s="4" t="n">
        <v>0</v>
      </c>
      <c r="G4" s="4" t="n">
        <v>0</v>
      </c>
      <c r="H4" s="4" t="n">
        <v>8</v>
      </c>
      <c r="I4" s="4" t="n">
        <v>0</v>
      </c>
      <c r="J4" s="4" t="inlineStr">
        <is>
          <t>Ryzyka: wersja 2 w plikach Opisy_zadan i Poprawki (zamknięte); R12 (K3-32) i plan zastępczy R11 do zmiany w LSI wg zestawienia (D47, D48); R8 (K3-46) w Sekcja_3.1_podwykonawstwo.</t>
        </is>
      </c>
    </row>
    <row r="5">
      <c r="A5" s="4" t="inlineStr">
        <is>
          <t>WP04 Innowacyjność i wskaźniki</t>
        </is>
      </c>
      <c r="B5" s="4" t="inlineStr">
        <is>
          <t>P1</t>
        </is>
      </c>
      <c r="C5" s="4" t="inlineStr">
        <is>
          <t>pon 05.10</t>
        </is>
      </c>
      <c r="D5" s="4" t="n">
        <v>7</v>
      </c>
      <c r="E5" s="4" t="inlineStr">
        <is>
          <t>K1-01, K1-02, K1-03, K1-04, K1-05, K1-06, K14-01</t>
        </is>
      </c>
      <c r="F5" s="4" t="n">
        <v>0</v>
      </c>
      <c r="G5" s="4" t="n">
        <v>0</v>
      </c>
      <c r="H5" s="4" t="n">
        <v>7</v>
      </c>
      <c r="I5" s="4" t="n">
        <v>0</v>
      </c>
      <c r="J5" s="4" t="inlineStr">
        <is>
          <t>Sekcja Wskazniki_innowacyjnosci_1.2_i_1.4.docx gotowa; 6 żółtych parametrów (T11), oferty dla I1 (T10), karty konkurencji (T12).</t>
        </is>
      </c>
    </row>
    <row r="6">
      <c r="A6" s="4" t="inlineStr">
        <is>
          <t>WP05 Wdrożenie, rynek, ceny</t>
        </is>
      </c>
      <c r="B6" s="4" t="inlineStr">
        <is>
          <t>P1</t>
        </is>
      </c>
      <c r="C6" s="4" t="inlineStr">
        <is>
          <t>pon 05.10</t>
        </is>
      </c>
      <c r="D6" s="4" t="n">
        <v>9</v>
      </c>
      <c r="E6" s="4" t="inlineStr">
        <is>
          <t>K2-01, K2-04, K2-05, K2-06, K2-09, K2-10, K2-11, K2-15, K2-17</t>
        </is>
      </c>
      <c r="F6" s="4" t="n">
        <v>0</v>
      </c>
      <c r="G6" s="4" t="n">
        <v>0</v>
      </c>
      <c r="H6" s="4" t="n">
        <v>9</v>
      </c>
      <c r="I6" s="4" t="n">
        <v>0</v>
      </c>
      <c r="J6" s="4" t="inlineStr">
        <is>
          <t>Sekcja_1.3_i_ceny.docx gotowa (zamknięta); zmiany po D47 i D48 (usunięte „ponad 50 aktywnych kontrahentów”, powiązanie Natanek Logistics) tylko w LSI wg zestawienia; ceny: T10, T14, T19.</t>
        </is>
      </c>
    </row>
    <row r="7">
      <c r="A7" s="4" t="inlineStr">
        <is>
          <t>WP06 Personel (budżet i opis)</t>
        </is>
      </c>
      <c r="B7" s="4" t="inlineStr">
        <is>
          <t>P1</t>
        </is>
      </c>
      <c r="C7" s="4" t="inlineStr">
        <is>
          <t>pt 02.10</t>
        </is>
      </c>
      <c r="D7" s="4" t="n">
        <v>21</v>
      </c>
      <c r="E7" s="4" t="inlineStr">
        <is>
          <t>K3-33, K3-34, K3-35, K3-36, K3-37, K3-38, K3-39, K3-40, K3-41, K3-42, K5-01, K5-02, K5-03, K5-04, K5-05, K5-06, K5-07, K5-08, K5-09, K5-10, K5-11</t>
        </is>
      </c>
      <c r="F7" s="4" t="n">
        <v>0</v>
      </c>
      <c r="G7" s="4" t="n">
        <v>0</v>
      </c>
      <c r="H7" s="4" t="n">
        <v>20</v>
      </c>
      <c r="I7" s="4" t="n">
        <v>1</v>
      </c>
      <c r="J7" s="4" t="inlineStr">
        <is>
          <t>Sekcja_6.1 gotowa (założenia D37: T23); Sekcja_6.2-6.4 z 7 żółtymi polami (T25, T26); K3-41 i K3-42 w Sekcja_3.1_podwykonawstwo_i_stawki_PRz.docx (stawki PRz, godziny Z8 zgodnie z D43).</t>
        </is>
      </c>
    </row>
    <row r="8">
      <c r="A8" s="4" t="inlineStr">
        <is>
          <t>WP07 Podwykonawcy i montaż</t>
        </is>
      </c>
      <c r="B8" s="4" t="inlineStr">
        <is>
          <t>P1</t>
        </is>
      </c>
      <c r="C8" s="4" t="inlineStr">
        <is>
          <t>pt 02.10</t>
        </is>
      </c>
      <c r="D8" s="4" t="n">
        <v>6</v>
      </c>
      <c r="E8" s="4" t="inlineStr">
        <is>
          <t>K3-43, K3-44, K3-45, K3-46, K3-47, K5-19</t>
        </is>
      </c>
      <c r="F8" s="4" t="n">
        <v>0</v>
      </c>
      <c r="G8" s="4" t="n">
        <v>0</v>
      </c>
      <c r="H8" s="4" t="n">
        <v>4</v>
      </c>
      <c r="I8" s="4" t="n">
        <v>2</v>
      </c>
      <c r="J8" s="4" t="inlineStr">
        <is>
          <t>Sekcja_3.1_podwykonawstwo_i_stawki_PRz.docx: wersja ostateczna z poprawkami właścicielki; opcjonalnie T37.</t>
        </is>
      </c>
    </row>
    <row r="9">
      <c r="A9" s="4" t="inlineStr">
        <is>
          <t>WP08 Sprzęt i amortyzacja</t>
        </is>
      </c>
      <c r="B9" s="4" t="inlineStr">
        <is>
          <t>P1</t>
        </is>
      </c>
      <c r="C9" s="4" t="inlineStr">
        <is>
          <t>pt 02.10</t>
        </is>
      </c>
      <c r="D9" s="4" t="n">
        <v>11</v>
      </c>
      <c r="E9" s="4" t="inlineStr">
        <is>
          <t>K3-48, K3-49, K3-50, K3-51, K3-52, K3-53, K3-54, K3-55, K3-56, K3-57, K3-58</t>
        </is>
      </c>
      <c r="F9" s="4" t="n">
        <v>0</v>
      </c>
      <c r="G9" s="4" t="n">
        <v>0</v>
      </c>
      <c r="H9" s="4" t="n">
        <v>5</v>
      </c>
      <c r="I9" s="4" t="n">
        <v>6</v>
      </c>
      <c r="J9" s="4" t="inlineStr">
        <is>
          <t>Sekcja_3.1_sprzet_i_amortyzacja.docx gotowa (14 pozycji); czeka: T33 (ceny), T35 (dział techniczny).</t>
        </is>
      </c>
    </row>
    <row r="10">
      <c r="A10" s="4" t="inlineStr">
        <is>
          <t>WP09 Internacjonalizacja i patent</t>
        </is>
      </c>
      <c r="B10" s="4" t="inlineStr">
        <is>
          <t>P1</t>
        </is>
      </c>
      <c r="C10" s="4" t="inlineStr">
        <is>
          <t>pt 02.10</t>
        </is>
      </c>
      <c r="D10" s="4" t="n">
        <v>10</v>
      </c>
      <c r="E10" s="4" t="inlineStr">
        <is>
          <t>K3-23, K3-24, K3-59, K3-60, K3-61, K3-62, K3-63, K3-64, K3-65, K3-66</t>
        </is>
      </c>
      <c r="F10" s="4" t="n">
        <v>0</v>
      </c>
      <c r="G10" s="4" t="n">
        <v>1</v>
      </c>
      <c r="H10" s="4" t="n">
        <v>7</v>
      </c>
      <c r="I10" s="4" t="n">
        <v>2</v>
      </c>
      <c r="J10" s="4" t="inlineStr">
        <is>
          <t>Sekcja_3.2_internacjonalizacja_Z10_Z11.docx gotowa; czeka: T32, T36.</t>
        </is>
      </c>
    </row>
    <row r="11">
      <c r="A11" s="4" t="inlineStr">
        <is>
          <t>WP10 Zasoby, IP, WNiP</t>
        </is>
      </c>
      <c r="B11" s="4" t="inlineStr">
        <is>
          <t>P1</t>
        </is>
      </c>
      <c r="C11" s="4" t="inlineStr">
        <is>
          <t>pon 05.10</t>
        </is>
      </c>
      <c r="D11" s="4" t="n">
        <v>11</v>
      </c>
      <c r="E11" s="4" t="inlineStr">
        <is>
          <t>K2-02, K2-03, K2-07, K2-08, K5-12, K5-13, K5-14, K5-15, K5-16, K5-17, K5-18</t>
        </is>
      </c>
      <c r="F11" s="4" t="n">
        <v>0</v>
      </c>
      <c r="G11" s="4" t="n">
        <v>0</v>
      </c>
      <c r="H11" s="4" t="n">
        <v>11</v>
      </c>
      <c r="I11" s="4" t="n">
        <v>0</v>
      </c>
      <c r="J11" s="4" t="inlineStr">
        <is>
          <t>Sekcja_2.2_i_2.5_prawa_FTO_zasoby.docx gotowa; potwierdzenia patentowe: T13.</t>
        </is>
      </c>
    </row>
    <row r="12">
      <c r="A12" s="4" t="inlineStr">
        <is>
          <t>WP11 Model finansowy i zdolność finansowa</t>
        </is>
      </c>
      <c r="B12" s="4" t="inlineStr">
        <is>
          <t>P1</t>
        </is>
      </c>
      <c r="C12" s="4" t="inlineStr">
        <is>
          <t>pon 05.10</t>
        </is>
      </c>
      <c r="D12" s="4" t="n">
        <v>22</v>
      </c>
      <c r="E12" s="4" t="inlineStr">
        <is>
          <t>K2-12, K2-13, K2-14, K2-16, K6-01, K6-02, K6-03, K6-04, K6-05, K6-06, K6-07, K6-08, K6-09, K6-10, K6-11, K6-12, K6-13, K6-14, K6-15, K6-16, K6-17, K6-18</t>
        </is>
      </c>
      <c r="F12" s="4" t="n">
        <v>0</v>
      </c>
      <c r="G12" s="4" t="n">
        <v>3</v>
      </c>
      <c r="H12" s="4" t="n">
        <v>11</v>
      </c>
      <c r="I12" s="4" t="n">
        <v>8</v>
      </c>
      <c r="J12" s="4" t="inlineStr">
        <is>
          <t>Model Everest11 (plik z 05.10) i Sekcja_K6: K6-02, K6-04 do K6-08, K6-10 do K6-16 gotowe (K6-14 poprawione, K6-08 po odpowiedzi księgowej); K2-12, K2-13, N58 jako propozycja (D53, T46); K2-14 do K2-16 w Sekcja_1.3; załączniki: T41.</t>
        </is>
      </c>
    </row>
    <row r="13">
      <c r="A13" s="4" t="inlineStr">
        <is>
          <t>WP12 Zasady horyzontalne i 6R</t>
        </is>
      </c>
      <c r="B13" s="4" t="inlineStr">
        <is>
          <t>P2</t>
        </is>
      </c>
      <c r="C13" s="4" t="inlineStr">
        <is>
          <t>wt 06.10</t>
        </is>
      </c>
      <c r="D13" s="4" t="n">
        <v>14</v>
      </c>
      <c r="E13" s="4" t="inlineStr">
        <is>
          <t>K10-01, K10-02, K10-03, K10-04, K10-05, K10-06, K11-01, K12-01, K13-01, K13-02, K13-03, K13-04, K13-05, K13-06</t>
        </is>
      </c>
      <c r="F13" s="4" t="n">
        <v>0</v>
      </c>
      <c r="G13" s="4" t="n">
        <v>0</v>
      </c>
      <c r="H13" s="4" t="n">
        <v>14</v>
      </c>
      <c r="I13" s="4" t="n">
        <v>0</v>
      </c>
      <c r="J13" s="4" t="inlineStr">
        <is>
          <t>Sekcja_7_zasady_horyzontalne_6R.docx gotowa; zobowiązania do potwierdzenia: T27-T29.</t>
        </is>
      </c>
    </row>
    <row r="14">
      <c r="A14" s="4" t="inlineStr">
        <is>
          <t>RAZEM</t>
        </is>
      </c>
      <c r="B14" s="4" t="inlineStr"/>
      <c r="C14" s="4" t="inlineStr"/>
      <c r="D14" s="4" t="n">
        <v>141</v>
      </c>
      <c r="E14" s="4" t="inlineStr"/>
      <c r="F14" s="4" t="inlineStr"/>
      <c r="G14" s="4" t="inlineStr"/>
      <c r="H14" s="4" t="inlineStr"/>
      <c r="I14" s="4" t="inlineStr"/>
      <c r="J14" s="4" t="inlineStr"/>
    </row>
    <row r="15">
      <c r="A15" t="inlineStr">
        <is>
          <t>Metoda liczników (05.10.2026): „Nierozp.” = uwaga bez gotowego tekstu w żadnym pliku sekcji (sprawdzone po numerach uwag w sekcjach, w WP05 i WP11 także wg D35/D36, T16 i Sekcja_K6). „Tekst gotowy, do weryf.” = tekst jest przygotowany, ale nie wklejony do LSI (T09/T48) i nie sprawdzony przez właścicielkę. „Zweryf.” i „W trakcie” bez zmian względem Rejestru 01.10. Uwaga: K6-01, K6-03, K6-17 i K6-18 nie mają numeru w Sekcja_K6; do potwierdzenia w kolejnym przeglądzie.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9" customWidth="1" min="3" max="3"/>
    <col width="18" customWidth="1" min="4" max="4"/>
    <col width="60" customWidth="1" min="5" max="5"/>
    <col width="80" customWidth="1" min="6" max="6"/>
    <col width="13" customWidth="1" min="7" max="7"/>
  </cols>
  <sheetData>
    <row r="1">
      <c r="A1" s="8" t="inlineStr">
        <is>
          <t>Pozycja</t>
        </is>
      </c>
      <c r="B1" s="8" t="inlineStr">
        <is>
          <t>Cena w walucie źródła</t>
        </is>
      </c>
      <c r="C1" s="8" t="inlineStr">
        <is>
          <t>Waluta</t>
        </is>
      </c>
      <c r="D1" s="8" t="inlineStr">
        <is>
          <t>Cena w PLN (netto)</t>
        </is>
      </c>
      <c r="E1" s="8" t="inlineStr">
        <is>
          <t>Uwaga</t>
        </is>
      </c>
      <c r="F1" s="8" t="inlineStr">
        <is>
          <t>Źródło (URL)</t>
        </is>
      </c>
      <c r="G1" s="8" t="inlineStr">
        <is>
          <t>Data odczytu</t>
        </is>
      </c>
    </row>
    <row r="2">
      <c r="A2" s="2" t="inlineStr">
        <is>
          <t>Kamera ToF Basler blaze-101/102 (VGA, GigE, 850/940 nm)</t>
        </is>
      </c>
      <c r="B2" s="2" t="n">
        <v>1579</v>
      </c>
      <c r="C2" s="2" t="inlineStr">
        <is>
          <t>EUR</t>
        </is>
      </c>
      <c r="D2" s="2">
        <f>B2*$B$19</f>
        <v/>
      </c>
      <c r="E2" s="2" t="inlineStr">
        <is>
          <t>Katalog netto, 1 szt.; blaze-102 ma ten sam cennik na stronie</t>
        </is>
      </c>
      <c r="F2" s="2" t="inlineStr">
        <is>
          <t>https://baslerweb.com/en/shop/blaze-101</t>
        </is>
      </c>
      <c r="G2" s="2" t="inlineStr">
        <is>
          <t>01.10.2026</t>
        </is>
      </c>
    </row>
    <row r="3">
      <c r="A3" s="2" t="inlineStr">
        <is>
          <t>Kamera ToF Lucid Helios2 (IP67)</t>
        </is>
      </c>
      <c r="B3" s="2" t="n">
        <v>1645</v>
      </c>
      <c r="C3" s="2" t="inlineStr">
        <is>
          <t>EUR</t>
        </is>
      </c>
      <c r="D3" s="2">
        <f>B3*$B$19</f>
        <v/>
      </c>
      <c r="E3" s="2" t="inlineStr">
        <is>
          <t>Netto, Edmund Optics EU; Helios2+ 1 800 EUR</t>
        </is>
      </c>
      <c r="F3" s="2" t="inlineStr">
        <is>
          <t>https://edmundoptics.eu/p/lucid-vision-labs-heliostrade2-time-of-flight-tof-camera/49503</t>
        </is>
      </c>
      <c r="G3" s="2" t="inlineStr">
        <is>
          <t>01.10.2026</t>
        </is>
      </c>
    </row>
    <row r="4">
      <c r="A4" s="2" t="inlineStr">
        <is>
          <t>Kamera ToF Orbbec Femto Bolt (iToF 850 nm, 0,25-5,46 m)</t>
        </is>
      </c>
      <c r="B4" s="2" t="n">
        <v>559</v>
      </c>
      <c r="C4" s="2" t="inlineStr">
        <is>
          <t>USD</t>
        </is>
      </c>
      <c r="D4" s="2">
        <f>B4*$B$20</f>
        <v/>
      </c>
      <c r="E4" s="2" t="inlineStr">
        <is>
          <t>Cena detaliczna (wskazówka: sprawdzić netto)</t>
        </is>
      </c>
      <c r="F4" s="2" t="inlineStr">
        <is>
          <t>https://ca.robotshop.com/products/orbbec-femto-bolt-3d-vision-device</t>
        </is>
      </c>
      <c r="G4" s="2" t="inlineStr">
        <is>
          <t>01.10.2026</t>
        </is>
      </c>
    </row>
    <row r="5">
      <c r="A5" s="2" t="inlineStr">
        <is>
          <t>Luxonis OAK-D Pro W (ACTIVE STEREO, nie ToF)</t>
        </is>
      </c>
      <c r="B5" s="2" t="n">
        <v>499</v>
      </c>
      <c r="C5" s="2" t="inlineStr">
        <is>
          <t>USD</t>
        </is>
      </c>
      <c r="D5" s="2">
        <f>B5*$B$20</f>
        <v/>
      </c>
      <c r="E5" s="2" t="inlineStr">
        <is>
          <t>Pozycja wskazana we wniosku jako "kamera ToF" (Z1 typ 1, Z2)</t>
        </is>
      </c>
      <c r="F5" s="2" t="inlineStr">
        <is>
          <t>https://checkout.luxonis.com/products/oak-d-pro-w</t>
        </is>
      </c>
      <c r="G5" s="2" t="inlineStr">
        <is>
          <t>01.10.2026</t>
        </is>
      </c>
    </row>
    <row r="6">
      <c r="A6" s="2" t="inlineStr">
        <is>
          <t>Kamera EO Basler ace 2 a2A1920-51gm (2,3 MP, GigE)</t>
        </is>
      </c>
      <c r="B6" s="2" t="n">
        <v>319</v>
      </c>
      <c r="C6" s="2" t="inlineStr">
        <is>
          <t>EUR</t>
        </is>
      </c>
      <c r="D6" s="2">
        <f>B6*$B$19</f>
        <v/>
      </c>
      <c r="E6" s="2" t="inlineStr">
        <is>
          <t>Netto; wersja kolorowa nieco droższa</t>
        </is>
      </c>
      <c r="F6" s="2" t="inlineStr">
        <is>
          <t>https://baslerweb.com/en/shop/a2a1920-imx392</t>
        </is>
      </c>
      <c r="G6" s="2" t="inlineStr">
        <is>
          <t>01.10.2026</t>
        </is>
      </c>
    </row>
    <row r="7">
      <c r="A7" s="2" t="inlineStr">
        <is>
          <t>Jetson Orin Nano 8 GB - moduł (40 TOPS), cena 1KU+</t>
        </is>
      </c>
      <c r="B7" s="2" t="n">
        <v>399</v>
      </c>
      <c r="C7" s="2" t="inlineStr">
        <is>
          <t>USD</t>
        </is>
      </c>
      <c r="D7" s="2">
        <f>B7*$B$20</f>
        <v/>
      </c>
      <c r="E7" s="2" t="inlineStr">
        <is>
          <t>Cena przy zamówieniu &gt;=1000 szt. (już wolumenowa); od 07.2026 (wcześniej 299 USD)</t>
        </is>
      </c>
      <c r="F7" s="2" t="inlineStr">
        <is>
          <t>https://www.cnx-software.com/2026/07/22/nvidia-increases-the-price-of-jetson-modules-and-devkits-by-up-to-101/</t>
        </is>
      </c>
      <c r="G7" s="2" t="inlineStr">
        <is>
          <t>01.10.2026</t>
        </is>
      </c>
    </row>
    <row r="8">
      <c r="A8" s="2" t="inlineStr">
        <is>
          <t>Jetson Orin NX 16 GB - moduł (100 TOPS), cena 1KU+</t>
        </is>
      </c>
      <c r="B8" s="2" t="n">
        <v>999</v>
      </c>
      <c r="C8" s="2" t="inlineStr">
        <is>
          <t>USD</t>
        </is>
      </c>
      <c r="D8" s="2">
        <f>B8*$B$20</f>
        <v/>
      </c>
      <c r="E8" s="2" t="inlineStr">
        <is>
          <t>j.w. (wcześniej 599 USD)</t>
        </is>
      </c>
      <c r="F8" s="2" t="inlineStr">
        <is>
          <t>https://www.cnx-software.com/2026/07/22/nvidia-increases-the-price-of-jetson-modules-and-devkits-by-up-to-101/</t>
        </is>
      </c>
      <c r="G8" s="2" t="inlineStr">
        <is>
          <t>01.10.2026</t>
        </is>
      </c>
    </row>
    <row r="9">
      <c r="A9" s="2" t="inlineStr">
        <is>
          <t>Jetson Orin Nano 8 GB - moduł, PLN (agregator elecena.pl)</t>
        </is>
      </c>
      <c r="B9" s="2" t="n">
        <v>1396.51</v>
      </c>
      <c r="C9" s="2" t="inlineStr">
        <is>
          <t>PLN</t>
        </is>
      </c>
      <c r="D9" s="2">
        <f>B9</f>
        <v/>
      </c>
      <c r="E9" s="2" t="inlineStr">
        <is>
          <t>Cena z porównywarki, wymaga potwierdzenia u dystrybutora (Botland/Kamami/Elmark)</t>
        </is>
      </c>
      <c r="F9" s="2" t="inlineStr">
        <is>
          <t>https://elecena.pl/search?q=40tops</t>
        </is>
      </c>
      <c r="G9" s="2" t="inlineStr">
        <is>
          <t>01.10.2026</t>
        </is>
      </c>
    </row>
    <row r="10">
      <c r="A10" s="2" t="inlineStr">
        <is>
          <t>Router Teltonika RUT956 (LTE Cat 4, GNSS)</t>
        </is>
      </c>
      <c r="B10" s="2" t="n">
        <v>1444</v>
      </c>
      <c r="C10" s="2" t="inlineStr">
        <is>
          <t>PLN</t>
        </is>
      </c>
      <c r="D10" s="2">
        <f>B10</f>
        <v/>
      </c>
      <c r="E10" s="2" t="inlineStr">
        <is>
          <t>Cena BRUTTO od 1 444 do 1 640 zł; netto ok. 1 174-1 333 zł</t>
        </is>
      </c>
      <c r="F10" s="2" t="inlineStr">
        <is>
          <t>https://emaga.mysky-shop.pl/WRL-ROUTER-LTE-CAT-4-RUT956-TELTONIKA-p2025564</t>
        </is>
      </c>
      <c r="G10" s="2" t="inlineStr">
        <is>
          <t>01.10.2026</t>
        </is>
      </c>
    </row>
    <row r="11">
      <c r="A11" s="2" t="inlineStr">
        <is>
          <t>Dysk NVMe 1 TB konsumencki Kingston NV3 (0-70 C)</t>
        </is>
      </c>
      <c r="B11" s="2" t="n">
        <v>629</v>
      </c>
      <c r="C11" s="2" t="inlineStr">
        <is>
          <t>PLN</t>
        </is>
      </c>
      <c r="D11" s="2">
        <f>B11</f>
        <v/>
      </c>
      <c r="E11" s="2" t="inlineStr">
        <is>
          <t>x-kom 629 zł brutto; Morele 429 zł (promocja V.2026)</t>
        </is>
      </c>
      <c r="F11" s="2" t="inlineStr">
        <is>
          <t>https://www.x-kom.pl/p/1273429-kingston-1tb-m2-pcie-gen4-nvme-nv3.html</t>
        </is>
      </c>
      <c r="G11" s="2" t="inlineStr">
        <is>
          <t>01.10.2026</t>
        </is>
      </c>
    </row>
    <row r="12">
      <c r="A12" s="2" t="n"/>
      <c r="B12" s="2" t="n">
        <v>961.75</v>
      </c>
      <c r="C12" s="2" t="inlineStr">
        <is>
          <t>EUR</t>
        </is>
      </c>
      <c r="D12" s="2">
        <f>B12*$B$19</f>
        <v/>
      </c>
      <c r="E12" s="2" t="inlineStr">
        <is>
          <t>Netto, RS Online</t>
        </is>
      </c>
      <c r="F12" s="2" t="inlineStr">
        <is>
          <t>https://ie.rs-online.com/web/p/hard-drives/0683207</t>
        </is>
      </c>
      <c r="G12" s="2" t="inlineStr">
        <is>
          <t>01.10.2026</t>
        </is>
      </c>
    </row>
    <row r="13">
      <c r="A13" s="2" t="n"/>
      <c r="B13" s="2" t="n"/>
      <c r="C13" s="2" t="inlineStr">
        <is>
          <t>PLN</t>
        </is>
      </c>
      <c r="D13" s="2">
        <f>B13</f>
        <v/>
      </c>
      <c r="E13" s="2" t="inlineStr">
        <is>
          <t>Netto, RS Online PL; wersja 260x160x90 mm 411,59 zł</t>
        </is>
      </c>
      <c r="F13" s="2" t="inlineStr">
        <is>
          <t>https://pl.rs-online.com/web/p/obudowy-ogolnego-uzytku/8681203</t>
        </is>
      </c>
      <c r="G13" s="2" t="inlineStr">
        <is>
          <t>01.10.2026</t>
        </is>
      </c>
    </row>
    <row r="14">
      <c r="A14" s="2" t="n"/>
      <c r="B14" s="2" t="n"/>
      <c r="C14" s="2" t="inlineStr">
        <is>
          <t>EUR</t>
        </is>
      </c>
      <c r="D14" s="2">
        <f>B14*$B$19</f>
        <v/>
      </c>
      <c r="E14" s="2" t="inlineStr">
        <is>
          <t>Netto, RS; tanie IMU MEMS znacznie niższe (bez źródła)</t>
        </is>
      </c>
      <c r="F14" s="2" t="inlineStr">
        <is>
          <t>https://benl.rs-online.com/web/p/sensor-development-tools/2162989</t>
        </is>
      </c>
      <c r="G14" s="2" t="inlineStr">
        <is>
          <t>01.10.2026</t>
        </is>
      </c>
    </row>
    <row r="15">
      <c r="A15" s="2" t="inlineStr">
        <is>
          <t>Radar mmWave TI IWR6843AOPEVM (60 GHz)</t>
        </is>
      </c>
      <c r="B15" s="2" t="n">
        <v>257.49</v>
      </c>
      <c r="C15" s="2" t="inlineStr">
        <is>
          <t>USD</t>
        </is>
      </c>
      <c r="D15" s="2">
        <f>B15*$B$20</f>
        <v/>
      </c>
      <c r="E15" s="2" t="inlineStr">
        <is>
          <t>Mouser CA - waluta niepewna (może być CAD); wniosek podaje FMCW 77 GHz</t>
        </is>
      </c>
      <c r="F15" s="2" t="inlineStr">
        <is>
          <t>https://www.mouser.ca/c/embedded-solutions/engineering-tools/sensor-development-tools/?pg=22&amp;q=QS</t>
        </is>
      </c>
      <c r="G15" s="2" t="inlineStr">
        <is>
          <t>01.10.2026</t>
        </is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Kursy NBP z 17.09.2026 (źródło: tvp.info / comparic.pl; nr tabeli A uzupełnić przy opisie w LSI)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EUR/PLN</t>
        </is>
      </c>
      <c r="B19" s="2" t="n">
        <v>4.3632</v>
      </c>
      <c r="C19" s="2" t="n"/>
      <c r="D19" s="2" t="n"/>
      <c r="E19" s="2" t="n"/>
      <c r="F19" s="2" t="n"/>
      <c r="G19" s="2" t="n"/>
    </row>
    <row r="20">
      <c r="A20" s="2" t="inlineStr">
        <is>
          <t>USD/PLN</t>
        </is>
      </c>
      <c r="B20" s="2" t="n">
        <v>3.803</v>
      </c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Uwaga: ceny katalogowe/detaliczne nie są ofertami. W LSI jako "źródło danych" podać nazwę sklepu/producenta i datę odczytu; dla pozycji kluczowych (edge AI, ToF) rozważyć zapytanie ofertowe.</t>
        </is>
      </c>
      <c r="B22" s="2" t="n"/>
      <c r="C22" s="2" t="n"/>
      <c r="D22" s="2" t="n"/>
      <c r="E22" s="2" t="n"/>
      <c r="F22" s="2" t="n"/>
      <c r="G22" s="2" t="n"/>
    </row>
    <row r="23">
      <c r="A23" s="2" t="inlineStr">
        <is>
          <t>Konkurencja: Tive Solo 5G, interwał transmisji 5-720 min (300-43 200 s)</t>
        </is>
      </c>
      <c r="B23" s="2" t="inlineStr"/>
      <c r="C23" s="2" t="inlineStr"/>
      <c r="D23" s="2" t="inlineStr"/>
      <c r="E23" s="2" t="inlineStr">
        <is>
          <t>Karta katalogowa, dane z wyszukiwarki; do sprawdzenia w pełnej karcie</t>
        </is>
      </c>
      <c r="F23" s="2" t="inlineStr">
        <is>
          <t>https://www.tive.com/compare-trackers</t>
        </is>
      </c>
      <c r="G23" s="2" t="inlineStr">
        <is>
          <t>02.10.2026</t>
        </is>
      </c>
    </row>
    <row r="24">
      <c r="A24" s="2" t="inlineStr">
        <is>
          <t>Konkurencja: Blickfeld Qb2 / QbVolume, zasięg 1-100 m, precyzja &lt;±2 cm, 1-50 Hz</t>
        </is>
      </c>
      <c r="B24" s="2" t="inlineStr"/>
      <c r="C24" s="2" t="inlineStr"/>
      <c r="D24" s="2" t="inlineStr"/>
      <c r="E24" s="2" t="inlineStr">
        <is>
          <t>Karty katalogowe V2.3 (03.2026)</t>
        </is>
      </c>
      <c r="F24" s="2" t="inlineStr">
        <is>
          <t>https://www.blickfeld.com/lidar-sensor-products/qbvolume/</t>
        </is>
      </c>
      <c r="G24" s="2" t="inlineStr">
        <is>
          <t>02.10.2026</t>
        </is>
      </c>
    </row>
    <row r="25">
      <c r="A25" s="2" t="inlineStr">
        <is>
          <t>Konkurencja: Ouster OS0, 35 m (10% odbicia), ±3 cm, do 20 Hz</t>
        </is>
      </c>
      <c r="B25" s="2" t="inlineStr"/>
      <c r="C25" s="2" t="inlineStr"/>
      <c r="D25" s="2" t="inlineStr"/>
      <c r="E25" s="2" t="inlineStr">
        <is>
          <t>Strona producenta</t>
        </is>
      </c>
      <c r="F25" s="2" t="inlineStr">
        <is>
          <t>https://ouster.com/products/hardware/os0</t>
        </is>
      </c>
      <c r="G25" s="2" t="inlineStr">
        <is>
          <t>02.10.2026</t>
        </is>
      </c>
    </row>
    <row r="26">
      <c r="A26" s="2" t="inlineStr">
        <is>
          <t>Konkurencja: SkyBitz SkyCamera (kamera i czujnik wolumetryczny w naczepie)</t>
        </is>
      </c>
      <c r="B26" s="2" t="inlineStr"/>
      <c r="C26" s="2" t="inlineStr"/>
      <c r="D26" s="2" t="inlineStr"/>
      <c r="E26" s="2" t="inlineStr">
        <is>
          <t>Producent nie podaje dokładności</t>
        </is>
      </c>
      <c r="F26" s="2" t="inlineStr">
        <is>
          <t>https://www.skybitz.com/skycamera</t>
        </is>
      </c>
      <c r="G26" s="2" t="inlineStr">
        <is>
          <t>02.10.2026</t>
        </is>
      </c>
    </row>
    <row r="27">
      <c r="A27" s="2" t="inlineStr">
        <is>
          <t>Konkurencja: Nexxiot Globehopper Edge, aktualizacje co 60 min w ruchu</t>
        </is>
      </c>
      <c r="B27" s="2" t="inlineStr"/>
      <c r="C27" s="2" t="inlineStr"/>
      <c r="D27" s="2" t="inlineStr"/>
      <c r="E27" s="2" t="inlineStr">
        <is>
          <t>Informacja prasowa; nazwa „Globe+” nie występuje w dokumentacji</t>
        </is>
      </c>
      <c r="F27" s="2" t="inlineStr">
        <is>
          <t>https://www.porttechnology.org/news/nexxiot-unveils-wireless-cargo-visibility-device/</t>
        </is>
      </c>
      <c r="G27" s="2" t="inlineStr">
        <is>
          <t>02.10.2026</t>
        </is>
      </c>
    </row>
    <row r="28">
      <c r="A28" s="2" t="inlineStr">
        <is>
          <t>Konkurencja: Arviem, interwał pomiaru domyślnie 60 min</t>
        </is>
      </c>
      <c r="B28" s="2" t="inlineStr"/>
      <c r="C28" s="2" t="inlineStr"/>
      <c r="D28" s="2" t="inlineStr"/>
      <c r="E28" s="2" t="inlineStr">
        <is>
          <t>Źródło pośrednie, pobrać kartę katalogową</t>
        </is>
      </c>
      <c r="F28" s="2" t="inlineStr">
        <is>
          <t>do uzupełnienia</t>
        </is>
      </c>
      <c r="G28" s="2" t="inlineStr">
        <is>
          <t>02.10.2026</t>
        </is>
      </c>
    </row>
    <row r="29">
      <c r="A29" s="2" t="inlineStr">
        <is>
          <t>Rynek: naczepy w Polsce 2023, 544,97 tys.</t>
        </is>
      </c>
      <c r="B29" s="2" t="inlineStr"/>
      <c r="C29" s="2" t="inlineStr"/>
      <c r="D29" s="2" t="inlineStr"/>
      <c r="E29" s="2" t="inlineStr">
        <is>
          <t>Eurostat road_eqs_semit; wartość za 2024 do pobrania</t>
        </is>
      </c>
      <c r="F29" s="2" t="inlineStr">
        <is>
          <t>https://baselight.app/u/eurostat/dataset/road_eqs_semit</t>
        </is>
      </c>
      <c r="G29" s="2" t="inlineStr">
        <is>
          <t>02.10.2026</t>
        </is>
      </c>
    </row>
    <row r="30">
      <c r="A30" s="2" t="inlineStr">
        <is>
          <t>Rynek: 43 280 firm z licencją wspólnotową (VII 2026), 45 565 w 2023</t>
        </is>
      </c>
      <c r="B30" s="2" t="inlineStr"/>
      <c r="C30" s="2" t="inlineStr"/>
      <c r="D30" s="2" t="inlineStr"/>
      <c r="E30" s="2" t="inlineStr">
        <is>
          <t>GITD, za trans.info</t>
        </is>
      </c>
      <c r="F30" s="2" t="inlineStr">
        <is>
          <t>https://trans.info/pl/firm-transportowych-ubywa-498383</t>
        </is>
      </c>
      <c r="G30" s="2" t="inlineStr">
        <is>
          <t>02.10.2026</t>
        </is>
      </c>
    </row>
    <row r="31">
      <c r="A31" s="2" t="inlineStr">
        <is>
          <t>Kurs SDR NBP 5,0954 PLN (tabela z 04.09.2026)</t>
        </is>
      </c>
      <c r="B31" s="2" t="inlineStr"/>
      <c r="C31" s="2" t="inlineStr"/>
      <c r="D31" s="2" t="inlineStr"/>
      <c r="E31" s="2" t="inlineStr">
        <is>
          <t>Do przeliczenia limitu CMR (art. 23: 8,33 SDR/kg)</t>
        </is>
      </c>
      <c r="F31" s="2" t="inlineStr">
        <is>
          <t>https://direct.money.pl/kursy-walut/nbp/kurs-XDR</t>
        </is>
      </c>
      <c r="G31" s="2" t="inlineStr">
        <is>
          <t>02.10.2026</t>
        </is>
      </c>
    </row>
    <row r="32">
      <c r="A32" s="2" t="inlineStr">
        <is>
          <t>Cena konkurencji: SkyBitz, abonament od 30 do 75 USD/zasób/mies.</t>
        </is>
      </c>
      <c r="B32" s="2" t="inlineStr"/>
      <c r="C32" s="2" t="inlineStr"/>
      <c r="D32" s="2" t="inlineStr"/>
      <c r="E32" s="2" t="inlineStr">
        <is>
          <t>Serwis Capterra, dane orientacyjne, nie oferta</t>
        </is>
      </c>
      <c r="F32" s="2" t="inlineStr">
        <is>
          <t>https://capterra.com/p/166977/SkyBitz-Local-Fleets/</t>
        </is>
      </c>
      <c r="G32" s="2" t="inlineStr">
        <is>
          <t>02.10.2026</t>
        </is>
      </c>
    </row>
    <row r="33">
      <c r="A33" s="2" t="inlineStr">
        <is>
          <t>eFTI: stosowanie od 21.08.2024 i 21.08.2025, obowiązek dla organów, dobrowolne dla przewoźników</t>
        </is>
      </c>
      <c r="B33" s="2" t="inlineStr"/>
      <c r="C33" s="2" t="inlineStr"/>
      <c r="D33" s="2" t="inlineStr"/>
      <c r="E33" s="2" t="inlineStr">
        <is>
          <t>Komisja Europejska, strona o rozporządzeniu eFTI; sprawdzić tekst rozporządzenia</t>
        </is>
      </c>
      <c r="F33" s="2" t="inlineStr">
        <is>
          <t>https://transport.ec.europa.eu/transport-themes/logistics-and-multimodal-transport/efti-regulation_en</t>
        </is>
      </c>
      <c r="G33" s="2" t="inlineStr">
        <is>
          <t>02.10.2026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18" customWidth="1" min="3" max="3"/>
    <col width="18" customWidth="1" min="4" max="4"/>
    <col width="70" customWidth="1" min="5" max="5"/>
  </cols>
  <sheetData>
    <row r="1">
      <c r="A1" s="9" t="inlineStr">
        <is>
          <t>MODEL MARŻY: wersja podstawowa + premium (ZAŁOŻENIA edytowalne - żółte komórki; wynik to ilustracja, nie dowód)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0" t="inlineStr">
        <is>
          <t>WEJŚCIA</t>
        </is>
      </c>
      <c r="B3" s="2" t="n"/>
      <c r="C3" s="2" t="n"/>
      <c r="D3" s="2" t="n"/>
      <c r="E3" s="2" t="n"/>
    </row>
    <row r="4">
      <c r="A4" s="2" t="inlineStr">
        <is>
          <t>Udział wersji premium w sprzedaży (szt.)</t>
        </is>
      </c>
      <c r="B4" s="11" t="n">
        <v>0.1</v>
      </c>
      <c r="C4" s="2" t="inlineStr">
        <is>
          <t>zał. właściciela: &lt;10%</t>
        </is>
      </c>
      <c r="D4" s="2" t="n"/>
      <c r="E4" s="2" t="n"/>
    </row>
    <row r="5">
      <c r="A5" s="2" t="inlineStr">
        <is>
          <t>Koszt produkcji wersji premium (zł)</t>
        </is>
      </c>
      <c r="B5" s="11" t="n">
        <v>30000</v>
      </c>
      <c r="C5" s="2" t="inlineStr">
        <is>
          <t>zał. właściciela: ok. 30 tys. zł</t>
        </is>
      </c>
      <c r="D5" s="2" t="n"/>
      <c r="E5" s="2" t="n"/>
    </row>
    <row r="6">
      <c r="A6" s="2" t="inlineStr">
        <is>
          <t>Marża premium na cenie (zał.)</t>
        </is>
      </c>
      <c r="B6" s="11" t="n">
        <v>0.05</v>
      </c>
      <c r="C6" s="2" t="inlineStr">
        <is>
          <t>ZAŁOŻENIE do ustalenia (niższa niż podstawowa)</t>
        </is>
      </c>
      <c r="D6" s="2" t="n"/>
      <c r="E6" s="2" t="n"/>
    </row>
    <row r="7">
      <c r="A7" s="2" t="inlineStr">
        <is>
          <t>Rabat wolumenowy na pozycje rabatowalne</t>
        </is>
      </c>
      <c r="B7" s="11" t="n">
        <v>0.3</v>
      </c>
      <c r="C7" s="2" t="inlineStr">
        <is>
          <t>ZAŁOŻENIE bez źródła; test wrażliwości poniżej</t>
        </is>
      </c>
      <c r="D7" s="2" t="n"/>
      <c r="E7" s="2" t="n"/>
    </row>
    <row r="8">
      <c r="A8" s="2" t="inlineStr">
        <is>
          <t>Marża łączna docelowa (na przychodzie)</t>
        </is>
      </c>
      <c r="B8" s="11" t="n">
        <v>0.1</v>
      </c>
      <c r="C8" s="2" t="inlineStr">
        <is>
          <t>zał. właściciela: 10%</t>
        </is>
      </c>
      <c r="D8" s="2" t="n"/>
      <c r="E8" s="2" t="n"/>
    </row>
    <row r="9">
      <c r="A9" s="2" t="inlineStr">
        <is>
          <t>Cena wersji podstawowej (zł)</t>
        </is>
      </c>
      <c r="B9" s="11" t="n">
        <v>7500</v>
      </c>
      <c r="C9" s="2" t="inlineStr">
        <is>
          <t>wartość z wniosku</t>
        </is>
      </c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0" t="inlineStr">
        <is>
          <t>BOM wersji podstawowej (1 ToF + 1 EO)</t>
        </is>
      </c>
      <c r="B11" s="2" t="n"/>
      <c r="C11" s="2" t="n"/>
      <c r="D11" s="2" t="n"/>
      <c r="E11" s="2" t="n"/>
    </row>
    <row r="12">
      <c r="A12" s="8" t="inlineStr">
        <is>
          <t>Pozycja</t>
        </is>
      </c>
      <c r="B12" s="8" t="inlineStr">
        <is>
          <t>Cena katalogowa (zł netto)</t>
        </is>
      </c>
      <c r="C12" s="8" t="inlineStr">
        <is>
          <t>Rabatowalna? (1/0)</t>
        </is>
      </c>
      <c r="D12" s="8" t="inlineStr">
        <is>
          <t>Cena po rabacie</t>
        </is>
      </c>
      <c r="E12" s="8" t="inlineStr">
        <is>
          <t>Źródło / status</t>
        </is>
      </c>
    </row>
    <row r="13">
      <c r="A13" s="2" t="inlineStr">
        <is>
          <t>Kamera ToF (Orbbec Femto Bolt)</t>
        </is>
      </c>
      <c r="B13" s="2">
        <f>'4_Ceny_źródła'!D4</f>
        <v/>
      </c>
      <c r="C13" s="11" t="n">
        <v>1</v>
      </c>
      <c r="D13" s="2">
        <f>B13*(1-$B$7*C13)</f>
        <v/>
      </c>
      <c r="E13" s="2" t="inlineStr">
        <is>
          <t>arkusz 4</t>
        </is>
      </c>
    </row>
    <row r="14">
      <c r="A14" s="2" t="inlineStr">
        <is>
          <t>Kamera EO (Basler ace 2)</t>
        </is>
      </c>
      <c r="B14" s="2">
        <f>'4_Ceny_źródła'!D6</f>
        <v/>
      </c>
      <c r="C14" s="11" t="n">
        <v>1</v>
      </c>
      <c r="D14" s="2">
        <f>B14*(1-$B$7*C14)</f>
        <v/>
      </c>
      <c r="E14" s="2" t="inlineStr">
        <is>
          <t>arkusz 4</t>
        </is>
      </c>
    </row>
    <row r="15">
      <c r="A15" s="2" t="inlineStr">
        <is>
          <t>Radar mmWave</t>
        </is>
      </c>
      <c r="B15" s="2" t="n">
        <v>1000</v>
      </c>
      <c r="C15" s="11" t="n">
        <v>1</v>
      </c>
      <c r="D15" s="2">
        <f>B15*(1-$B$7*C15)</f>
        <v/>
      </c>
      <c r="E15" s="2" t="inlineStr">
        <is>
          <t>ZAŁOŻENIE (EVM TI ok. 0,7-1,0 tys. zł; waluta niepewna)</t>
        </is>
      </c>
    </row>
    <row r="16">
      <c r="A16" s="2" t="inlineStr">
        <is>
          <t>Jetson Orin Nano 8 GB moduł</t>
        </is>
      </c>
      <c r="B16" s="2">
        <f>'4_Ceny_źródła'!D7</f>
        <v/>
      </c>
      <c r="C16" s="11" t="n">
        <v>0</v>
      </c>
      <c r="D16" s="2">
        <f>B16*(1-$B$7*C16)</f>
        <v/>
      </c>
      <c r="E16" s="2" t="inlineStr">
        <is>
          <t>arkusz 4; cena 1KU+ jest już wolumenowa - bez dodatkowego rabatu</t>
        </is>
      </c>
    </row>
    <row r="17">
      <c r="A17" s="2" t="inlineStr">
        <is>
          <t>Obudowa IP66 + okablowanie + zasilanie/UPS</t>
        </is>
      </c>
      <c r="B17" s="2" t="n">
        <v>1500</v>
      </c>
      <c r="C17" s="11" t="n">
        <v>1</v>
      </c>
      <c r="D17" s="2">
        <f>B17*(1-$B$7*C17)</f>
        <v/>
      </c>
      <c r="E17" s="2" t="inlineStr">
        <is>
          <t>ZAŁOŻENIE (sama obudowa 190-410 zł wg arkusza 4)</t>
        </is>
      </c>
    </row>
    <row r="18">
      <c r="A18" s="2" t="inlineStr">
        <is>
          <t>Router LTE + GNSS (RUT956)</t>
        </is>
      </c>
      <c r="B18" s="2" t="n">
        <v>1250</v>
      </c>
      <c r="C18" s="11" t="n">
        <v>1</v>
      </c>
      <c r="D18" s="2">
        <f>B18*(1-$B$7*C18)</f>
        <v/>
      </c>
      <c r="E18" s="2" t="inlineStr">
        <is>
          <t>arkusz 4 (netto 1,17-1,33 tys. zł)</t>
        </is>
      </c>
    </row>
    <row r="19">
      <c r="A19" s="2" t="inlineStr">
        <is>
          <t>IMU i czujniki środowiskowe</t>
        </is>
      </c>
      <c r="B19" s="2" t="n">
        <v>1000</v>
      </c>
      <c r="C19" s="11" t="n">
        <v>1</v>
      </c>
      <c r="D19" s="2">
        <f>B19*(1-$B$7*C19)</f>
        <v/>
      </c>
      <c r="E19" s="2" t="inlineStr">
        <is>
          <t>ZAŁOŻENIE (IMU przemysłowe do ok. 2,8 tys. zł, MEMS znacznie taniej)</t>
        </is>
      </c>
    </row>
    <row r="20">
      <c r="A20" s="2" t="inlineStr">
        <is>
          <t>Dysk NVMe 1 TB (konsumencki)</t>
        </is>
      </c>
      <c r="B20" s="2" t="n">
        <v>430</v>
      </c>
      <c r="C20" s="11" t="n">
        <v>1</v>
      </c>
      <c r="D20" s="2">
        <f>B20*(1-$B$7*C20)</f>
        <v/>
      </c>
      <c r="E20" s="2" t="inlineStr">
        <is>
          <t>arkusz 4 (429-629 zł brutto)</t>
        </is>
      </c>
    </row>
    <row r="21">
      <c r="A21" s="10" t="inlineStr">
        <is>
          <t>SUMA BOM (wersja podstawowa)</t>
        </is>
      </c>
      <c r="B21" s="2">
        <f>SUM(B13:B20)</f>
        <v/>
      </c>
      <c r="C21" s="2" t="n"/>
      <c r="D21" s="2">
        <f>SUM(D13:D20)</f>
        <v/>
      </c>
      <c r="E21" s="2" t="n"/>
    </row>
    <row r="22">
      <c r="A22" s="2" t="n"/>
      <c r="B22" s="2" t="n"/>
      <c r="C22" s="2" t="n"/>
      <c r="D22" s="2" t="n"/>
      <c r="E22" s="2" t="n"/>
    </row>
    <row r="23">
      <c r="A23" s="10" t="inlineStr">
        <is>
          <t>WYNIKI</t>
        </is>
      </c>
      <c r="B23" s="2" t="n"/>
      <c r="C23" s="2" t="n"/>
      <c r="D23" s="2" t="n"/>
      <c r="E23" s="2" t="n"/>
    </row>
    <row r="24">
      <c r="A24" s="2" t="inlineStr">
        <is>
          <t>Koszt serii wersji podstawowej po rabacie (zł)</t>
        </is>
      </c>
      <c r="B24" s="2">
        <f>D21</f>
        <v/>
      </c>
      <c r="C24" s="2" t="n"/>
      <c r="D24" s="2" t="n"/>
      <c r="E24" s="2" t="n"/>
    </row>
    <row r="25">
      <c r="A25" s="2" t="inlineStr">
        <is>
          <t>Koszt całkowity na 100 szt. (zł)</t>
        </is>
      </c>
      <c r="B25" s="2">
        <f>100*B4*B5+100*(1-B4)*B24</f>
        <v/>
      </c>
      <c r="C25" s="2" t="n"/>
      <c r="D25" s="2" t="n"/>
      <c r="E25" s="2" t="n"/>
    </row>
    <row r="26">
      <c r="A26" s="2" t="inlineStr">
        <is>
          <t>Wymagany przychód na 100 szt. dla marży łącznej (zł)</t>
        </is>
      </c>
      <c r="B26" s="2">
        <f>B25/(1-B8)</f>
        <v/>
      </c>
      <c r="C26" s="2" t="n"/>
      <c r="D26" s="2" t="n"/>
      <c r="E26" s="2" t="n"/>
    </row>
    <row r="27">
      <c r="A27" s="2" t="inlineStr">
        <is>
          <t>Cena premium wynikająca z marży premium (zł)</t>
        </is>
      </c>
      <c r="B27" s="2">
        <f>B5/(1-B6)</f>
        <v/>
      </c>
      <c r="C27" s="2" t="n"/>
      <c r="D27" s="2" t="n"/>
      <c r="E27" s="2" t="n"/>
    </row>
    <row r="28">
      <c r="A28" s="2" t="inlineStr">
        <is>
          <t>Wymagana cena wersji podstawowej (zł)</t>
        </is>
      </c>
      <c r="B28" s="2">
        <f>(B26-100*B4*B27)/(100*(1-B4))</f>
        <v/>
      </c>
      <c r="C28" s="2" t="n"/>
      <c r="D28" s="2" t="n"/>
      <c r="E28" s="2" t="n"/>
    </row>
    <row r="29">
      <c r="A29" s="2" t="inlineStr">
        <is>
          <t>Marża wersji podstawowej przy cenie z wniosku (na cenie)</t>
        </is>
      </c>
      <c r="B29" s="2">
        <f>(B9-B24)/B9</f>
        <v/>
      </c>
      <c r="C29" s="2" t="n"/>
      <c r="D29" s="2" t="n"/>
      <c r="E29" s="2" t="n"/>
    </row>
    <row r="30">
      <c r="A30" s="2" t="inlineStr">
        <is>
          <t>Marża łączna przy cenie podstawowej z wniosku</t>
        </is>
      </c>
      <c r="B30" s="2">
        <f>(100*B4*B27+100*(1-B4)*B9-B25)/(100*B4*B27+100*(1-B4)*B9)</f>
        <v/>
      </c>
      <c r="C30" s="2" t="n"/>
      <c r="D30" s="2" t="n"/>
      <c r="E30" s="2" t="n"/>
    </row>
    <row r="31">
      <c r="A31" s="2" t="inlineStr">
        <is>
          <t>Maks. koszt serii wersji podstawowej, przy którym cena z wniosku daje marżę łączną docelową (zł)</t>
        </is>
      </c>
      <c r="B31" s="2">
        <f>((100*B4*B27+100*(1-B4)*B9)*(1-B8)-100*B4*B5)/(100*(1-B4))</f>
        <v/>
      </c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10" t="inlineStr">
        <is>
          <t>WRAŻLIWOŚĆ: wymagana cena wersji podstawowej (zł) przy marży łącznej 10% i różnym rabacie</t>
        </is>
      </c>
      <c r="B34" s="2" t="n"/>
      <c r="C34" s="2" t="n"/>
      <c r="D34" s="2" t="n"/>
      <c r="E34" s="2" t="n"/>
    </row>
    <row r="35">
      <c r="A35" s="2" t="inlineStr">
        <is>
          <t>Rabat wolumenowy</t>
        </is>
      </c>
      <c r="B35" s="2" t="inlineStr">
        <is>
          <t>Koszt serii podst. (zł)</t>
        </is>
      </c>
      <c r="C35" s="2" t="inlineStr">
        <is>
          <t>Wymagana cena podst. (zł)</t>
        </is>
      </c>
      <c r="D35" s="2" t="n"/>
      <c r="E35" s="2" t="n"/>
    </row>
    <row r="36">
      <c r="A36" s="2" t="n">
        <v>0</v>
      </c>
      <c r="B36" s="2">
        <f>SUMPRODUCT(B13:B20,1-A36*C13:C20)</f>
        <v/>
      </c>
      <c r="C36" s="2">
        <f>((100*$B$4*$B$5+100*(1-$B$4)*B36)/(1-$B$8)-100*$B$4*$B$27)/(100*(1-$B$4))</f>
        <v/>
      </c>
      <c r="D36" s="2" t="n"/>
      <c r="E36" s="2" t="n"/>
    </row>
    <row r="37">
      <c r="A37" s="2" t="n">
        <v>0.1</v>
      </c>
      <c r="B37" s="2">
        <f>SUMPRODUCT(B13:B20,1-A37*C13:C20)</f>
        <v/>
      </c>
      <c r="C37" s="2">
        <f>((100*$B$4*$B$5+100*(1-$B$4)*B37)/(1-$B$8)-100*$B$4*$B$27)/(100*(1-$B$4))</f>
        <v/>
      </c>
      <c r="D37" s="2" t="n"/>
      <c r="E37" s="2" t="n"/>
    </row>
    <row r="38">
      <c r="A38" s="2" t="n">
        <v>0.2</v>
      </c>
      <c r="B38" s="2">
        <f>SUMPRODUCT(B13:B20,1-A38*C13:C20)</f>
        <v/>
      </c>
      <c r="C38" s="2">
        <f>((100*$B$4*$B$5+100*(1-$B$4)*B38)/(1-$B$8)-100*$B$4*$B$27)/(100*(1-$B$4))</f>
        <v/>
      </c>
      <c r="D38" s="2" t="n"/>
      <c r="E38" s="2" t="n"/>
    </row>
    <row r="39">
      <c r="A39" s="2" t="n">
        <v>0.3</v>
      </c>
      <c r="B39" s="2">
        <f>SUMPRODUCT(B13:B20,1-A39*C13:C20)</f>
        <v/>
      </c>
      <c r="C39" s="2">
        <f>((100*$B$4*$B$5+100*(1-$B$4)*B39)/(1-$B$8)-100*$B$4*$B$27)/(100*(1-$B$4))</f>
        <v/>
      </c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inlineStr">
        <is>
          <t>Uwaga: dodatkowo trzeba doliczyć koszt montażu/instalacji i wsparcia (K2-06 pyta o uwzględnienie kosztów montażu, integracji, utrzymania). Model nie zawiera tych kosztów.</t>
        </is>
      </c>
      <c r="B41" s="2" t="n"/>
      <c r="C41" s="2" t="n"/>
      <c r="D41" s="2" t="n"/>
      <c r="E41" s="2" t="n"/>
    </row>
    <row r="44">
      <c r="A44" s="10" t="inlineStr">
        <is>
          <t>WARTOŚCI KONTROLNE (przeliczone poza Excelem, kursy NBP 17.09.2026, domyślne założenia; Excel przeliczy formuły sam)</t>
        </is>
      </c>
    </row>
    <row r="45">
      <c r="A45" s="2" t="inlineStr">
        <is>
          <t>Rabat 0%: koszt serii podst. 10 215 zł; wymagana cena podst. ok. 11 545 zł; marża podst. przy 7 500 zł: -36%</t>
        </is>
      </c>
    </row>
    <row r="46">
      <c r="A46" s="2" t="inlineStr">
        <is>
          <t>Rabat 10%: koszt 9 345 zł; wymagana cena ok. 10 579 zł</t>
        </is>
      </c>
    </row>
    <row r="47">
      <c r="A47" s="2" t="inlineStr">
        <is>
          <t>Rabat 20%: koszt 8 476 zł; wymagana cena ok. 9 612 zł</t>
        </is>
      </c>
    </row>
    <row r="48">
      <c r="A48" s="2" t="inlineStr">
        <is>
          <t>Rabat 30%: koszt 7 606 zł; wymagana cena ok. 8 646 zł; marża podst. przy 7 500 zł: -1,4%; marża łączna: +0,6%</t>
        </is>
      </c>
    </row>
    <row r="49">
      <c r="A49" s="2" t="inlineStr">
        <is>
          <t>Maksymalny koszt serii wersji podstawowej, przy którym cena 7 500 zł daje 10% marży łącznej: ok. 6 575 zł (niezależnie od rabatu)</t>
        </is>
      </c>
    </row>
    <row r="50">
      <c r="A50" s="2" t="inlineStr">
        <is>
          <t>Rabat nie obejmuje modułu Jetson (cena 1KU+ jest już wolumenowa). Konfiguracja 3 kamery ToF: koszt serii ok. 9 094 zł przy rabacie 30%.</t>
        </is>
      </c>
    </row>
    <row r="51">
      <c r="A5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0" customWidth="1" min="3" max="3"/>
    <col width="50" customWidth="1" min="4" max="4"/>
  </cols>
  <sheetData>
    <row r="1">
      <c r="A1" s="3" t="inlineStr">
        <is>
          <t>Lp.</t>
        </is>
      </c>
      <c r="B1" s="3" t="inlineStr">
        <is>
          <t>Klauzula</t>
        </is>
      </c>
      <c r="C1" s="3" t="inlineStr">
        <is>
          <t>Treść / zakres</t>
        </is>
      </c>
      <c r="D1" s="3" t="inlineStr">
        <is>
          <t>Po co (uwaga eksperta)</t>
        </is>
      </c>
    </row>
    <row r="2">
      <c r="A2" s="4" t="inlineStr">
        <is>
          <t>1</t>
        </is>
      </c>
      <c r="B2" s="4" t="inlineStr">
        <is>
          <t>Strony i przedmiot</t>
        </is>
      </c>
      <c r="C2" s="4" t="inlineStr">
        <is>
          <t>Najem/leasing zestawów (ciągnik siodłowy + naczepa) na rzecz Everest11; opis typu zabudowy (furgon/izoterma/kurtyna) zgodnego z konfiguracją CargoDT.</t>
        </is>
      </c>
      <c r="D2" s="4" t="inlineStr">
        <is>
          <t>Odpowiada na pytanie eksperta, co dokładnie Everest11 posiada.</t>
        </is>
      </c>
    </row>
    <row r="3">
      <c r="A3" s="4" t="inlineStr">
        <is>
          <t>2</t>
        </is>
      </c>
      <c r="B3" s="4" t="inlineStr">
        <is>
          <t>Liczba i harmonogram pojazdów</t>
        </is>
      </c>
      <c r="C3" s="4" t="inlineStr">
        <is>
          <t>Stan wyjściowy 5 zestawów; zobowiązanie do zwiększania do 20 wg harmonogramu (np. liczba na koniec każdego kwartału) do 30.04.2029; mechanizm potwierdzania (protokoły przekazania).</t>
        </is>
      </c>
      <c r="D3" s="4" t="inlineStr">
        <is>
          <t>Zamienia deklarację "będzie 20" w zobowiązanie umowne.</t>
        </is>
      </c>
    </row>
    <row r="4">
      <c r="A4" s="4" t="inlineStr">
        <is>
          <t>3</t>
        </is>
      </c>
      <c r="B4" s="4" t="inlineStr">
        <is>
          <t>Okres obowiązywania</t>
        </is>
      </c>
      <c r="C4" s="4" t="inlineStr">
        <is>
          <t>Co najmniej do 31.12.2031 (obejmuje start sprzedaży 01/2030 i okres prognozy), z opcją przedłużenia.</t>
        </is>
      </c>
      <c r="D4" s="4" t="inlineStr">
        <is>
          <t>Spójne z modelem finansowym i datą wdrożenia.</t>
        </is>
      </c>
    </row>
    <row r="5">
      <c r="A5" s="4" t="inlineStr">
        <is>
          <t>4</t>
        </is>
      </c>
      <c r="B5" s="4" t="inlineStr">
        <is>
          <t>Zgoda wynajmującego na montaż</t>
        </is>
      </c>
      <c r="C5" s="4" t="inlineStr">
        <is>
          <t>Prawo do montażu, serwisu i demontażu urządzeń CargoDT, zakres ingerencji (zasilanie, otwory, uchwyty), przywrócenie stanu po zwrocie.</t>
        </is>
      </c>
      <c r="D5" s="4" t="inlineStr">
        <is>
          <t>Bez tego montaż w pojazdach w najmie jest ryzykiem.</t>
        </is>
      </c>
    </row>
    <row r="6">
      <c r="A6" s="4" t="inlineStr">
        <is>
          <t>5</t>
        </is>
      </c>
      <c r="B6" s="4" t="inlineStr">
        <is>
          <t>Dane i wizerunek</t>
        </is>
      </c>
      <c r="C6" s="4" t="inlineStr">
        <is>
          <t>Zgoda na rejestrację obrazu wnętrza i danych z pojazdu, zasady RODO (anonimizacja obrazu, DPIA), własność i dostęp do danych.</t>
        </is>
      </c>
      <c r="D6" s="4" t="inlineStr">
        <is>
          <t>K3-25, K5-13.</t>
        </is>
      </c>
    </row>
    <row r="7">
      <c r="A7" s="4" t="inlineStr">
        <is>
          <t>6</t>
        </is>
      </c>
      <c r="B7" s="4" t="inlineStr">
        <is>
          <t>Użytkowanie i odpowiedzialność</t>
        </is>
      </c>
      <c r="C7" s="4" t="inlineStr">
        <is>
          <t>Ubezpieczenie na czas montażu, odpowiedzialność za szkody, brak ograniczeń eksploatacji.</t>
        </is>
      </c>
      <c r="D7" s="4" t="inlineStr">
        <is>
          <t>Zabezpiecza ciągłość pracy floty.</t>
        </is>
      </c>
    </row>
    <row r="8">
      <c r="A8" s="4" t="inlineStr">
        <is>
          <t>7</t>
        </is>
      </c>
      <c r="B8" s="4" t="inlineStr">
        <is>
          <t>Wyłączność / pierwszeństwo</t>
        </is>
      </c>
      <c r="C8" s="4" t="inlineStr">
        <is>
          <t>Opcjonalnie: pierwszeństwo rozszerzania floty u tego samego wynajmującego.</t>
        </is>
      </c>
      <c r="D8" s="4" t="inlineStr">
        <is>
          <t>Wzmacnia wiarygodność przyrostu.</t>
        </is>
      </c>
    </row>
    <row r="9">
      <c r="A9" s="4" t="inlineStr">
        <is>
          <t>8</t>
        </is>
      </c>
      <c r="B9" s="4" t="inlineStr">
        <is>
          <t>Rozdzielenie od kosztów projektu</t>
        </is>
      </c>
      <c r="C9" s="4" t="inlineStr">
        <is>
          <t>Najem nie jest kosztem kwalifikowalnym projektu; nie jest rozpoczęciem realizacji projektu (Instrukcja pkt 1.1).</t>
        </is>
      </c>
      <c r="D9" s="4" t="inlineStr">
        <is>
          <t>Unika zarzutu naruszenia efektu zachęty.</t>
        </is>
      </c>
    </row>
    <row r="10">
      <c r="A10" s="4" t="inlineStr">
        <is>
          <t>9</t>
        </is>
      </c>
      <c r="B10" s="4" t="inlineStr">
        <is>
          <t>Termin i forma</t>
        </is>
      </c>
      <c r="C10" s="4" t="inlineStr">
        <is>
          <t>Aneks podpisany przed wysłaniem poprawionego wniosku; wniosek opisuje treść bez załączania umów.</t>
        </is>
      </c>
      <c r="D10" s="4" t="inlineStr">
        <is>
          <t>Decyzja właściciela (D10).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  <col width="22" customWidth="1" min="3" max="3"/>
    <col width="26" customWidth="1" min="4" max="4"/>
    <col width="12" customWidth="1" min="5" max="5"/>
  </cols>
  <sheetData>
    <row r="1">
      <c r="A1" s="3" t="inlineStr">
        <is>
          <t>ID</t>
        </is>
      </c>
      <c r="B1" s="3" t="inlineStr">
        <is>
          <t>Kontrola</t>
        </is>
      </c>
      <c r="C1" s="3" t="inlineStr">
        <is>
          <t>Kto</t>
        </is>
      </c>
      <c r="D1" s="3" t="inlineStr">
        <is>
          <t>Kiedy</t>
        </is>
      </c>
      <c r="E1" s="3" t="inlineStr">
        <is>
          <t>Status</t>
        </is>
      </c>
    </row>
    <row r="2">
      <c r="A2" s="4" t="inlineStr">
        <is>
          <t>C01</t>
        </is>
      </c>
      <c r="B2" s="4" t="inlineStr">
        <is>
          <t>Spójność parametrów: AUC, błąd pozycji, 50 zdarzeń, liczba kursów, ceny, daty, formy zatrudnienia - wyszukiwanie we WSZYSTKICH polach wniosku wersji docelowej</t>
        </is>
      </c>
      <c r="C2" s="4" t="inlineStr">
        <is>
          <t>Claude</t>
        </is>
      </c>
      <c r="D2" s="4" t="inlineStr">
        <is>
          <t>po każdym pakiecie i na końcu</t>
        </is>
      </c>
      <c r="E2" s="4" t="inlineStr">
        <is>
          <t>OTWARTE</t>
        </is>
      </c>
    </row>
    <row r="3">
      <c r="A3" s="4" t="inlineStr">
        <is>
          <t>C02</t>
        </is>
      </c>
      <c r="B3" s="4" t="inlineStr">
        <is>
          <t>Budżet: dofinansowanie &lt;= 3 998 262,02 zł; Everest11 &lt;= 2 964 296,12 zł; PRz &lt;= 1 033 965,90 zł (po każdej zmianie, z ryczałtem 25%)</t>
        </is>
      </c>
      <c r="C3" s="4" t="inlineStr">
        <is>
          <t>Claude</t>
        </is>
      </c>
      <c r="D3" s="4" t="inlineStr">
        <is>
          <t>po każdej zmianie kosztów</t>
        </is>
      </c>
      <c r="E3" s="4" t="inlineStr">
        <is>
          <t>05.10: sumy bez zmian (Z8 113 084,00; PRz osobowe 679 472,72; konsorcjum 3 998 262,02); kontrola końcowa po ostatnich zmianach OTWARTA</t>
        </is>
      </c>
    </row>
    <row r="4">
      <c r="A4" s="4" t="inlineStr">
        <is>
          <t>C03</t>
        </is>
      </c>
      <c r="B4" s="4" t="inlineStr">
        <is>
          <t>Koszty pośrednie = 25% x (personel + amortyzacja + WNiP + dostawy + usługi operacyjne), bez podwykonawstwa</t>
        </is>
      </c>
      <c r="C4" s="4" t="inlineStr">
        <is>
          <t>Claude</t>
        </is>
      </c>
      <c r="D4" s="4" t="inlineStr">
        <is>
          <t>na końcu</t>
        </is>
      </c>
      <c r="E4" s="4" t="inlineStr">
        <is>
          <t>OTWARTE</t>
        </is>
      </c>
    </row>
    <row r="5">
      <c r="A5" s="4" t="inlineStr">
        <is>
          <t>C04</t>
        </is>
      </c>
      <c r="B5" s="4" t="inlineStr">
        <is>
          <t>Limit 276 h/mies. dla każdej osoby (wymaga danych o innych zaangażowaniach)</t>
        </is>
      </c>
      <c r="C5" s="4" t="inlineStr">
        <is>
          <t>Właściciel + Claude</t>
        </is>
      </c>
      <c r="D5" s="4" t="inlineStr">
        <is>
          <t>05.10</t>
        </is>
      </c>
      <c r="E5" s="4" t="inlineStr">
        <is>
          <t>OTWARTE</t>
        </is>
      </c>
    </row>
    <row r="6">
      <c r="A6" s="4" t="inlineStr">
        <is>
          <t>C05</t>
        </is>
      </c>
      <c r="B6" s="4" t="inlineStr">
        <is>
          <t>Zasada 1 zadanie = 1 konsorcjant; brak wspólnej puli sprzętu PRz i Everest11</t>
        </is>
      </c>
      <c r="C6" s="4" t="inlineStr">
        <is>
          <t>Claude</t>
        </is>
      </c>
      <c r="D6" s="4" t="inlineStr">
        <is>
          <t>na końcu</t>
        </is>
      </c>
      <c r="E6" s="4" t="inlineStr">
        <is>
          <t>OTWARTE</t>
        </is>
      </c>
    </row>
    <row r="7">
      <c r="A7" s="4" t="inlineStr">
        <is>
          <t>C06</t>
        </is>
      </c>
      <c r="B7" s="4" t="inlineStr">
        <is>
          <t>Każde zadanie ma 1 KM: parametry w SI, sposób weryfikacji, wpływ nieosiągnięcia, no-go</t>
        </is>
      </c>
      <c r="C7" s="4" t="inlineStr">
        <is>
          <t>Claude</t>
        </is>
      </c>
      <c r="D7" s="4" t="inlineStr">
        <is>
          <t>po WP02</t>
        </is>
      </c>
      <c r="E7" s="4" t="inlineStr">
        <is>
          <t>OTWARTE</t>
        </is>
      </c>
    </row>
    <row r="8">
      <c r="A8" s="4" t="inlineStr">
        <is>
          <t>C07</t>
        </is>
      </c>
      <c r="B8" s="4" t="inlineStr">
        <is>
          <t>Limity znaków pól LSI (Instrukcja wniosku) - liczba znaków przy każdym tekście</t>
        </is>
      </c>
      <c r="C8" s="4" t="inlineStr">
        <is>
          <t>Claude</t>
        </is>
      </c>
      <c r="D8" s="4" t="inlineStr">
        <is>
          <t>przy każdym tekście</t>
        </is>
      </c>
      <c r="E8" s="4" t="inlineStr">
        <is>
          <t>OTWARTE</t>
        </is>
      </c>
    </row>
    <row r="9">
      <c r="A9" s="4" t="inlineStr">
        <is>
          <t>C08</t>
        </is>
      </c>
      <c r="B9" s="4" t="inlineStr">
        <is>
          <t>Nazwy stanowisk spójne w 6.1 i 3.1.2; daty zadań w M-numeracji (np. Z6 M19-M27, Z9 M22-M30)</t>
        </is>
      </c>
      <c r="C9" s="4" t="inlineStr">
        <is>
          <t>Claude</t>
        </is>
      </c>
      <c r="D9" s="4" t="inlineStr">
        <is>
          <t>po WP06</t>
        </is>
      </c>
      <c r="E9" s="4" t="inlineStr">
        <is>
          <t>OTWARTE</t>
        </is>
      </c>
    </row>
    <row r="10">
      <c r="A10" s="4" t="inlineStr">
        <is>
          <t>C09</t>
        </is>
      </c>
      <c r="B10" s="4" t="inlineStr">
        <is>
          <t>Macierz pokrycia: każde podżądanie uwagi -&gt; pole -&gt; fragment tekstu (puste = uwaga umknęła)</t>
        </is>
      </c>
      <c r="C10" s="4" t="inlineStr">
        <is>
          <t>Claude</t>
        </is>
      </c>
      <c r="D10" s="4" t="inlineStr">
        <is>
          <t>na końcu</t>
        </is>
      </c>
      <c r="E10" s="4" t="inlineStr">
        <is>
          <t>OTWARTE</t>
        </is>
      </c>
    </row>
    <row r="11">
      <c r="A11" s="4" t="inlineStr">
        <is>
          <t>C10</t>
        </is>
      </c>
      <c r="B11" s="4" t="inlineStr">
        <is>
          <t>Różnice wersja docelowa vs oryginał: każda zmiana ma uzasadnienie (ID uwagi lub skutek uboczny)</t>
        </is>
      </c>
      <c r="C11" s="4" t="inlineStr">
        <is>
          <t>Claude</t>
        </is>
      </c>
      <c r="D11" s="4" t="inlineStr">
        <is>
          <t>na końcu</t>
        </is>
      </c>
      <c r="E11" s="4" t="inlineStr">
        <is>
          <t>OTWARTE</t>
        </is>
      </c>
    </row>
    <row r="12">
      <c r="A12" s="4" t="inlineStr">
        <is>
          <t>C11</t>
        </is>
      </c>
      <c r="B12" s="4" t="inlineStr">
        <is>
          <t>Model finansowy (2 pliki xlsm) zgodny z LSI: ceny, daty, wolumeny, komentarze (np. "18 miesięcy" w Założeniach powinno być 30)</t>
        </is>
      </c>
      <c r="C12" s="4" t="inlineStr">
        <is>
          <t>Claude + właściciel</t>
        </is>
      </c>
      <c r="D12" s="4" t="inlineStr">
        <is>
          <t>05-06.10</t>
        </is>
      </c>
      <c r="E12" s="4" t="inlineStr">
        <is>
          <t>W TOKU: model Everest11 zaktualizowany 05.10 (dane II kw., komentarze, harmonogram), przeliczony kontrolnie; pozostaje wklejenie do LSI i model PRz (T47)</t>
        </is>
      </c>
    </row>
    <row r="13">
      <c r="A13" s="4" t="inlineStr">
        <is>
          <t>C12</t>
        </is>
      </c>
      <c r="B13" s="4" t="inlineStr">
        <is>
          <t>Cena 7 500 / 349 / 4 800 zł i wskaźnik "koszt wdrożenia" spójne po decyzji o modelu marży (D11)</t>
        </is>
      </c>
      <c r="C13" s="4" t="inlineStr">
        <is>
          <t>Claude</t>
        </is>
      </c>
      <c r="D13" s="4" t="inlineStr">
        <is>
          <t>po D11</t>
        </is>
      </c>
      <c r="E13" s="4" t="inlineStr">
        <is>
          <t>OTWARTE</t>
        </is>
      </c>
    </row>
    <row r="14">
      <c r="A14" s="4" t="inlineStr">
        <is>
          <t>C13</t>
        </is>
      </c>
      <c r="B14" s="4" t="inlineStr">
        <is>
          <t>Kontrola adwersarska: czytanie gotowego tekstu każdego kryterium z perspektywy eksperta (bez notatek)</t>
        </is>
      </c>
      <c r="C14" s="4" t="inlineStr">
        <is>
          <t>Claude</t>
        </is>
      </c>
      <c r="D14" s="4" t="inlineStr">
        <is>
          <t>06.10</t>
        </is>
      </c>
      <c r="E14" s="4" t="inlineStr">
        <is>
          <t>OTWARTE</t>
        </is>
      </c>
    </row>
    <row r="15">
      <c r="A15" s="4" t="inlineStr">
        <is>
          <t>C14</t>
        </is>
      </c>
      <c r="B15" s="4" t="inlineStr">
        <is>
          <t>Jeśli dodajemy de minimis (misja): dokumenty (formularz, pomoc z 3 lat) i brak przekroczenia 300 tys. EUR</t>
        </is>
      </c>
      <c r="C15" s="4" t="inlineStr">
        <is>
          <t>Właściciel</t>
        </is>
      </c>
      <c r="D15" s="4" t="inlineStr">
        <is>
          <t>05.10</t>
        </is>
      </c>
      <c r="E15" s="4" t="inlineStr">
        <is>
          <t>OTWARTE</t>
        </is>
      </c>
    </row>
    <row r="16">
      <c r="A16" s="4" t="inlineStr">
        <is>
          <t>C15</t>
        </is>
      </c>
      <c r="B16" s="4" t="inlineStr">
        <is>
          <t>Harmonogram płatności (arkusze Zaliczka-refundacja): pierwsza zaliczka co najmniej 5%, transza nie więcej niż 40%, suma zaliczek nie więcej niż 90% dofinansowania</t>
        </is>
      </c>
      <c r="C16" s="4" t="inlineStr">
        <is>
          <t>Claude</t>
        </is>
      </c>
      <c r="D16" s="4" t="inlineStr">
        <is>
          <t>po każdej zmianie kosztów</t>
        </is>
      </c>
      <c r="E16" s="4" t="inlineStr">
        <is>
          <t>ZROBIONE 05.10 dla Everest11 (89,5%) i konsorcjum (89,63%); PRz 90,0% (T47)</t>
        </is>
      </c>
    </row>
    <row r="17">
      <c r="A17" s="4" t="inlineStr">
        <is>
          <t>C16</t>
        </is>
      </c>
      <c r="B17" s="4" t="inlineStr">
        <is>
          <t>Zgodność wniosku (wersja C) z modelem: sumy pozycji, Z6/Z7/Z9 wg D30, Z8 = 113 084,00 zł, wkład własny, limity zaliczek</t>
        </is>
      </c>
      <c r="C17" s="4" t="inlineStr">
        <is>
          <t>Claude</t>
        </is>
      </c>
      <c r="D17" s="4" t="inlineStr">
        <is>
          <t>po każdej zmianie budżetu w LSI</t>
        </is>
      </c>
      <c r="E17" s="4" t="inlineStr">
        <is>
          <t>ZROBIONE 05.10: sumy 5 285 591,00 / 5 170 682,22 / 3 998 262,01 zgodne; w modelu poprawione 18 komórek (F, H, I), limity K6-14 spełnione (89,50% i 89,63%); poprawiony komentarz Opłacalność - Konsorcjum (3 998 262 zł, PRz 1 033 966 zł).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  <col width="50" customWidth="1" min="3" max="3"/>
  </cols>
  <sheetData>
    <row r="1">
      <c r="A1" s="3" t="inlineStr">
        <is>
          <t>ID</t>
        </is>
      </c>
      <c r="B1" s="3" t="inlineStr">
        <is>
          <t>Co było błędne / niepewne</t>
        </is>
      </c>
      <c r="C1" s="3" t="inlineStr">
        <is>
          <t>Status korekty</t>
        </is>
      </c>
    </row>
    <row r="2">
      <c r="A2" s="4" t="inlineStr">
        <is>
          <t>E01</t>
        </is>
      </c>
      <c r="B2" s="4" t="inlineStr">
        <is>
          <t>K3-65 (podróże na TRANSLOG): wcześniej uznałam, że art. 19 ich nie obejmuje; Przewodnik 5.3.3 mówi, że podróże na targi to art. 19 (MŚP), a de minimis dotyczy misji (5.3.4). Zapis w Przewodniku jest dwuznaczny.</t>
        </is>
      </c>
      <c r="C2" s="4" t="inlineStr">
        <is>
          <t>Poprawione; potwierdzić w helpdesku NCBR.</t>
        </is>
      </c>
    </row>
    <row r="3">
      <c r="A3" s="4" t="inlineStr">
        <is>
          <t>E02</t>
        </is>
      </c>
      <c r="B3" s="4" t="inlineStr">
        <is>
          <t>K3-08: oszczędność po skróceniu Backendu do 9 mies. wynosi ok. 48,8 tys. zł (z ryczałtem 25%), a nie 39 tys. zł.</t>
        </is>
      </c>
      <c r="C3" s="4" t="inlineStr">
        <is>
          <t>Poprawione; D07 zmienia podejście (podział Z6/Z9).</t>
        </is>
      </c>
    </row>
    <row r="4">
      <c r="A4" s="4" t="inlineStr">
        <is>
          <t>E03</t>
        </is>
      </c>
      <c r="B4" s="4" t="inlineStr">
        <is>
          <t>Punkt K3 za &gt;50% prac rozwojowych: wcześniej sugerowałam przesunięcie; praca rozwojowa to 38,6% kosztów B+R, przesunięcie jest nierealne.</t>
        </is>
      </c>
      <c r="C4" s="4" t="inlineStr">
        <is>
          <t>Wycofane.</t>
        </is>
      </c>
    </row>
    <row r="5">
      <c r="A5" s="4" t="inlineStr">
        <is>
          <t>E04</t>
        </is>
      </c>
      <c r="B5" s="4" t="inlineStr">
        <is>
          <t>Cena ToF "typ 2": 12 000 i 10 000 zł wyższe niż ceny katalogowe kamer (6,9-7,9 tys. zł).</t>
        </is>
      </c>
      <c r="C5" s="4" t="inlineStr">
        <is>
          <t>Do rozstrzygnięcia przez opis "zestaw" (D12).</t>
        </is>
      </c>
    </row>
    <row r="6">
      <c r="A6" s="4" t="inlineStr">
        <is>
          <t>E05</t>
        </is>
      </c>
      <c r="B6" s="4" t="inlineStr">
        <is>
          <t>OAK-D Pro W podany jako "ToF" jest active stereo.</t>
        </is>
      </c>
      <c r="C6" s="4" t="inlineStr">
        <is>
          <t>Do rozstrzygnięcia w D06.</t>
        </is>
      </c>
    </row>
    <row r="7">
      <c r="A7" s="4" t="inlineStr">
        <is>
          <t>E06</t>
        </is>
      </c>
      <c r="B7" s="4" t="inlineStr">
        <is>
          <t>Cena radaru TI z Mouser CA: waluta niepewna (może być CAD).</t>
        </is>
      </c>
      <c r="C7" s="4" t="inlineStr">
        <is>
          <t>Oznaczone jako ZAŁOŻENIE.</t>
        </is>
      </c>
    </row>
    <row r="8">
      <c r="A8" s="4" t="inlineStr">
        <is>
          <t>E07</t>
        </is>
      </c>
      <c r="B8" s="4" t="inlineStr">
        <is>
          <t>Liczba naczep 2023 (544,97 tys.) pochodzi ze źródła wtórnego; 567 800 (2024) niepotwierdzone.</t>
        </is>
      </c>
      <c r="C8" s="4" t="inlineStr">
        <is>
          <t>Właściciel pobiera wartość z Eurostat (T05).</t>
        </is>
      </c>
    </row>
    <row r="9">
      <c r="A9" s="4" t="inlineStr">
        <is>
          <t>E08</t>
        </is>
      </c>
      <c r="B9" s="4" t="inlineStr">
        <is>
          <t>Rejestr: decyzja "PRz ocenia Z9 w pełnym zakresie" koliduje z zasadą 1 zadanie = 1 konsorcjant i uwagą 12.</t>
        </is>
      </c>
      <c r="C9" s="4" t="inlineStr">
        <is>
          <t>Zastąpiona przez D05.</t>
        </is>
      </c>
    </row>
    <row r="10">
      <c r="A10" s="4" t="inlineStr">
        <is>
          <t>E09</t>
        </is>
      </c>
      <c r="B10" s="4" t="inlineStr">
        <is>
          <t>Edge AI: klasa dysku NVMe może zmienić koszt kompletu o ok. 3,8 tys. zł; mój pomysł "dysk konsumencki w ogrzewanej obudowie" wymaga potwierdzenia technicznego.</t>
        </is>
      </c>
      <c r="C10" s="4" t="inlineStr">
        <is>
          <t>T01.</t>
        </is>
      </c>
    </row>
    <row r="11">
      <c r="A11" s="4" t="inlineStr">
        <is>
          <t>E10</t>
        </is>
      </c>
      <c r="B11" s="4" t="inlineStr">
        <is>
          <t>Zbyt wiele wątków naraz w odpowiedziach (uwaga właściciela). Zasada 3 w arkuszu 0.</t>
        </is>
      </c>
      <c r="C11" s="4" t="inlineStr">
        <is>
          <t>Wdrożone.</t>
        </is>
      </c>
    </row>
    <row r="12">
      <c r="A12" s="2" t="inlineStr">
        <is>
          <t>E11</t>
        </is>
      </c>
      <c r="B12" s="2" t="inlineStr">
        <is>
          <t>W poprzedniej wiadomości tabela marży stosowała rabat 30% także do modułu Jetson, którego cena 1KU+ jest już wolumenowa; wynik był zbyt optymistyczny (koszt serii 7,1 tys. zł zamiast 7,6 tys. zł; cena dla 10% marży ok. 8,6 tys. zł zamiast 7,8-7,9 tys. zł).</t>
        </is>
      </c>
      <c r="C12" s="2" t="inlineStr">
        <is>
          <t>Poprawione w arkuszu 5.</t>
        </is>
      </c>
    </row>
    <row r="13">
      <c r="A13" s="2" t="inlineStr">
        <is>
          <t>E12</t>
        </is>
      </c>
      <c r="B13" s="2" t="inlineStr">
        <is>
          <t>Nazwy zadań w pierwszych wersjach dokumentu z opisami nie były nazwami z wniosku (Z2, Z5, Z6, Z7, Z8, Z9), a napisałam, że są.</t>
        </is>
      </c>
      <c r="C13" s="2" t="inlineStr">
        <is>
          <t>Poprawione: nazwy dokładnie z 3.1.1; Z6 zmieniona (D31).</t>
        </is>
      </c>
    </row>
    <row r="14">
      <c r="A14" s="2" t="inlineStr">
        <is>
          <t>E13</t>
        </is>
      </c>
      <c r="B14" s="2" t="inlineStr">
        <is>
          <t>Z6: całkowite wyłączenie integracji TMS, Trans.eu, TimoCom i e-CMR z B+R (zbyt rygorystyczna interpretacja; Przewodnik 3.3.1 i uwaga 38 dopuszczają czynności techniczne niezbędne do walidacji).</t>
        </is>
      </c>
      <c r="C14" s="2" t="inlineStr">
        <is>
          <t>Poprawione: integracje jako prace techniczne w środowisku testowym (D24).</t>
        </is>
      </c>
    </row>
    <row r="15">
      <c r="A15" s="2" t="inlineStr">
        <is>
          <t>E14</t>
        </is>
      </c>
      <c r="B15" s="2" t="inlineStr">
        <is>
          <t>N01/D31: napisałam, że zmiana nazwy Z6 wymaga zmian we wszystkich pozycjach budżetu. Nazwa wpisywana jest raz w 3.1.1.</t>
        </is>
      </c>
      <c r="C15" s="2" t="inlineStr">
        <is>
          <t>Poprawione.</t>
        </is>
      </c>
    </row>
    <row r="16">
      <c r="A16" s="2" t="inlineStr">
        <is>
          <t>E15</t>
        </is>
      </c>
      <c r="B16" s="2" t="inlineStr">
        <is>
          <t>Z6, opis: nadmiarowy nawias zamykający po edycji.</t>
        </is>
      </c>
      <c r="C16" s="2" t="inlineStr">
        <is>
          <t>Poprawione.</t>
        </is>
      </c>
    </row>
    <row r="17">
      <c r="A17" s="2" t="inlineStr">
        <is>
          <t>E16</t>
        </is>
      </c>
      <c r="B17" s="2" t="inlineStr">
        <is>
          <t>Z1: hipoteza H2 mówiła o błędzie pozycji, którego Z1 nie mierzy (mierzy RMSE głębi).</t>
        </is>
      </c>
      <c r="C17" s="2" t="inlineStr">
        <is>
          <t>Poprawione: błąd pozycji szacowany z RMSE głębi i geometrii.</t>
        </is>
      </c>
    </row>
    <row r="18">
      <c r="A18" s="2" t="inlineStr">
        <is>
          <t>E17</t>
        </is>
      </c>
      <c r="B18" s="2" t="inlineStr">
        <is>
          <t>Z7 i Z9: sprzeczność harmonogramu (Faza A od M22, a system z Z7 gotowy w M27).</t>
        </is>
      </c>
      <c r="C18" s="2" t="inlineStr">
        <is>
          <t>Poprawione: pierwsze egzemplarze platformy w M22, wersja finalna w M27; Faza A na modelach pośrednich.</t>
        </is>
      </c>
    </row>
    <row r="19">
      <c r="A19" s="2" t="inlineStr">
        <is>
          <t>E18</t>
        </is>
      </c>
      <c r="B19" s="2" t="inlineStr">
        <is>
          <t>Z5, opis: twierdzenie, że błąd pozycji będzie mierzony po kompresji w Z7 (Z7 mierzy opóźnienie, 5 Hz i degradację AUC/mAP).</t>
        </is>
      </c>
      <c r="C19" s="2" t="inlineStr">
        <is>
          <t>Poprawione.</t>
        </is>
      </c>
    </row>
    <row r="20">
      <c r="A20" s="2" t="inlineStr">
        <is>
          <t>E19</t>
        </is>
      </c>
      <c r="B20" s="2" t="inlineStr">
        <is>
          <t>Z7, opis: stwierdzenie, że modele z Z5 są w FP32 i się nie mieszczą.</t>
        </is>
      </c>
      <c r="C20" s="2" t="inlineStr">
        <is>
          <t>Poprawione: dotyczy modeli Z4 i Z8; Z5 to algorytmy nieuruchamiane dotąd na embedded.</t>
        </is>
      </c>
    </row>
    <row r="21">
      <c r="A21" s="2" t="inlineStr">
        <is>
          <t>E20</t>
        </is>
      </c>
      <c r="B21" s="2" t="inlineStr">
        <is>
          <t>Z9, opis: podwykonawca instaluje „finalne” zestawy, a Faza A instaluje pierwsze egzemplarze.</t>
        </is>
      </c>
      <c r="C21" s="2" t="inlineStr">
        <is>
          <t>Poprawione; pozycja N29 do zmiany w 6.4 i w 3.1.2.</t>
        </is>
      </c>
    </row>
    <row r="22">
      <c r="A22" s="2" t="inlineStr">
        <is>
          <t>E21</t>
        </is>
      </c>
      <c r="B22" s="2" t="inlineStr">
        <is>
          <t>Notatki w Aneksach A i C nadal mówiły, że podział etatów jest otwarty.</t>
        </is>
      </c>
      <c r="C22" s="2" t="inlineStr">
        <is>
          <t>Poprawione po D29.</t>
        </is>
      </c>
    </row>
    <row r="23">
      <c r="A23" s="2" t="inlineStr">
        <is>
          <t>E22</t>
        </is>
      </c>
      <c r="B23" s="2" t="inlineStr">
        <is>
          <t>K6-14: wcześniejsza weryfikacja harmonogramu płatności była błędna (zaliczka liczona jako dofinansowanie razy kolumna H zamiast samej kwoty z kolumny F); suma zaliczek wynosiła 91,6% i 91,2% wobec limitu 90%.</t>
        </is>
      </c>
      <c r="C23" s="2" t="inlineStr">
        <is>
          <t>Poprawione w modelu (D52, N85); refundacja końcowa 10,5% i 10,4%.</t>
        </is>
      </c>
    </row>
    <row r="24">
      <c r="A24" s="2" t="inlineStr">
        <is>
          <t>E23</t>
        </is>
      </c>
      <c r="B24" s="2" t="inlineStr">
        <is>
          <t>Pierwszy eksport modelu (05.10) zastąpił cały komentarz w arkuszu Przychody jednym akapitem i usunął trzy akapity „PROJEKT”.</t>
        </is>
      </c>
      <c r="C24" s="2" t="inlineStr">
        <is>
          <t>Poprawione tego samego dnia; komentarz ma wszystkie akapity.</t>
        </is>
      </c>
    </row>
    <row r="25">
      <c r="A25" s="2" t="inlineStr">
        <is>
          <t>E24</t>
        </is>
      </c>
      <c r="B25" s="2" t="inlineStr">
        <is>
          <t>PRz Z8: zmieniłam stawki i godziny bez danych PRz i rozszerzyłam zmianę na osiem stanowisk (właścicielka nie zatwierdziła).</t>
        </is>
      </c>
      <c r="C25" s="2" t="inlineStr">
        <is>
          <t>Cofnięte; godziny Z8 poprawione zgodnie z decyzją właścicielki przy sumie bez zmian (D43).</t>
        </is>
      </c>
    </row>
    <row r="26">
      <c r="A26" s="2" t="inlineStr">
        <is>
          <t>E25</t>
        </is>
      </c>
      <c r="B26" s="2" t="inlineStr">
        <is>
          <t>Komentarz Finansowanie: zdanie o wycenie spółki ok. 6,3 mln zł mogło sugerować podwyższenie kapitału do tej kwoty.</t>
        </is>
      </c>
      <c r="C26" s="2" t="inlineStr">
        <is>
          <t>Zastąpione opisem mechanizmu (nominalna część i nadwyżka na kapitał zapasowy), D51.</t>
        </is>
      </c>
    </row>
    <row r="27">
      <c r="A27" s="2" t="inlineStr">
        <is>
          <t>E26</t>
        </is>
      </c>
      <c r="B27" s="2" t="inlineStr">
        <is>
          <t>R12: napisałam, że Natanek Logistics jest „jednym z trzech niezależnych klientów”, co jest sprzeczne z danymi księgowej (powiązany z Inwestorem, ok. 95% zakupów usług).</t>
        </is>
      </c>
      <c r="C27" s="2" t="inlineStr">
        <is>
          <t>Poprawione w zestawieniu zmian do LSI (D47).</t>
        </is>
      </c>
    </row>
    <row r="28">
      <c r="A28" s="2" t="inlineStr">
        <is>
          <t>E27</t>
        </is>
      </c>
      <c r="B28" s="2" t="inlineStr">
        <is>
          <t>Komentarz Ocena kondycji podawał środki pieniężne „2 618 tys. zł w 2026 do 16 679 tys. zł w 2039”, czego model nie potwierdzał.</t>
        </is>
      </c>
      <c r="C28" s="2" t="inlineStr">
        <is>
          <t>Poprawione liczbami z przeliczonego modelu (N79).</t>
        </is>
      </c>
    </row>
    <row r="29">
      <c r="A29" s="2" t="inlineStr">
        <is>
          <t>E28</t>
        </is>
      </c>
      <c r="B29" s="2" t="inlineStr">
        <is>
          <t>Zmieniłam pliki Sekcja_1.3_i_ceny.docx, Poprawki_do_wklejenia_WP01-WP03.docx i Opisy_zadan_z_kamieniami_milowymi.docx, które były już przetworzone.</t>
        </is>
      </c>
      <c r="C29" s="2" t="inlineStr">
        <is>
          <t>Przywrócone do wersji sprzed zmian; zmiany tylko w osobnym zestawieniu (D50).</t>
        </is>
      </c>
    </row>
    <row r="30">
      <c r="A30" s="2" t="inlineStr">
        <is>
          <t>E29</t>
        </is>
      </c>
      <c r="B30" s="2" t="inlineStr">
        <is>
          <t>Liczniki w 3_Pakiety_pól (nierozpoczęte WP06 11, WP10 11, WP12 14 i inne) pochodziły z Rejestru z 01.10 i nie były przeliczone po przygotowaniu sekcji 6.1, 2.2/2.5, 6.2-6.4 i 7, więc pokazywały nierozpoczęte uwagi, do których teksty już istniały.</t>
        </is>
      </c>
      <c r="C30" s="2" t="inlineStr">
        <is>
          <t>Przeliczone 05.10: nierozpoczęte 0 we wszystkich pakietach, reszta jako „tekst gotowy, do weryf.”; metoda w komórce A15.</t>
        </is>
      </c>
    </row>
    <row r="31">
      <c r="A31" s="2" t="inlineStr">
        <is>
          <t>E30</t>
        </is>
      </c>
      <c r="B31" s="2" t="inlineStr">
        <is>
          <t>W poprzedniej odpowiedzi napisałam, że funkcji Włocha na uczelni nie znam i że wskaże je PRz, a wniosek (wersja B) wprost opisuje go jako kierownika Zakładu Modelowania Matematycznego. Nie sprawdziłam biografii w wniosku. Zdanie z poz. 5.2 („nie pełni funkcji na uczelni”) byłoby w jego przypadku nieprawdziwe.</t>
        </is>
      </c>
      <c r="C31" s="2" t="inlineStr">
        <is>
          <t>Poz. 5.2 ograniczona do czterech osób, dla Włocha dodana poz. 5.4 z wariantami; N86, T50.</t>
        </is>
      </c>
    </row>
    <row r="32">
      <c r="A32" s="2" t="inlineStr">
        <is>
          <t>E31</t>
        </is>
      </c>
      <c r="B32" s="2" t="inlineStr">
        <is>
          <t>W obecnych komentarzach modelu były błędy: czas trwania projektu 18 miesięcy zamiast 30 (Założenia), VAT ok. 83,7 tys. zł zamiast 80 937,78 zł (Finansowanie), najwyższe zadłużenie projektu w 2030 r. zamiast ok. 100% w 2026-2027 i 76% w 2031 r. (Ocena), zdanie o „optymalizacji podatkowej” bez potwierdzenia i liczby bez źródła (odpływ klientów 5-12%, 12 tys. spedytorów).</t>
        </is>
      </c>
      <c r="C32" s="2" t="inlineStr">
        <is>
          <t>Poprawione w nowych tekstach (Sekcja_K6, część 9); modelu nie zmieniałam, komentarze wklei właścicielka.</t>
        </is>
      </c>
    </row>
    <row r="33">
      <c r="A33" s="2" t="inlineStr">
        <is>
          <t>E32</t>
        </is>
      </c>
      <c r="B33" s="2" t="inlineStr">
        <is>
          <t>W moich wcześniejszych tekstach i w komentarzu modelu (B255 Przychody) data wejścia eFTI to 21.08.2025. Poprawna data: 9 lipca 2027 r. (organy muszą przyjmować informacje w formacie eFTI).</t>
        </is>
      </c>
      <c r="C33" s="2" t="inlineStr">
        <is>
          <t>Poprawione we wszystkich moich tekstach (Sekcja_K6 część 9, model_texts). Komentarz B255 w modelu nadal ma starą datę: zastąpić tekstem z Sekcja_K6 część 9.</t>
        </is>
      </c>
    </row>
    <row r="34">
      <c r="A34" s="2" t="inlineStr">
        <is>
          <t>E33</t>
        </is>
      </c>
      <c r="B34" s="2" t="inlineStr">
        <is>
          <t>Pozycja 3.4 w Zmiany (uzasadnienie kosztu Anotatorów) mówiła, że specjalista TSL zatwierdza etykietę referencyjną. Plik LSI i uwaga K3-11 wskazują, że TSL nie powinien rozstrzygać (dyrektor operacyjny Natanek).</t>
        </is>
      </c>
      <c r="C34" s="2" t="inlineStr">
        <is>
          <t>Poprawione 06.10: rozbieżności rozstrzyga AI Senior Engineer, TSL tylko protokoły inspekcji (D21 zastąpiona).</t>
        </is>
      </c>
    </row>
    <row r="35">
      <c r="A35" s="2" t="inlineStr">
        <is>
          <t>E34</t>
        </is>
      </c>
      <c r="B35" s="2" t="inlineStr">
        <is>
          <t>06.10 napisałam, że model „nie zakłada sprzedaży zagranicznej” i że K14-01 jest otwarta (D58: pierwsza licencja CEE w 2030). To było niepełne: K14-01 rozwiązuje D40 i Sekcja_3.2 część 6 (0 zł w 2030), a modelu nie da się jednoznacznie określić, bo nie rozdziela przychodów na kraje; Sekcja_3.2 (CEE w modelu od 2032-2033) i komentarz Przychody (bez sprzedaży zagranicznej) są ze sobą sprzeczne.</t>
        </is>
      </c>
      <c r="C35" s="2" t="inlineStr">
        <is>
          <t>Poprawione w Zmiany 7.3 poz. 4 i 11, D58 zastąpiona, N91 i N98 przepisane; do ustalenia jedno zdanie o CEE (Zmiany 8.5).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5" customWidth="1" min="3" max="3"/>
    <col width="60" customWidth="1" min="4" max="4"/>
    <col width="22" customWidth="1" min="5" max="5"/>
    <col width="11" customWidth="1" min="6" max="6"/>
    <col width="11" customWidth="1" min="7" max="7"/>
  </cols>
  <sheetData>
    <row r="1">
      <c r="A1" s="15" t="inlineStr">
        <is>
          <t>Nr</t>
        </is>
      </c>
      <c r="B1" s="15" t="inlineStr">
        <is>
          <t>Miejsce we wniosku</t>
        </is>
      </c>
      <c r="C1" s="15" t="inlineStr">
        <is>
          <t>Obecny zapis</t>
        </is>
      </c>
      <c r="D1" s="15" t="inlineStr">
        <is>
          <t>Wymagana zmiana</t>
        </is>
      </c>
      <c r="E1" s="15" t="inlineStr">
        <is>
          <t>Źródło</t>
        </is>
      </c>
      <c r="F1" s="15" t="inlineStr">
        <is>
          <t>Priorytet</t>
        </is>
      </c>
      <c r="G1" s="15" t="inlineStr">
        <is>
          <t>Status</t>
        </is>
      </c>
    </row>
    <row r="2">
      <c r="A2" s="2" t="inlineStr">
        <is>
          <t>N01</t>
        </is>
      </c>
      <c r="B2" s="2" t="inlineStr">
        <is>
          <t>3.1.1 Nazwa zadania Z6 (i wszystkie pozycje kosztowe Z6 w 3.1.2)</t>
        </is>
      </c>
      <c r="C2" s="2" t="inlineStr">
        <is>
          <t>„Pipeline PoC + integracja TMS/eFTI/e-CMR (Z6)”: nazwa obejmuje integrację TMS i e-CMR, które opis Z6 wyłącza z prac B+R i kosztów.</t>
        </is>
      </c>
      <c r="D2" s="2" t="inlineStr">
        <is>
          <t>Zmienić nazwę, np. na „Pipeline PoL/PoC i zgodność z eFTI (Z6)”. Nazwę wpisuje się raz w 3.1.1, a pola przy pozycjach kosztowych pobierają ją automatycznie (Instrukcja, pole techniczne), więc zmiana jest jednorazowa. Do sprawdzenia w LSI. Alternatywa: zostawić nazwę, bo opis Z6 już wyłącza integracje standardowe. DECYZJA: zatwierdzona, nazwa zmieniona w tym dokumencie.</t>
        </is>
      </c>
      <c r="E2" s="2" t="inlineStr">
        <is>
          <t>K3-08; D24, D31</t>
        </is>
      </c>
      <c r="F2" s="14" t="inlineStr">
        <is>
          <t>WYSOKI</t>
        </is>
      </c>
      <c r="G2" s="2" t="inlineStr">
        <is>
          <t>ZATWIERDZONE</t>
        </is>
      </c>
    </row>
    <row r="3">
      <c r="A3" s="2" t="inlineStr">
        <is>
          <t>N02</t>
        </is>
      </c>
      <c r="B3" s="2" t="inlineStr">
        <is>
          <t>1.2 Wskaźnik innowacyjności nr 1 (model 3D): wartość docelowa, jednostka, metodologia</t>
        </is>
      </c>
      <c r="C3" s="2" t="inlineStr">
        <is>
          <t>„Błąd estymacji pozycji ≤30 cm”, jednostka [cm]/[Hz]; uzasadnienie, że błąd 30 cm pozwala wykryć przemieszczenie 100 mm.</t>
        </is>
      </c>
      <c r="D3" s="2" t="inlineStr">
        <is>
          <t>Jednostka [m]/[Hz]. Wartość: mediana nie więcej niż 0,30 m i percentyl 95 nie więcej niż 0,35 m. Poprawić uzasadnienie: wykrywanie przemieszczeń od 0,10 m opiera się na błędzie przemieszczenia względnego (mediana 0,03 m), a nie na błędzie pozycji bezwzględnej. Weryfikacja: Z5 (rig) i Z9 (1000 pomiarów).</t>
        </is>
      </c>
      <c r="E3" s="2" t="inlineStr">
        <is>
          <t>K3-16, K3-17, K3-13; KM-Z5, KM-Z9</t>
        </is>
      </c>
      <c r="F3" s="14" t="inlineStr">
        <is>
          <t>WYSOKI</t>
        </is>
      </c>
      <c r="G3" s="2" t="inlineStr">
        <is>
          <t>TEKST GOTOWY (Wskazniki_innowacyjnosci_1.2_i_1.4.docx), 6 żółtych parametrów: T11</t>
        </is>
      </c>
    </row>
    <row r="4">
      <c r="A4" s="2" t="inlineStr">
        <is>
          <t>N03</t>
        </is>
      </c>
      <c r="B4" s="2" t="inlineStr">
        <is>
          <t>1.2 Wskaźnik nr 2 (AUC-ROC): wartość bazowa i weryfikacja</t>
        </is>
      </c>
      <c r="C4" s="2" t="inlineStr">
        <is>
          <t>Baza AUC-ROC 0,50 (klasyfikator losowy); weryfikacja: „niezależna walidacja Everest11 na danych terenowych Z9”.</t>
        </is>
      </c>
      <c r="D4" s="2" t="inlineStr">
        <is>
          <t>Baza: wynik detektora progowego wg EN 12195-1 zmierzony na tym samym teście w Z4 (D16). Wartość docelowa 0,85 dotyczy modelu FP32 (KM-Z4); w Z9 model po kompresji nie mniej niż 0,82. Usunąć sformułowanie o niezależnej walidacji Everest11, zastąpić ścieżką audytu Z9.</t>
        </is>
      </c>
      <c r="E4" s="2" t="inlineStr">
        <is>
          <t>K1-03, K3-15, K3-19; D16, D22</t>
        </is>
      </c>
      <c r="F4" s="14" t="inlineStr">
        <is>
          <t>WYSOKI</t>
        </is>
      </c>
      <c r="G4" s="2" t="inlineStr">
        <is>
          <t>TEKST GOTOWY (Wskazniki_innowacyjnosci_1.2_i_1.4.docx), 6 żółtych parametrów: T11</t>
        </is>
      </c>
    </row>
    <row r="5">
      <c r="A5" s="2" t="inlineStr">
        <is>
          <t>N04</t>
        </is>
      </c>
      <c r="B5" s="2" t="inlineStr">
        <is>
          <t>1.2 Wskaźnik nr 3 (mAP)</t>
        </is>
      </c>
      <c r="C5" s="2" t="inlineStr">
        <is>
          <t>Wartość bazowa „N/D” w jednym miejscu i „0%” w innym; weryfikacja: „ocena eksperta TSL Everest11 jako ground truth”.</t>
        </is>
      </c>
      <c r="D5" s="2" t="inlineStr">
        <is>
          <t>Ujednolicić bazę jako „brak systemu, wartość 0”. Podać mAP 0,75 dla FP32 i 0,72 po kompresji (Z9). Ground truth: inspekcje z Z2 i procedura ślepa z Z9, bez wskazywania jednej osoby.</t>
        </is>
      </c>
      <c r="E5" s="2" t="inlineStr">
        <is>
          <t>K3-15, K3-19; D05, D22</t>
        </is>
      </c>
      <c r="F5" s="14" t="inlineStr">
        <is>
          <t>WYSOKI</t>
        </is>
      </c>
      <c r="G5" s="2" t="inlineStr">
        <is>
          <t>TEKST GOTOWY (Wskazniki_innowacyjnosci_1.2_i_1.4.docx), 6 żółtych parametrów: T11</t>
        </is>
      </c>
    </row>
    <row r="6">
      <c r="A6" s="2" t="inlineStr">
        <is>
          <t>N05</t>
        </is>
      </c>
      <c r="B6" s="2" t="inlineStr">
        <is>
          <t>1.2 Wskaźnik nr 4 (czas PoC i zgodność z eFTI)</t>
        </is>
      </c>
      <c r="C6" s="2" t="inlineStr">
        <is>
          <t>„Testy terenowe Z9 na min. 50 cyklach”; zgodność z polami eFTI ≥95% bez określenia mianownika.</t>
        </is>
      </c>
      <c r="D6" s="2" t="inlineStr">
        <is>
          <t>Z9: co najmniej 200 cykli. Doprecyzować: 95% wszystkich pól obligatoryjnych; zgodność treści PoL/PoC z ground truth co najmniej 90% do potwierdzenia (KM-Z6).</t>
        </is>
      </c>
      <c r="E6" s="2" t="inlineStr">
        <is>
          <t>K3-20; KM-Z6, KM-Z9</t>
        </is>
      </c>
      <c r="F6" s="2" t="inlineStr">
        <is>
          <t>ŚREDNI</t>
        </is>
      </c>
      <c r="G6" s="2" t="inlineStr">
        <is>
          <t>TEKST GOTOWY (Wskazniki_innowacyjnosci_1.2_i_1.4.docx), 6 żółtych parametrów: T11</t>
        </is>
      </c>
    </row>
    <row r="7">
      <c r="A7" s="2" t="inlineStr">
        <is>
          <t>N06</t>
        </is>
      </c>
      <c r="B7" s="2" t="inlineStr">
        <is>
          <t>1.2 Wskaźnik nr 5 (opóźnienie alertu): jednostka i baza</t>
        </is>
      </c>
      <c r="C7" s="2" t="inlineStr">
        <is>
          <t>Jednostka [ms], baza „≥300 000 ms”.</t>
        </is>
      </c>
      <c r="D7" s="2" t="inlineStr">
        <is>
          <t>Jednostka [s]: wartość docelowa 1 s (percentyl 95), baza 300 s. Dodać, że parametr jest mierzony po kompresji (Z7) i w terenie (Z9).</t>
        </is>
      </c>
      <c r="E7" s="2" t="inlineStr">
        <is>
          <t>Instrukcja (SI); K3-17; D18</t>
        </is>
      </c>
      <c r="F7" s="2" t="inlineStr">
        <is>
          <t>ŚREDNI</t>
        </is>
      </c>
      <c r="G7" s="2" t="inlineStr">
        <is>
          <t>TEKST GOTOWY (Wskazniki_innowacyjnosci_1.2_i_1.4.docx), 6 żółtych parametrów: T11</t>
        </is>
      </c>
    </row>
    <row r="8">
      <c r="A8" s="2" t="inlineStr">
        <is>
          <t>N07</t>
        </is>
      </c>
      <c r="B8" s="2" t="inlineStr">
        <is>
          <t>1.4 Wskaźnik dodatkowy: pokrycie pól eFTI</t>
        </is>
      </c>
      <c r="C8" s="2" t="inlineStr">
        <is>
          <t>„potwierdzone audytem podwykonawcy prawnego”, „audyt prawny podwykonawcy (Z6)”.</t>
        </is>
      </c>
      <c r="D8" s="2" t="inlineStr">
        <is>
          <t>Usunąć podwykonawcę prawnego (nie ma go w budżecie). Metoda: test zgodności z implementacją referencyjną KE i walidacja XSD wykonane przez zespół Everest11 (Z6).</t>
        </is>
      </c>
      <c r="E8" s="2" t="inlineStr">
        <is>
          <t>K3-08, K3-45; opis Z6</t>
        </is>
      </c>
      <c r="F8" s="14" t="inlineStr">
        <is>
          <t>WYSOKI</t>
        </is>
      </c>
      <c r="G8" s="2" t="inlineStr">
        <is>
          <t>TEKST GOTOWY (Wskazniki_innowacyjnosci_1.2_i_1.4.docx), 6 żółtych parametrów: T11</t>
        </is>
      </c>
    </row>
    <row r="9">
      <c r="A9" s="2" t="inlineStr">
        <is>
          <t>N08</t>
        </is>
      </c>
      <c r="B9" s="2" t="inlineStr">
        <is>
          <t>1.4 Wskaźnik dodatkowy: wykorzystanie kubatury (fill rate)</t>
        </is>
      </c>
      <c r="C9" s="2" t="inlineStr">
        <is>
          <t>Pomiar radarem mmWave na kursach floty w Z9; baza 65% (Eurostat 2024, źródło niezweryfikowane).</t>
        </is>
      </c>
      <c r="D9" s="2" t="inlineStr">
        <is>
          <t>Z9 zawiera teraz wskaźnik operacyjny (cel 80%), niebędący parametrem kamienia. Baza 65%: potwierdzić źródło (D20) albo przeformułować jako wartość mierzoną na tych samych pojazdach przed wdrożeniem.</t>
        </is>
      </c>
      <c r="E9" s="2" t="inlineStr">
        <is>
          <t>D20; opis Z9</t>
        </is>
      </c>
      <c r="F9" s="2" t="inlineStr">
        <is>
          <t>ŚREDNI</t>
        </is>
      </c>
      <c r="G9" s="2" t="inlineStr">
        <is>
          <t>TEKST GOTOWY (Wskazniki_innowacyjnosci_1.2_i_1.4.docx), 6 żółtych parametrów: T11</t>
        </is>
      </c>
    </row>
    <row r="10">
      <c r="A10" s="2" t="inlineStr">
        <is>
          <t>N09</t>
        </is>
      </c>
      <c r="B10" s="2" t="inlineStr">
        <is>
          <t>1.1 Cel projektu, 1.2 Innowacyjność, opis prac Z2 i Z5 (wiersze z „0,5 g”)</t>
        </is>
      </c>
      <c r="C10" s="2" t="inlineStr">
        <is>
          <t>„amplitudy do 0,5 g”.</t>
        </is>
      </c>
      <c r="D10" s="2" t="inlineStr">
        <is>
          <t>Zapis w SI: „do 4,9 m/s2 (0,5 g)”, spójnie z KM-Z2, KM-Z5 i opisami zadań.</t>
        </is>
      </c>
      <c r="E10" s="2" t="inlineStr">
        <is>
          <t>D18</t>
        </is>
      </c>
      <c r="F10" s="2" t="inlineStr">
        <is>
          <t>NISKI</t>
        </is>
      </c>
      <c r="G10" s="2" t="inlineStr">
        <is>
          <t>TEKST GOTOWY w Opisach zadań (zamknięte), 62 żółte wartości: T11, T35</t>
        </is>
      </c>
    </row>
    <row r="11">
      <c r="A11" s="2" t="inlineStr">
        <is>
          <t>N10</t>
        </is>
      </c>
      <c r="B11" s="2" t="inlineStr">
        <is>
          <t>3.1.1 Opisy zadań Z1-Z9 i kamienie milowe (pola zakresu, szczegółowego opisu, KM)</t>
        </is>
      </c>
      <c r="C11" s="2" t="inlineStr">
        <is>
          <t>Obecne teksty.</t>
        </is>
      </c>
      <c r="D11" s="2" t="inlineStr">
        <is>
          <t>Zastąpić tekstami z części pierwszej tego dokumentu.</t>
        </is>
      </c>
      <c r="E11" s="2" t="inlineStr">
        <is>
          <t>K3-01 do K3-22</t>
        </is>
      </c>
      <c r="F11" s="14" t="inlineStr">
        <is>
          <t>WYSOKI</t>
        </is>
      </c>
      <c r="G11" s="2" t="inlineStr">
        <is>
          <t>TEKST GOTOWY w Opisach zadań (zamknięte), 62 żółte wartości: T11, T35</t>
        </is>
      </c>
    </row>
    <row r="12">
      <c r="A12" s="2" t="inlineStr">
        <is>
          <t>N11</t>
        </is>
      </c>
      <c r="B12" s="2" t="inlineStr">
        <is>
          <t>3.1.2 Uzasadnienie kosztu: AI Senior Engineer Z2</t>
        </is>
      </c>
      <c r="C12" s="2" t="inlineStr">
        <is>
          <t>„Opracuje specyfikację anotacji Instance Segmentation COCO dla podwykonawcy”.</t>
        </is>
      </c>
      <c r="D12" s="2" t="inlineStr">
        <is>
          <t>„dla anotatorów Everest11”. Anotacja jest realizowana przez personel Lidera.</t>
        </is>
      </c>
      <c r="E12" s="2" t="inlineStr">
        <is>
          <t>K3-10, K3-39; D21</t>
        </is>
      </c>
      <c r="F12" s="14" t="inlineStr">
        <is>
          <t>WYSOKI</t>
        </is>
      </c>
      <c r="G12" s="2" t="inlineStr">
        <is>
          <t>TEKST GOTOWY (Sekcja_6.1 i 3.1.2), założenia D37: T23</t>
        </is>
      </c>
    </row>
    <row r="13">
      <c r="A13" s="2" t="inlineStr">
        <is>
          <t>N12</t>
        </is>
      </c>
      <c r="B13" s="2" t="inlineStr">
        <is>
          <t>3.1.2 Uzasadnienie kosztu: Anotatorzy Z2</t>
        </is>
      </c>
      <c r="C13" s="2" t="inlineStr">
        <is>
          <t>Zakres i nakład „wg wolumenu”.</t>
        </is>
      </c>
      <c r="D13" s="2" t="inlineStr">
        <is>
          <t>3 osoby, 1,0 etatu, 10 miesięcy M9-M18, zakres jak w opisie Z2 (anotacja, zgłaszanie przypadków niejednoznacznych, udział w pomiarze zgodności). Zgodnie z nakładem 3200-3600 godzin w budżecie porównać z 3 x 10 x 168 godzin.</t>
        </is>
      </c>
      <c r="E13" s="2" t="inlineStr">
        <is>
          <t>K3-39, K5-03</t>
        </is>
      </c>
      <c r="F13" s="14" t="inlineStr">
        <is>
          <t>WYSOKI</t>
        </is>
      </c>
      <c r="G13" s="2" t="inlineStr">
        <is>
          <t>TEKST GOTOWY: pozycja 3.4 w Zmiany_do_wprowadzenia_w_plikach_zamknietych.docx (forma zatrudnienia, nadzór jakości, relacja do Z3, B+R a obróbka). Otwarte: zgodność 5 040 h z szacunkiem nakładu (T49)</t>
        </is>
      </c>
    </row>
    <row r="14">
      <c r="A14" s="2" t="inlineStr">
        <is>
          <t>N13</t>
        </is>
      </c>
      <c r="B14" s="2" t="inlineStr">
        <is>
          <t>3.1.2 Uzasadnienie kosztu: Cybersecurity / AI Act Specialist Z9 (wiersz „przegląd prior art i analizę freedom-to-operate”, aktualizacja dokumentacji AI Act)</t>
        </is>
      </c>
      <c r="C14" s="2" t="inlineStr">
        <is>
          <t>Aktualizacja dokumentacji AI Act, integralność PoC, materiały do zgłoszenia EPO, prior art, FTO.</t>
        </is>
      </c>
      <c r="D14" s="2" t="inlineStr">
        <is>
          <t>Zostawić testy bezpieczeństwa prototypu w terenie i uruchamianie zamrożonego skryptu ewaluacyjnego (niezależny ewaluator). Usunąć AI Act, EPO, prior art, FTO (są w Z11 i poza B+R).</t>
        </is>
      </c>
      <c r="E14" s="2" t="inlineStr">
        <is>
          <t>K3-40, K3-66; D05</t>
        </is>
      </c>
      <c r="F14" s="14" t="inlineStr">
        <is>
          <t>WYSOKI</t>
        </is>
      </c>
      <c r="G14" s="2" t="inlineStr">
        <is>
          <t>TEKST GOTOWY (Sekcja_6.1 i 3.1.2), założenia D37: T23</t>
        </is>
      </c>
    </row>
    <row r="15">
      <c r="A15" s="2" t="inlineStr">
        <is>
          <t>N14</t>
        </is>
      </c>
      <c r="B15" s="2" t="inlineStr">
        <is>
          <t>3.1.2 Uzasadnienia kosztu: Cybersecurity Z2 i Z6</t>
        </is>
      </c>
      <c r="C15" s="2" t="inlineStr">
        <is>
          <t>Klasyfikacja ryzyka AI Act, karta oceny ryzyka, polityka RODO.</t>
        </is>
      </c>
      <c r="D15" s="2" t="inlineStr">
        <is>
          <t>Zostawić prace techniczne (szyfrowanie, klucze, pseudonimizacja, podpis, integralność). Usunąć dokumentację AI Act i politykę RODO z kosztów B+R (czynność przedwdrożeniowa).</t>
        </is>
      </c>
      <c r="E15" s="2" t="inlineStr">
        <is>
          <t>K3-38; 6.1 Maziarz</t>
        </is>
      </c>
      <c r="F15" s="14" t="inlineStr">
        <is>
          <t>WYSOKI</t>
        </is>
      </c>
      <c r="G15" s="2" t="inlineStr">
        <is>
          <t>TEKST GOTOWY (Sekcja_6.1 i 3.1.2), założenia D37: T23</t>
        </is>
      </c>
    </row>
    <row r="16">
      <c r="A16" s="2" t="inlineStr">
        <is>
          <t>N15</t>
        </is>
      </c>
      <c r="B16" s="2" t="inlineStr">
        <is>
          <t>3.1.2 Uzasadnienia kosztu: IT Specialist Z6 i Backend/Full-Stack Z6</t>
        </is>
      </c>
      <c r="C16" s="2" t="inlineStr">
        <is>
          <t>Trans.eu, TimoCom, e-CMR, „rozwój i utrzymanie” API, „w całości siłami własnymi Lidera”.</t>
        </is>
      </c>
      <c r="D16" s="2" t="inlineStr">
        <is>
          <t>Zastąpić zakresem z opisu Z6: pipeline, generator eFTI oraz dwukierunkowe API z TMS i prototypowe integracje z Trans.eu, TimoCom i e-CMR w środowisku testowym (IT); strumieniowy potok, kolejkowanie, wsparcie integracji testowych i test zgodności eFTI (Backend). Czynności integracyjne opisać jako techniczne i pomocnicze, w zakresie niezbędnym do testów i walidacji. Usunąć utrzymanie, wdrożenie produkcyjne i produkcyjny dashboard.</t>
        </is>
      </c>
      <c r="E16" s="2" t="inlineStr">
        <is>
          <t>K3-08, K3-38; D24</t>
        </is>
      </c>
      <c r="F16" s="14" t="inlineStr">
        <is>
          <t>WYSOKI</t>
        </is>
      </c>
      <c r="G16" s="2" t="inlineStr">
        <is>
          <t>TEKST GOTOWY (Sekcja_6.1 i 3.1.2), założenia D37: T23</t>
        </is>
      </c>
    </row>
    <row r="17">
      <c r="A17" s="2" t="inlineStr">
        <is>
          <t>N16</t>
        </is>
      </c>
      <c r="B17" s="2" t="inlineStr">
        <is>
          <t>3.1.2 Pozycje kosztowe Backend/Full-Stack: Z6 i Z9</t>
        </is>
      </c>
      <c r="C17" s="2" t="inlineStr">
        <is>
          <t>Jedna pozycja Z6 na 12 mc, 260 280 zł.</t>
        </is>
      </c>
      <c r="D17" s="2" t="inlineStr">
        <is>
          <t>Dwie pozycje: Z6 9 mc (195 210 zł) i Z9 3 mc (65 070 zł), suma bez zmian; opis Z9 w zakresie walidacji PoC i zgodności eFTI w terenie.</t>
        </is>
      </c>
      <c r="E17" s="2" t="inlineStr">
        <is>
          <t>K3-36, K3-37; D07</t>
        </is>
      </c>
      <c r="F17" s="14" t="inlineStr">
        <is>
          <t>WYSOKI</t>
        </is>
      </c>
      <c r="G17" s="2" t="inlineStr">
        <is>
          <t>TEKST GOTOWY (Sekcja_6.1 i 3.1.2), założenia D37: T23</t>
        </is>
      </c>
    </row>
    <row r="18">
      <c r="A18" s="2" t="inlineStr">
        <is>
          <t>N17</t>
        </is>
      </c>
      <c r="B18" s="2" t="inlineStr">
        <is>
          <t>3.1.2 IT Specialist Z9</t>
        </is>
      </c>
      <c r="C18" s="2" t="inlineStr">
        <is>
          <t>„hotfixy”, utrzymanie środowiska integracyjnego.</t>
        </is>
      </c>
      <c r="D18" s="2" t="inlineStr">
        <is>
          <t>Rejestracja i analiza danych KPI; poprawki tylko w oknie korekt w M30. Bez bieżącego utrzymania.</t>
        </is>
      </c>
      <c r="E18" s="2" t="inlineStr">
        <is>
          <t>K3-38; opis Z9</t>
        </is>
      </c>
      <c r="F18" s="2" t="inlineStr">
        <is>
          <t>ŚREDNI</t>
        </is>
      </c>
      <c r="G18" s="2" t="inlineStr">
        <is>
          <t>TEKST GOTOWY (Sekcja_6.1 i 3.1.2), założenia D37: T23</t>
        </is>
      </c>
    </row>
    <row r="19">
      <c r="A19" s="2" t="inlineStr">
        <is>
          <t>N18</t>
        </is>
      </c>
      <c r="B19" s="2" t="inlineStr">
        <is>
          <t>3.1.2 Sześć stanowisk Everest11 w Z6, Z7, Z9: metoda szacowania</t>
        </is>
      </c>
      <c r="C19" s="2" t="inlineStr">
        <is>
          <t>„12 mc fazy PR podzielone przez 3”.</t>
        </is>
      </c>
      <c r="D19" s="2" t="inlineStr">
        <is>
          <t>Rzeczywisty podział miesięcy lub godzin między zadania, przy zachowaniu sumy i etatu w każdym miesiącu (propozycja w bloku budżetowym).</t>
        </is>
      </c>
      <c r="E19" s="2" t="inlineStr">
        <is>
          <t>K3-36, K3-37; D29</t>
        </is>
      </c>
      <c r="F19" s="14" t="inlineStr">
        <is>
          <t>WYSOKI</t>
        </is>
      </c>
      <c r="G19" s="2" t="inlineStr">
        <is>
          <t>TEKST GOTOWY (Sekcja_6.1 i 3.1.2), założenia D37: T23</t>
        </is>
      </c>
    </row>
    <row r="20">
      <c r="A20" s="2" t="inlineStr">
        <is>
          <t>N19</t>
        </is>
      </c>
      <c r="B20" s="2" t="inlineStr">
        <is>
          <t>6.1 Jakub Kosterna (AI Lead): zakres obowiązków</t>
        </is>
      </c>
      <c r="C20" s="2" t="inlineStr">
        <is>
          <t>Przygotowanie dokumentacji technicznej do zgłoszenia patentowego.</t>
        </is>
      </c>
      <c r="D20" s="2" t="inlineStr">
        <is>
          <t>Usunąć lub opisać jako dostarczenie danych technicznych do rzecznika w Z11, poza kosztami Z9.</t>
        </is>
      </c>
      <c r="E20" s="2" t="inlineStr">
        <is>
          <t>K3-40, K3-66; D30</t>
        </is>
      </c>
      <c r="F20" s="2" t="inlineStr">
        <is>
          <t>ŚREDNI</t>
        </is>
      </c>
      <c r="G20" s="2" t="inlineStr">
        <is>
          <t>TEKST GOTOWY (Sekcja_6.1 i 3.1.2), założenia D37: T23</t>
        </is>
      </c>
    </row>
    <row r="21">
      <c r="A21" s="2" t="inlineStr">
        <is>
          <t>N20</t>
        </is>
      </c>
      <c r="B21" s="2" t="inlineStr">
        <is>
          <t>6.1 Michał Hajduk (specjalista TSL): zakres obowiązków</t>
        </is>
      </c>
      <c r="C21" s="2" t="inlineStr">
        <is>
          <t>Badanie akceptacji UX i ocena trafności alertów z perspektywy operacyjnej.</t>
        </is>
      </c>
      <c r="D21" s="2" t="inlineStr">
        <is>
          <t>Ground truth i scenariusze operacyjne; ocena trafności alertów skryptem, bez udziału pracownika odbiorcy wdrożenia; UX prowadzi AI Senior Engineer. Dodać deklarację poufności wobec podmiotów powiązanych (MJA Partners, Natanek Logistics).</t>
        </is>
      </c>
      <c r="E21" s="2" t="inlineStr">
        <is>
          <t>K3-11, K5-07; D05</t>
        </is>
      </c>
      <c r="F21" s="14" t="inlineStr">
        <is>
          <t>WYSOKI</t>
        </is>
      </c>
      <c r="G21" s="2" t="inlineStr">
        <is>
          <t>TEKST GOTOWY (Sekcja_6.1 i 3.1.2), założenia D37: T23</t>
        </is>
      </c>
    </row>
    <row r="22">
      <c r="A22" s="2" t="inlineStr">
        <is>
          <t>N21</t>
        </is>
      </c>
      <c r="B22" s="2" t="inlineStr">
        <is>
          <t>6.1 Personel planowany: Anotatorzy, Backend/Full-Stack</t>
        </is>
      </c>
      <c r="C22" s="2" t="inlineStr">
        <is>
          <t>Anotatorzy: M1-M18, „wymiar wg wolumenu”. Backend: Z2 (M13-M18) i Z6 (M19-M30), 18 mc.</t>
        </is>
      </c>
      <c r="D22" s="2" t="inlineStr">
        <is>
          <t>Anotatorzy: 3 osoby, 1,0 etatu, 10 mc [M9-M18]. Backend: Z2 6 mc, Z6 9 mc, Z9 3 mc, razem 18 mc.</t>
        </is>
      </c>
      <c r="E22" s="2" t="inlineStr">
        <is>
          <t>K5-03, K5-10, K5-11; D07</t>
        </is>
      </c>
      <c r="F22" s="14" t="inlineStr">
        <is>
          <t>WYSOKI</t>
        </is>
      </c>
      <c r="G22" s="2" t="inlineStr">
        <is>
          <t>TEKST GOTOWY (Sekcja_6.1 i 3.1.2), założenia D37: T23</t>
        </is>
      </c>
    </row>
    <row r="23">
      <c r="A23" s="2" t="inlineStr">
        <is>
          <t>N22</t>
        </is>
      </c>
      <c r="B23" s="2" t="inlineStr">
        <is>
          <t>6.1 Sposób zarządzania projektem (ścieżka decyzyjna)</t>
        </is>
      </c>
      <c r="C23" s="2" t="inlineStr">
        <is>
          <t>Brak opisu nadzoru nad zadaniami PRz i organu oceniającego kamienie milowe.</t>
        </is>
      </c>
      <c r="D23" s="2" t="inlineStr">
        <is>
          <t>Dopisać Radę Konsorcjum z § 9 umowy konsorcjum (po jednym przedstawicielu każdego członka, przewodniczy kierownik zarządzający (we wniosku wyłącznie ta nazwa), posiedzenia co najmniej raz na 6 miesięcy, protokoły, ocena merytoryczna i formalna realizacji zadań na wniosek kierownika zarządzającego, rekomendacje zmian w harmonogramie; organ doradczy, nie decyzyjny), osobę weryfikującą i odbierającą każdy KM oraz niezależne przeliczenie metryk przez AI Lead Everest11.</t>
        </is>
      </c>
      <c r="E23" s="2" t="inlineStr">
        <is>
          <t>K5-05, K5-09; D27, D28</t>
        </is>
      </c>
      <c r="F23" s="14" t="inlineStr">
        <is>
          <t>WYSOKI</t>
        </is>
      </c>
      <c r="G23" s="2" t="inlineStr">
        <is>
          <t>TEKST GOTOWY (Sekcja_6.1 i 3.1.2), założenia D37: T23</t>
        </is>
      </c>
    </row>
    <row r="24">
      <c r="A24" s="2" t="inlineStr">
        <is>
          <t>N23</t>
        </is>
      </c>
      <c r="B24" s="2" t="inlineStr">
        <is>
          <t>6.2 Zasoby techniczne Everest11 (przeznaczenie)</t>
        </is>
      </c>
      <c r="C24" s="2" t="inlineStr">
        <is>
          <t>„koordynacja prac konsorcjum, zarządzanie projektem, integracja systemowa (API TMS, eFTI, e-CMR)”, „walidacja KPI w ruchu komercyjnym”.</t>
        </is>
      </c>
      <c r="D24" s="2" t="inlineStr">
        <is>
          <t>Opisać zasoby (stanowiska, serwery, repozytoria) bez funkcji koordynacyjnych w pracach B+R. „W ruchu komercyjnym” zamienić na „w eksploatacji na flocie testowej”. Dopisać parametry komputerów, serwerów i chmury (uwaga 14).</t>
        </is>
      </c>
      <c r="E24" s="2" t="inlineStr">
        <is>
          <t>K3-38, K5-14</t>
        </is>
      </c>
      <c r="F24" s="2" t="inlineStr">
        <is>
          <t>ŚREDNI</t>
        </is>
      </c>
      <c r="G24" s="2" t="inlineStr">
        <is>
          <t>TEKST GOTOWY (Sekcja_6.2-6.4), żółte pola: T25, T26</t>
        </is>
      </c>
    </row>
    <row r="25">
      <c r="A25" s="2" t="inlineStr">
        <is>
          <t>N24</t>
        </is>
      </c>
      <c r="B25" s="2" t="inlineStr">
        <is>
          <t>5. Analiza ryzyka R3 (opis zapobiegania) i R8 (podwykonawstwo)</t>
        </is>
      </c>
      <c r="C25" s="2" t="inlineStr">
        <is>
          <t>R3: „z udziałem podwykonawcy anotacji”. R8: podwykonawstwo obejmuje anotację datasetu.</t>
        </is>
      </c>
      <c r="D25" s="2" t="inlineStr">
        <is>
          <t>Usunąć anotację z listy podwykonawstwa. R8: montaż (Z2, Z9) i rzecznik patentowy (Z11). Zastąpić R1-R5, R9 i dodać R10-R12 tekstami z części drugiej.</t>
        </is>
      </c>
      <c r="E25" s="2" t="inlineStr">
        <is>
          <t>K3-10, K3-46, K3-25 do K3-32</t>
        </is>
      </c>
      <c r="F25" s="14" t="inlineStr">
        <is>
          <t>WYSOKI</t>
        </is>
      </c>
      <c r="G25" s="2" t="inlineStr">
        <is>
          <t>TEKST GOTOWY, do wklejenia w LSI (T09)</t>
        </is>
      </c>
    </row>
    <row r="26">
      <c r="A26" s="2" t="inlineStr">
        <is>
          <t>N25</t>
        </is>
      </c>
      <c r="B26" s="2" t="inlineStr">
        <is>
          <t>3.1.1 Z9 (stary tekst): odbiór i niezależna walidacja</t>
        </is>
      </c>
      <c r="C26" s="2" t="inlineStr">
        <is>
          <t>Protokół podpisuje kierownik B+R i kluczowy personel PRz; „niezależna walidacja PRz na ≥180 kursach”.</t>
        </is>
      </c>
      <c r="D26" s="2" t="inlineStr">
        <is>
          <t>Zastąpione ścieżką audytu z nowego tekstu (PRz tylko odbiór metodyczny w Z8). Sprawdzić, czy zdanie nie zostało także w sekcjach 1.2 i 2.x.</t>
        </is>
      </c>
      <c r="E26" s="2" t="inlineStr">
        <is>
          <t>K3-11, K3-12; D25</t>
        </is>
      </c>
      <c r="F26" s="14" t="inlineStr">
        <is>
          <t>WYSOKI</t>
        </is>
      </c>
      <c r="G26" s="2" t="inlineStr">
        <is>
          <t>TEKST GOTOWY, do wklejenia w LSI (T09)</t>
        </is>
      </c>
    </row>
    <row r="27">
      <c r="A27" s="2" t="inlineStr">
        <is>
          <t>N26</t>
        </is>
      </c>
      <c r="B27" s="2" t="inlineStr">
        <is>
          <t>6.4 Podwykonawcy oraz pozycje podwykonawstwa Z2 (150 000 zł) i Z9 (70 000 zł)</t>
        </is>
      </c>
      <c r="C27" s="2" t="inlineStr">
        <is>
          <t>Brak kalkulacji i liczby ofert; wymagania dla niewybranego podwykonawcy.</t>
        </is>
      </c>
      <c r="D27" s="2" t="inlineStr">
        <is>
          <t>Uzupełnić: zakres (tylko montaż, instalacja, demontaż), liczba pojazdów, pracochłonność lub ryczałt, oferty, wybór kwoty; rozdzielenie Z2 i Z9. Wymagania minimalne wykonawcy.</t>
        </is>
      </c>
      <c r="E27" s="2" t="inlineStr">
        <is>
          <t>K3-43 do K3-46; D08</t>
        </is>
      </c>
      <c r="F27" s="14" t="inlineStr">
        <is>
          <t>WYSOKI</t>
        </is>
      </c>
      <c r="G27" s="2" t="inlineStr">
        <is>
          <t>TEKST GOTOWY, do wklejenia w LSI (T09)</t>
        </is>
      </c>
    </row>
    <row r="28">
      <c r="A28" s="2" t="inlineStr">
        <is>
          <t>N28</t>
        </is>
      </c>
      <c r="B28" s="2" t="inlineStr">
        <is>
          <t>3.1.2 AI Lead Z7, IoT Specialist Z9 oraz uzasadnienie kosztu edge AI w Z2 (wiersze „300 ms”)</t>
        </is>
      </c>
      <c r="C28" s="2" t="inlineStr">
        <is>
          <t>Opóźnienie alertu „≤300 ms” (AI Lead Z7: pogodzenie 300 ms z degradacją 3 pp; IoT Z9: percentyl 95 do 300 ms; edge AI Z2: alerty do 300 ms).</t>
        </is>
      </c>
      <c r="D28" s="2" t="inlineStr">
        <is>
          <t>Ujednolicić do 1 s (percentyl 95), zgodnie ze wskaźnikiem, KM-Z7 i KM-Z9. Nowe teksty uzasadnień są w części trzeciej.</t>
        </is>
      </c>
      <c r="E28" s="2" t="inlineStr">
        <is>
          <t>K3-13, K3-15; KM-Z7</t>
        </is>
      </c>
      <c r="F28" s="14" t="inlineStr">
        <is>
          <t>WYSOKI</t>
        </is>
      </c>
      <c r="G28" s="2" t="inlineStr">
        <is>
          <t>TEKST GOTOWY (Sekcja_6.1 i 3.1.2), założenia D37: T23</t>
        </is>
      </c>
    </row>
    <row r="29">
      <c r="A29" s="2" t="inlineStr">
        <is>
          <t>N27</t>
        </is>
      </c>
      <c r="B29" s="2" t="inlineStr">
        <is>
          <t>Model finansowy (Założenia, Rozliczenie dotacji)</t>
        </is>
      </c>
      <c r="C29" s="2" t="inlineStr">
        <is>
          <t>Komentarz „18 miesięcy” w Założeniach; liczby godzin i etatów jak w starej wersji budżetu.</t>
        </is>
      </c>
      <c r="D29" s="2" t="inlineStr">
        <is>
          <t>Poprawić na 30 miesięcy oraz uspójnić z nowym podziałem Backend Z6/Z9 (N16) i z podziałem N18.</t>
        </is>
      </c>
      <c r="E29" s="2" t="inlineStr">
        <is>
          <t>K3-36; uwaga ogólna o spójności</t>
        </is>
      </c>
      <c r="F29" s="2" t="inlineStr">
        <is>
          <t>ŚREDNI</t>
        </is>
      </c>
      <c r="G29" s="2" t="inlineStr">
        <is>
          <t>TEKST GOTOWY, do wklejenia w LSI (T09)</t>
        </is>
      </c>
    </row>
    <row r="30">
      <c r="A30" s="2" t="inlineStr">
        <is>
          <t>N29</t>
        </is>
      </c>
      <c r="B30" s="2" t="inlineStr">
        <is>
          <t>6.4 Podwykonawcy i pozycja podwykonawstwa Z9 (nazwa i opis)</t>
        </is>
      </c>
      <c r="C30" s="2" t="inlineStr">
        <is>
          <t>„instalacja finalnych, zwalidowanych zestawów prototypowych oraz demontaż”.</t>
        </is>
      </c>
      <c r="D30" s="2" t="inlineStr">
        <is>
          <t>Po zmianie harmonogramu Z7 i Z9 pierwsze zestawy są instalowane w Fazie A (M22). Zmienić nazwę pozycji na „montaż zestawów prototypowych i demontaż po walidacji”, bez słów „finalnych, zwalidowanych”. Zakres: wyłącznie montaż i demontaż.</t>
        </is>
      </c>
      <c r="E30" s="2" t="inlineStr">
        <is>
          <t>K3-44; opis Z9, opis Z7</t>
        </is>
      </c>
      <c r="F30" s="2" t="inlineStr">
        <is>
          <t>WYSOKI</t>
        </is>
      </c>
      <c r="G30" s="2" t="inlineStr">
        <is>
          <t>TEKST GOTOWY, do wklejenia w LSI (T09)</t>
        </is>
      </c>
    </row>
    <row r="31">
      <c r="A31" s="2" t="inlineStr">
        <is>
          <t>N30</t>
        </is>
      </c>
      <c r="B31" s="2" t="inlineStr">
        <is>
          <t>3.1.2 Metoda szacowania personelu Everest11: stawki referencyjne z raportów płacowych (uwagi 34 i 35)</t>
        </is>
      </c>
      <c r="C31" s="2" t="inlineStr">
        <is>
          <t>Odniesienia do raportów No Fluff Jobs i Hays: liczby i strony zgadzają się z raportami (sprawdzone na s. 27, 30, 31, 32, 33, 35 NFJ i s. 38, 40 Hays). Niejednoznaczności opisowe: stanowiska bez wprost odpowiadającej kategorii (Backend/Full-Stack, IT Specialist, AI Lead, Anotatorzy), AI Senior Engineer ma stawkę z pasma Mid, IoT łączył dwa zakresy i Hays R&amp;D Engineer (inżynier produkcji), Hays „Opt” opisane jako „wartość optymalna”, opis „na granicy Mid/Senior” i „w środku pasma”.</t>
        </is>
      </c>
      <c r="D31" s="2" t="inlineStr">
        <is>
          <t>Przepisana metoda szacowania wszystkich 28 pozycji Everest11 (Z2, Z6, Z7, Z9) w formacie z uwagi 35: umowa o pracę, źródło i strona, kategoria i poziom jak w raporcie, widełki (mediany dolnych i górnych widełek z ogłoszeń), położenie stawki, przeliczenie na koszt pracodawcy; dla Anotatorów stawka godzinowa brutto-brutto (około 43 zł/h). Do decyzji właściciela: tytuł „AI Senior Engineer” przy poziomie Mid (D32). Dla osób obecnie zatrudnionych (uwaga 34) dopisać relację do obecnego wynagrodzenia.</t>
        </is>
      </c>
      <c r="E31" s="2" t="inlineStr">
        <is>
          <t>K3-34, K3-35</t>
        </is>
      </c>
      <c r="F31" s="14" t="inlineStr">
        <is>
          <t>WYSOKI</t>
        </is>
      </c>
      <c r="G31" s="2" t="inlineStr">
        <is>
          <t>ZROBIONE (metoda przepisana), D32 do decyzji</t>
        </is>
      </c>
    </row>
    <row r="32">
      <c r="A32" s="2" t="inlineStr">
        <is>
          <t>N31</t>
        </is>
      </c>
      <c r="B32" s="2" t="inlineStr">
        <is>
          <t>6.1 Zespół projektowy: status zatrudnienia osób Everest11 i PRz (uwagi 34, K5-1)</t>
        </is>
      </c>
      <c r="C32" s="2" t="inlineStr">
        <is>
          <t>Brak jednoznacznego statusu; pole „Status współpracy” i opis działu B+R sugerują, że część osób już pracuje u Lidera.</t>
        </is>
      </c>
      <c r="D32" s="2" t="inlineStr">
        <is>
          <t>Wpisać: żadna z osób Everest11 nie jest pracownikiem Everest11; wszystkie podpisały 08.06.2026 umowy warunkowe dotyczące zatrudnienia (warunek: otrzymanie dofinansowania); stawki wynegocjowano przy podpisaniu. Osoby PRz wykazane z imienia i nazwiska są pracownikami PRz. Dla każdej osoby termin rozpoczęcia, wymiar i sposób monitorowania limitu 276 godzin miesięcznie (K5-1).</t>
        </is>
      </c>
      <c r="E32" s="2" t="inlineStr">
        <is>
          <t>K3-34, K5-1</t>
        </is>
      </c>
      <c r="F32" s="2" t="inlineStr">
        <is>
          <t>WYSOKI</t>
        </is>
      </c>
      <c r="G32" s="2" t="inlineStr">
        <is>
          <t>TEKST GOTOWY (Sekcja_6.1 i 3.1.2), założenia D37: T23</t>
        </is>
      </c>
    </row>
    <row r="33">
      <c r="A33" s="2" t="inlineStr">
        <is>
          <t>N32</t>
        </is>
      </c>
      <c r="B33" s="2" t="inlineStr">
        <is>
          <t>1.2 Wskaźniki innowacyjności (5 tabel)</t>
        </is>
      </c>
      <c r="C33" s="2" t="inlineStr">
        <is>
          <t>Jednostki [cm], [ms]; baza AUC 0,50; baza latencji = interwał GSM; PoC z pokryciem eFTI w jednym polu; baza 0,30 m bez uzasadnienia względem 0,10 m.</t>
        </is>
      </c>
      <c r="D33" s="2" t="inlineStr">
        <is>
          <t>Wpisać teksty W1-W5 z pliku Wskazniki_innowacyjnosci_1.2_i_1.4.docx (jednostki SI, bazy jak w D16, rozdzielenie PoC i eFTI, błąd względny 0,03/0,05 m).</t>
        </is>
      </c>
      <c r="E33" s="2" t="inlineStr">
        <is>
          <t>K1-02, K1-03, K1-04; D33</t>
        </is>
      </c>
      <c r="F33" s="2" t="inlineStr">
        <is>
          <t>WYSOKI</t>
        </is>
      </c>
      <c r="G33" s="2" t="inlineStr">
        <is>
          <t>TEKST GOTOWY (Wskazniki_innowacyjnosci_1.2_i_1.4.docx), 6 żółtych parametrów: T11</t>
        </is>
      </c>
    </row>
    <row r="34">
      <c r="A34" s="2" t="inlineStr">
        <is>
          <t>N33</t>
        </is>
      </c>
      <c r="B34" s="2" t="inlineStr">
        <is>
          <t>1.2 Opis innowacji produktowej</t>
        </is>
      </c>
      <c r="C34" s="2" t="inlineStr">
        <is>
          <t>Teza „nie istnieje żaden produkt”; „Nexxiot Globe+”; „QbScan”; parametry w cm i ms; „floty Natanek Logistics”; ROI dodatni od 1. roku; kurs CMR 5 500-23 000 PLN.</t>
        </is>
      </c>
      <c r="D34" s="2" t="inlineStr">
        <is>
          <t>Wprowadzić 8 zmian z części 4 pliku Wskazniki_innowacyjnosci_1.2_i_1.4.docx.</t>
        </is>
      </c>
      <c r="E34" s="2" t="inlineStr">
        <is>
          <t>K1-01, K1-06; D33</t>
        </is>
      </c>
      <c r="F34" s="2" t="inlineStr">
        <is>
          <t>WYSOKI</t>
        </is>
      </c>
      <c r="G34" s="2" t="inlineStr">
        <is>
          <t>TEKST GOTOWY (Wskazniki_innowacyjnosci_1.2_i_1.4.docx), 6 żółtych parametrów: T11</t>
        </is>
      </c>
    </row>
    <row r="35">
      <c r="A35" s="2" t="inlineStr">
        <is>
          <t>N34</t>
        </is>
      </c>
      <c r="B35" s="2" t="inlineStr">
        <is>
          <t>1.4 Tekst i wskaźniki dodatkowe</t>
        </is>
      </c>
      <c r="C35" s="2" t="inlineStr">
        <is>
          <t>Wskaźnik ceny z bazą = koszt naczepy; „liczba warstw ICT”; fill rate 65%→80%; pokrycie eFTI z audytem prawnym podwykonawcy; tekst bez odniesienia do bezpośredniej konkurencji.</t>
        </is>
      </c>
      <c r="D35" s="2" t="inlineStr">
        <is>
          <t>Wpisać nowy tekst (3 029 znaków) i wskaźniki I1-I3; usunąć fill rate i warstwy ICT.</t>
        </is>
      </c>
      <c r="E35" s="2" t="inlineStr">
        <is>
          <t>K1-05, K1-06, K13-03; D33</t>
        </is>
      </c>
      <c r="F35" s="2" t="inlineStr">
        <is>
          <t>WYSOKI</t>
        </is>
      </c>
      <c r="G35" s="2" t="inlineStr">
        <is>
          <t>TEKST GOTOWY (Wskazniki_innowacyjnosci_1.2_i_1.4.docx), 6 żółtych parametrów: T11</t>
        </is>
      </c>
    </row>
    <row r="36">
      <c r="A36" s="2" t="inlineStr">
        <is>
          <t>N35</t>
        </is>
      </c>
      <c r="B36" s="2" t="inlineStr">
        <is>
          <t>Z8: opis i KM-Z8</t>
        </is>
      </c>
      <c r="C36" s="2" t="inlineStr">
        <is>
          <t>Brak pomiaru wartości bazowej mAP (ogólny detektor bez adaptacji domenowej) na tym samym zbiorze testowym.</t>
        </is>
      </c>
      <c r="D36" s="2" t="inlineStr">
        <is>
          <t>Dopisać pomiar bazy mAP do opisu Z8 i KM-Z8 (parametr 4), z zachowaniem limitu 1300 znaków pola parametrów.</t>
        </is>
      </c>
      <c r="E36" s="2" t="inlineStr">
        <is>
          <t>W3 (K1-02); D33</t>
        </is>
      </c>
      <c r="F36" s="2" t="inlineStr">
        <is>
          <t>ŚREDNI</t>
        </is>
      </c>
      <c r="G36" s="2" t="inlineStr">
        <is>
          <t>TEKST GOTOWY w Opisach zadań (zamknięte), 62 żółte wartości: T11, T35</t>
        </is>
      </c>
    </row>
    <row r="37">
      <c r="A37" s="2" t="inlineStr">
        <is>
          <t>N36</t>
        </is>
      </c>
      <c r="B37" s="2" t="inlineStr">
        <is>
          <t>7.4 REDUCE i model finansowy</t>
        </is>
      </c>
      <c r="C37" s="2" t="inlineStr">
        <is>
          <t>Wskaźnik „średni poziom wykorzystania przestrzeni ładunkowej” (fill rate) nadal występuje.</t>
        </is>
      </c>
      <c r="D37" s="2" t="inlineStr">
        <is>
          <t>Usunąć wskaźnik fill rate z 7.4 (REDUCE oparte o dokumenty papierowe, D17), a w modelu finansowym sprawdzić odwołania.</t>
        </is>
      </c>
      <c r="E37" s="2" t="inlineStr">
        <is>
          <t>K13-03, D17</t>
        </is>
      </c>
      <c r="F37" s="2" t="inlineStr">
        <is>
          <t>ŚREDNI</t>
        </is>
      </c>
      <c r="G37" s="2" t="inlineStr">
        <is>
          <t>TEKST GOTOWY (Sekcja_7_zasady_horyzontalne_6R.docx), zobowiązania: T27-T29</t>
        </is>
      </c>
    </row>
    <row r="38">
      <c r="A38" s="2" t="inlineStr">
        <is>
          <t>N37</t>
        </is>
      </c>
      <c r="B38" s="2" t="inlineStr">
        <is>
          <t>Pozostałe wystąpienia nazw produktów</t>
        </is>
      </c>
      <c r="C38" s="2" t="inlineStr">
        <is>
          <t>„Nexxiot Globe+”, „Blickfeld QbScan”, „Nexxiot Glob+” w 1.2, 1.4 i innych sekcjach.</t>
        </is>
      </c>
      <c r="D38" s="2" t="inlineStr">
        <is>
          <t>Ujednolicić: Nexxiot Globehopper (do potwierdzenia nazwy), Blickfeld Qb2 z QbVolume.</t>
        </is>
      </c>
      <c r="E38" s="2" t="inlineStr">
        <is>
          <t>K1-01</t>
        </is>
      </c>
      <c r="F38" s="2" t="inlineStr">
        <is>
          <t>NISKI</t>
        </is>
      </c>
      <c r="G38" s="2" t="inlineStr">
        <is>
          <t>TEKST GOTOWY (Sekcja_1.3_i_ceny.docx, zamknięty); dalsze zmiany wg Zmiany_do_wprowadzenia (D47, D48)</t>
        </is>
      </c>
    </row>
    <row r="39">
      <c r="A39" s="2" t="inlineStr">
        <is>
          <t>N38</t>
        </is>
      </c>
      <c r="B39" s="2" t="inlineStr">
        <is>
          <t>Analiza FTO / K2-03</t>
        </is>
      </c>
      <c r="C39" s="2" t="inlineStr">
        <is>
          <t>Patenty na pomiar wypełnienia naczepy kamerą 3D (UPS i in.) wskazane przez wyszukiwarkę; niezweryfikowane.</t>
        </is>
      </c>
      <c r="D39" s="2" t="inlineStr">
        <is>
          <t>Sprawdzić w Espacenet (EP 3103072 i rodzina) i rozważyć dopisanie do analizy FTO dopiero po potwierdzeniu.</t>
        </is>
      </c>
      <c r="E39" s="2" t="inlineStr">
        <is>
          <t>K2-03</t>
        </is>
      </c>
      <c r="F39" s="2" t="inlineStr">
        <is>
          <t>WYSOKI</t>
        </is>
      </c>
      <c r="G39" s="2" t="inlineStr">
        <is>
          <t>DO SPRAWDZENIA (T13)</t>
        </is>
      </c>
    </row>
    <row r="40">
      <c r="A40" s="2" t="inlineStr">
        <is>
          <t>N39</t>
        </is>
      </c>
      <c r="B40" s="2" t="inlineStr">
        <is>
          <t>I1 wartość bazowa kosztu</t>
        </is>
      </c>
      <c r="C40" s="2" t="inlineStr">
        <is>
          <t>Brak źródła ceny rozwiązań o podobnej funkcji.</t>
        </is>
      </c>
      <c r="D40" s="2" t="inlineStr">
        <is>
          <t>Zebrać oferty od co najmniej 3 dostawców (data zapytania) albo zastąpić wskaźnik I1.</t>
        </is>
      </c>
      <c r="E40" s="2" t="inlineStr">
        <is>
          <t>K1-05</t>
        </is>
      </c>
      <c r="F40" s="2" t="inlineStr">
        <is>
          <t>WYSOKI</t>
        </is>
      </c>
      <c r="G40" s="2" t="inlineStr">
        <is>
          <t>OTWARTE: oferty cenowe dla I1 (T10)</t>
        </is>
      </c>
    </row>
    <row r="41">
      <c r="A41" s="2" t="inlineStr">
        <is>
          <t>N40</t>
        </is>
      </c>
      <c r="B41" s="2" t="inlineStr">
        <is>
          <t>1.3 TAM/SAM/SOM</t>
        </is>
      </c>
      <c r="C41" s="2" t="inlineStr">
        <is>
          <t>TAM 600 000 (prezentacja), 567 800 ciągników, SAM 200 000 bez metody, CEE 400-600 tys.</t>
        </is>
      </c>
      <c r="D41" s="2" t="inlineStr">
        <is>
          <t>Wpisać tekst z pliku Sekcja_1.3_i_ceny.docx (TAM 544,97 tys.), uzupełnić metodę SAM, usunąć CEE z prognozy.</t>
        </is>
      </c>
      <c r="E41" s="2" t="inlineStr">
        <is>
          <t>K2-05; D34</t>
        </is>
      </c>
      <c r="F41" s="2" t="inlineStr">
        <is>
          <t>WYSOKI</t>
        </is>
      </c>
      <c r="G41" s="2" t="inlineStr">
        <is>
          <t>TEKST GOTOWY (Sekcja_1.3_i_ceny.docx, zamknięty); dalsze zmiany wg Zmiany_do_wprowadzenia (D47, D48)</t>
        </is>
      </c>
    </row>
    <row r="42">
      <c r="A42" s="2" t="inlineStr">
        <is>
          <t>N41</t>
        </is>
      </c>
      <c r="B42" s="2" t="inlineStr">
        <is>
          <t>eFTI jako obowiązek (1.3, 1.4, 7.4, model)</t>
        </is>
      </c>
      <c r="C42" s="2" t="inlineStr">
        <is>
          <t>„Obowiązuje od 21.08.2024, dotyczy każdego operatora”.</t>
        </is>
      </c>
      <c r="D42" s="2" t="inlineStr">
        <is>
          <t>Obowiązek dotyczy organów od 21.08.2025; dla przewoźników dobrowolne. Zmienić wszędzie.</t>
        </is>
      </c>
      <c r="E42" s="2" t="inlineStr">
        <is>
          <t>K2-11, K13; D34</t>
        </is>
      </c>
      <c r="F42" s="2" t="inlineStr">
        <is>
          <t>WYSOKI</t>
        </is>
      </c>
      <c r="G42" s="2" t="inlineStr">
        <is>
          <t>TEKST GOTOWY (Sekcja_1.3_i_ceny.docx, zamknięty); dalsze zmiany wg Zmiany_do_wprowadzenia (D47, D48)</t>
        </is>
      </c>
    </row>
    <row r="43">
      <c r="A43" s="2" t="inlineStr">
        <is>
          <t>N42</t>
        </is>
      </c>
      <c r="B43" s="2" t="inlineStr">
        <is>
          <t>1.3 i model: wartość roszczenia i ROI</t>
        </is>
      </c>
      <c r="C43" s="2" t="inlineStr">
        <is>
          <t>5 500 PLN, 3 000-15 000 PLN, 5 500-23 000 PLN, „ROI dodatni od 1. roku”.</t>
        </is>
      </c>
      <c r="D43" s="2" t="inlineStr">
        <is>
          <t>Zastąpić obliczeniem CMR z kursem SDR (8 489-21 222 PLN); usunąć ROI.</t>
        </is>
      </c>
      <c r="E43" s="2" t="inlineStr">
        <is>
          <t>K2-06, K2-14; D34</t>
        </is>
      </c>
      <c r="F43" s="2" t="inlineStr">
        <is>
          <t>WYSOKI</t>
        </is>
      </c>
      <c r="G43" s="2" t="inlineStr">
        <is>
          <t>TEKST GOTOWY (Sekcja_1.3_i_ceny.docx, zamknięty); dalsze zmiany wg Zmiany_do_wprowadzenia (D47, D48)</t>
        </is>
      </c>
    </row>
    <row r="44">
      <c r="A44" s="2" t="inlineStr">
        <is>
          <t>N43</t>
        </is>
      </c>
      <c r="B44" s="2" t="inlineStr">
        <is>
          <t>1.3 ceny konkurencji</t>
        </is>
      </c>
      <c r="C44" s="2" t="inlineStr">
        <is>
          <t>Brak cen konkurencji.</t>
        </is>
      </c>
      <c r="D44" s="2" t="inlineStr">
        <is>
          <t>Wpisać zakres z ofert (T10) albo orientacyjny SkyBitz z Capterra.</t>
        </is>
      </c>
      <c r="E44" s="2" t="inlineStr">
        <is>
          <t>K2-14, K2-15</t>
        </is>
      </c>
      <c r="F44" s="2" t="inlineStr">
        <is>
          <t>WYSOKI</t>
        </is>
      </c>
      <c r="G44" s="2" t="inlineStr">
        <is>
          <t>TEKST GOTOWY (Sekcja_1.3_i_ceny.docx, zamknięty); dalsze zmiany wg Zmiany_do_wprowadzenia (D47, D48)</t>
        </is>
      </c>
    </row>
    <row r="45">
      <c r="A45" s="2" t="inlineStr">
        <is>
          <t>N44</t>
        </is>
      </c>
      <c r="B45" s="2" t="inlineStr">
        <is>
          <t>Model finansowy: komentarz w Przychodach</t>
        </is>
      </c>
      <c r="C45" s="2" t="inlineStr">
        <is>
          <t>„Ekspansja CEE od 2033”, „ROI od pierwszego roku”, 5 500 PLN, spadek naczep 31,4% (z liczb 31,8%).</t>
        </is>
      </c>
      <c r="D45" s="2" t="inlineStr">
        <is>
          <t>ZROBIONE w modelu (Model_finansowy_CargoDT_Everest_II_kwartal_2026.xlsm, Przychody B255): trzej operatorzy z LOI na 50 naczep, 31,8%, eFTI od 21.08.2025 dobrowolne dla przewoźników, limit CMR 8 489-21 222 zł zamiast 5 500 zł i ROI, bez ekspansji CEE.</t>
        </is>
      </c>
      <c r="E45" s="2" t="inlineStr">
        <is>
          <t>K2-12, K2-16</t>
        </is>
      </c>
      <c r="F45" s="2" t="inlineStr">
        <is>
          <t>ŚREDNI</t>
        </is>
      </c>
      <c r="G45" s="2" t="inlineStr">
        <is>
          <t>OTWARTE</t>
        </is>
      </c>
    </row>
    <row r="46">
      <c r="A46" s="2" t="inlineStr">
        <is>
          <t>N45</t>
        </is>
      </c>
      <c r="B46" s="2" t="inlineStr">
        <is>
          <t>2.1 data wdrożenia i flota własna</t>
        </is>
      </c>
      <c r="C46" s="2" t="inlineStr">
        <is>
          <t>11.2029 vs start sprzedaży 01.2030 (D09); „20 naczep” bez floty.</t>
        </is>
      </c>
      <c r="D46" s="2" t="inlineStr">
        <is>
          <t>Ujednolicić: 01.2030; flota własna 5 zestawów w najmie, aneks do 20 (D10).</t>
        </is>
      </c>
      <c r="E46" s="2" t="inlineStr">
        <is>
          <t>K2-01, K2-06; D09, D10</t>
        </is>
      </c>
      <c r="F46" s="2" t="inlineStr">
        <is>
          <t>WYSOKI</t>
        </is>
      </c>
      <c r="G46" s="2" t="inlineStr">
        <is>
          <t>TEKST GOTOWY (Sekcja_1.3_i_ceny.docx, zamknięty); dalsze zmiany wg Zmiany_do_wprowadzenia (D47, D48)</t>
        </is>
      </c>
    </row>
    <row r="47">
      <c r="A47" s="2" t="inlineStr">
        <is>
          <t>N46</t>
        </is>
      </c>
      <c r="B47" s="2" t="inlineStr">
        <is>
          <t>Prezentacja z panelu</t>
        </is>
      </c>
      <c r="C47" s="2" t="inlineStr">
        <is>
          <t>600 000 naczep w Polsce i CEE.</t>
        </is>
      </c>
      <c r="D47" s="2" t="inlineStr">
        <is>
          <t>Używać jednej podstawy (TAM 544,97 tys. dla Polski).</t>
        </is>
      </c>
      <c r="E47" s="2" t="inlineStr">
        <is>
          <t>K2-05</t>
        </is>
      </c>
      <c r="F47" s="2" t="inlineStr">
        <is>
          <t>NISKI</t>
        </is>
      </c>
      <c r="G47" s="2" t="inlineStr">
        <is>
          <t>NIE DOTYCZY (prezentacja z panelu, bez zmian we wniosku)</t>
        </is>
      </c>
    </row>
    <row r="48">
      <c r="A48" s="2" t="inlineStr">
        <is>
          <t>N47</t>
        </is>
      </c>
      <c r="B48" s="2" t="inlineStr">
        <is>
          <t>2.1 Segment 3, Z10 pkt 3.2.2, 1.3</t>
        </is>
      </c>
      <c r="C48" s="2" t="inlineStr">
        <is>
          <t>„400 000-600 000 naczep” w CEE bez źródła; „0% substytutów”; „eFTI obejmuje wszystkich operatorów”.</t>
        </is>
      </c>
      <c r="D48" s="2" t="inlineStr">
        <is>
          <t>Usunąć lub oprzeć na Eurostacie; zamienić tezę o eFTI zgodnie z N41; złagodzić „0% substytutów”.</t>
        </is>
      </c>
      <c r="E48" s="2" t="inlineStr">
        <is>
          <t>K2-05; N41, T19</t>
        </is>
      </c>
      <c r="F48" s="2" t="inlineStr">
        <is>
          <t>WYSOKI</t>
        </is>
      </c>
      <c r="G48" s="2" t="inlineStr">
        <is>
          <t>TEKST GOTOWY (Sekcja_1.3_i_ceny.docx, zamknięty); dalsze zmiany wg Zmiany_do_wprowadzenia (D47, D48)</t>
        </is>
      </c>
    </row>
    <row r="49">
      <c r="A49" s="2" t="inlineStr">
        <is>
          <t>N48</t>
        </is>
      </c>
      <c r="B49" s="2" t="inlineStr">
        <is>
          <t>2.1 Etap 1 i model finansowy (komentarz Przychody)</t>
        </is>
      </c>
      <c r="C49" s="2" t="inlineStr">
        <is>
          <t>„Wdrożenie we własnej działalności”, 20 naczep wdrożenia własnego, „4 klientów” w progu 50 pojazdów.</t>
        </is>
      </c>
      <c r="D49" s="2" t="inlineStr">
        <is>
          <t>Cel 50 pojazdów u trzech operatorów (LOI na łącznie 50 naczep); wdrożenie własne opisać jako wprowadzenie usługi i integrację z TMS.</t>
        </is>
      </c>
      <c r="E49" s="2" t="inlineStr">
        <is>
          <t>K2-01; D35</t>
        </is>
      </c>
      <c r="F49" s="2" t="inlineStr">
        <is>
          <t>WYSOKI</t>
        </is>
      </c>
      <c r="G49" s="2" t="inlineStr">
        <is>
          <t>TEKST GOTOWY (Sekcja_1.3_i_ceny.docx, zamknięty); dalsze zmiany wg Zmiany_do_wprowadzenia (D47, D48)</t>
        </is>
      </c>
    </row>
    <row r="50">
      <c r="A50" s="2" t="inlineStr">
        <is>
          <t>N49</t>
        </is>
      </c>
      <c r="B50" s="2" t="inlineStr">
        <is>
          <t>2.1 pkt cena i opłacalność</t>
        </is>
      </c>
      <c r="C50" s="2" t="inlineStr">
        <is>
          <t>„Reklamacja śr. 3 000-15 000 PLN”, „system zwraca się przy uniknięciu jednej reklamacji rocznie”.</t>
        </is>
      </c>
      <c r="D50" s="2" t="inlineStr">
        <is>
          <t>Zastąpić obliczeniem CMR 8 489-21 222 PLN (kurs SDR 5,0954) i opisem z 1.3 (część V).</t>
        </is>
      </c>
      <c r="E50" s="2" t="inlineStr">
        <is>
          <t>K2-06; N42</t>
        </is>
      </c>
      <c r="F50" s="2" t="inlineStr">
        <is>
          <t>ŚREDNI</t>
        </is>
      </c>
      <c r="G50" s="2" t="inlineStr">
        <is>
          <t>TEKST GOTOWY (Sekcja_1.3_i_ceny.docx, zamknięty); dalsze zmiany wg Zmiany_do_wprowadzenia (D47, D48)</t>
        </is>
      </c>
    </row>
    <row r="51">
      <c r="A51" s="2" t="inlineStr">
        <is>
          <t>N50</t>
        </is>
      </c>
      <c r="B51" s="2" t="inlineStr">
        <is>
          <t>2.3 Rynek docelowy i Plan wprowadzenia, 2.4, 2.1 (data wdrożenia), Z10 3.2.2, model (komentarz Przychody)</t>
        </is>
      </c>
      <c r="C51" s="2" t="inlineStr">
        <is>
          <t>Wdrożenie własne na 20 naczepach, CEE 400-600 tys. bez źródła, SAM „w Polsce i regionie CEE”, reklamacja 3 000-15 000 PLN, data wdrożenia 11.2029.</t>
        </is>
      </c>
      <c r="D51" s="2" t="inlineStr">
        <is>
          <t>Wpisać nowe teksty R23 i P23 oraz zmiany z tabeli 5.3 w pliku Sekcja_1.3_i_ceny.docx.</t>
        </is>
      </c>
      <c r="E51" s="2" t="inlineStr">
        <is>
          <t>K2-01, K2-05, K2-06; D35, D09</t>
        </is>
      </c>
      <c r="F51" s="2" t="inlineStr">
        <is>
          <t>WYSOKI</t>
        </is>
      </c>
      <c r="G51" s="2" t="inlineStr">
        <is>
          <t>TEKST GOTOWY (Sekcja_1.3_i_ceny.docx, zamknięty); dalsze zmiany wg Zmiany_do_wprowadzenia (D47, D48)</t>
        </is>
      </c>
    </row>
    <row r="52">
      <c r="A52" s="2" t="inlineStr">
        <is>
          <t>N51</t>
        </is>
      </c>
      <c r="B52" s="2" t="inlineStr">
        <is>
          <t>2.2 Opis uzyskanych wyników i Wykazanie braku barier</t>
        </is>
      </c>
      <c r="C52" s="2" t="inlineStr">
        <is>
          <t>Wyszukiwarka sugeruje możliwe rozbieżności w opisach patentów (właściciel US 11,685,400 B2; charakter US 2013/0342653 A1 i US 7,468,660 B2; właściciel US 11,151,506 B2). NIEZWERYFIKOWANE: baz patentowych nie ma w dostępie, dane z wyszukiwarki były sprzeczne.</t>
        </is>
      </c>
      <c r="D52" s="2" t="inlineStr">
        <is>
          <t>Sprawdzić 5 patentów z wniosku w Espacenet i Google Patents (adresy w pliku, część 2). Jeśli opis się nie zgadza, poprawić. Teksty z pliku Sekcja_2.2_i_2.5 opierają się na opisach z wniosku i zawierają miejsca na status i terytorium.</t>
        </is>
      </c>
      <c r="E52" s="2" t="inlineStr">
        <is>
          <t>K2-03, K2-09; N38</t>
        </is>
      </c>
      <c r="F52" s="2" t="inlineStr">
        <is>
          <t>WYSOKI</t>
        </is>
      </c>
      <c r="G52" s="2" t="inlineStr">
        <is>
          <t>DO SPRAWDZENIA (T13)</t>
        </is>
      </c>
    </row>
    <row r="53">
      <c r="A53" s="2" t="inlineStr">
        <is>
          <t>N52</t>
        </is>
      </c>
      <c r="B53" s="2" t="inlineStr">
        <is>
          <t>2.2 Opis sposobu uregulowania praw</t>
        </is>
      </c>
      <c r="C53" s="2" t="inlineStr">
        <is>
          <t>Przeniesienie praw PRz „do 12 miesięcy po projekcie” (04.2030) vs sprzedaż od 01.2030.</t>
        </is>
      </c>
      <c r="D53" s="2" t="inlineStr">
        <is>
          <t>Wpisać harmonogram wg § 11 umowy konsorcjum: oświadczenie do 28.08.2029, wycena, przeniesienie do 30.11.2029, brak sprzedaży przed przeniesieniem (tekst 3.3 pliku Sekcja_2.2_i_2.5).</t>
        </is>
      </c>
      <c r="E53" s="2" t="inlineStr">
        <is>
          <t>K2-02; D36</t>
        </is>
      </c>
      <c r="F53" s="2" t="inlineStr">
        <is>
          <t>WYSOKI</t>
        </is>
      </c>
      <c r="G53" s="2" t="inlineStr">
        <is>
          <t>TEKST GOTOWY (Sekcja_2.2_i_2.5), potwierdzenia: T13</t>
        </is>
      </c>
    </row>
    <row r="54">
      <c r="A54" s="2" t="inlineStr">
        <is>
          <t>N53</t>
        </is>
      </c>
      <c r="B54" s="2" t="inlineStr">
        <is>
          <t>2.5 Zasoby kadrowe, techniczne, pozostałe</t>
        </is>
      </c>
      <c r="C54" s="2" t="inlineStr">
        <is>
          <t>Brak skalowania montażu i wsparcia, parametrów chmury, podmiotu produkcji, certyfikatów i WNiP; flota testowa używana do demonstracji klientom.</t>
        </is>
      </c>
      <c r="D54" s="2" t="inlineStr">
        <is>
          <t>Wpisać teksty 4.1-4.3 z pliku; usunąć demonstracje na prototypach (K3-56).</t>
        </is>
      </c>
      <c r="E54" s="2" t="inlineStr">
        <is>
          <t>K2-04, K2-07, K2-08</t>
        </is>
      </c>
      <c r="F54" s="2" t="inlineStr">
        <is>
          <t>WYSOKI</t>
        </is>
      </c>
      <c r="G54" s="2" t="inlineStr">
        <is>
          <t>TEKST GOTOWY (Sekcja_2.2_i_2.5), potwierdzenia: T13</t>
        </is>
      </c>
    </row>
    <row r="55">
      <c r="A55" s="2" t="inlineStr">
        <is>
          <t>N54</t>
        </is>
      </c>
      <c r="B55" s="2" t="inlineStr">
        <is>
          <t>Radar: 77 GHz vs 60 GHz</t>
        </is>
      </c>
      <c r="C55" s="2" t="inlineStr">
        <is>
          <t>Wniosek: radar FMCW 77 GHz; budżet: TI IWR6843 (60 GHz).</t>
        </is>
      </c>
      <c r="D55" s="2" t="inlineStr">
        <is>
          <t>Ujednolicić pasmo w 1.2, Z2, 2.5 i budżecie; zależy od niego ścieżka certyfikacji RED.</t>
        </is>
      </c>
      <c r="E55" s="2" t="inlineStr">
        <is>
          <t>K3-55, K2-04</t>
        </is>
      </c>
      <c r="F55" s="2" t="inlineStr">
        <is>
          <t>ŚREDNI</t>
        </is>
      </c>
      <c r="G55" s="2" t="inlineStr">
        <is>
          <t>OTWARTE: odpowiedź działu technicznego (T35)</t>
        </is>
      </c>
    </row>
    <row r="56">
      <c r="A56" s="2" t="inlineStr">
        <is>
          <t>N55</t>
        </is>
      </c>
      <c r="B56" s="2" t="inlineStr">
        <is>
          <t>1.2 / W3 i opis innowacji: „pierwsza implementacja CV zabezpieczeń”</t>
        </is>
      </c>
      <c r="C56" s="2" t="inlineStr">
        <is>
          <t>Twierdzenia o braku prac o CV zabezpieczeń; istnieją patenty i prace o monitorowaniu zabezpieczeń ładunku.</t>
        </is>
      </c>
      <c r="D56" s="2" t="inlineStr">
        <is>
          <t>Zmienić na „według dostępnej dokumentacji brak systemu analizy obrazu dla naczepy”.</t>
        </is>
      </c>
      <c r="E56" s="2" t="inlineStr">
        <is>
          <t>K1-01; N33</t>
        </is>
      </c>
      <c r="F56" s="2" t="inlineStr">
        <is>
          <t>ŚREDNI</t>
        </is>
      </c>
      <c r="G56" s="2" t="inlineStr">
        <is>
          <t>TEKST GOTOWY (Wskazniki_innowacyjnosci_1.2_i_1.4.docx), 6 żółtych parametrów: T11</t>
        </is>
      </c>
    </row>
    <row r="57">
      <c r="A57" s="2" t="inlineStr">
        <is>
          <t>N56</t>
        </is>
      </c>
      <c r="B57" s="2" t="inlineStr">
        <is>
          <t>2.5: eFTI „opracowana w Z8”</t>
        </is>
      </c>
      <c r="C57" s="2" t="inlineStr">
        <is>
          <t>Numer zadania.</t>
        </is>
      </c>
      <c r="D57" s="2" t="inlineStr">
        <is>
          <t>Poprawić na Z6.</t>
        </is>
      </c>
      <c r="E57" s="2" t="inlineStr">
        <is>
          <t>K3</t>
        </is>
      </c>
      <c r="F57" s="2" t="inlineStr">
        <is>
          <t>NISKI</t>
        </is>
      </c>
      <c r="G57" s="2" t="inlineStr">
        <is>
          <t>TEKST GOTOWY (Sekcja_2.2_i_2.5), potwierdzenia: T13</t>
        </is>
      </c>
    </row>
    <row r="58">
      <c r="A58" s="2" t="inlineStr">
        <is>
          <t>N57</t>
        </is>
      </c>
      <c r="B58" s="2" t="inlineStr">
        <is>
          <t>Model finansowy, arkusz Koszty operacyjne: koszt własny sprzedanego sprzętu</t>
        </is>
      </c>
      <c r="C58" s="2" t="inlineStr">
        <is>
          <t>Koszt komponentów zestawu w modelu: 4 875 zł za zestaw (243,75 tys. zł dla 50 sztuk w 2030 r.), czyli 65% ceny 7 500 zł. Arkusz 5 (ceny publiczne, rabat 30%) daje ok. 7 606 zł.</t>
        </is>
      </c>
      <c r="D58" s="2" t="inlineStr">
        <is>
          <t>Decyzja właścicielki (02.10.2026): koszt komponentów zostaje jak w modelu, 4 875 zł za zestaw (65% ceny). Do uspójnienia: tekst 1.3 (część V) i odpowiedź na K2-12 i K2-13 muszą podać podstawę tej kwoty (konfiguracja zestawu, źródło cen). Arkusz 5 (ok. 7,6 tys. zł przy rabacie 30%) zostaje jako ryzyko.</t>
        </is>
      </c>
      <c r="E58" s="2" t="inlineStr">
        <is>
          <t>K2-12, K2-13; D11</t>
        </is>
      </c>
      <c r="F58" s="2" t="inlineStr">
        <is>
          <t>WYSOKI</t>
        </is>
      </c>
      <c r="G58" s="2" t="inlineStr">
        <is>
          <t>DO USPÓJNIENIA</t>
        </is>
      </c>
    </row>
    <row r="59">
      <c r="A59" s="2" t="inlineStr">
        <is>
          <t>N58</t>
        </is>
      </c>
      <c r="B59" s="2" t="inlineStr">
        <is>
          <t>Model finansowy, arkusz Koszty operacyjne: komentarz</t>
        </is>
      </c>
      <c r="C59" s="2" t="inlineStr">
        <is>
          <t>„Cel 50 pojazdów w 2030 r. pokrywają już 4 kontrakty” oraz „zespół komercjalizacji” bez liczby etatów.</t>
        </is>
      </c>
      <c r="D59" s="2" t="inlineStr">
        <is>
          <t>PROPOZYCJA (D53): zespół komercjalizacji 1,5; 2,0; 2,5; 3,5; 4,5 etatu przy 19,2 tys. zł/etat (komentarz w arkuszu Koszty operacyjne). Do zatwierdzenia.</t>
        </is>
      </c>
      <c r="E59" s="2" t="inlineStr">
        <is>
          <t>K2-13; D35</t>
        </is>
      </c>
      <c r="F59" s="2" t="inlineStr">
        <is>
          <t>ŚREDNI</t>
        </is>
      </c>
      <c r="G59" s="2" t="inlineStr">
        <is>
          <t>DO USPÓJNIENIA</t>
        </is>
      </c>
    </row>
    <row r="60">
      <c r="A60" s="2" t="inlineStr">
        <is>
          <t>N59</t>
        </is>
      </c>
      <c r="B60" s="2" t="inlineStr">
        <is>
          <t>6.1 vs 3.1.2: nazwy stanowisk i status współpracy</t>
        </is>
      </c>
      <c r="C60" s="2" t="inlineStr">
        <is>
          <t>„Cybersecurity Specialist” w 6.1 vs „Cybersecurity / AI Act Specialist” w 3.1.2; pole „Status współpracy” z wszystkimi opcjami; wymiar bez zadań i miesięcy.</t>
        </is>
      </c>
      <c r="D60" s="2" t="inlineStr">
        <is>
          <t>Wpisać teksty z pliku Sekcja_6.1_zespol_projektowy.docx i ujednolicić nazwy z 3.1.2.</t>
        </is>
      </c>
      <c r="E60" s="2" t="inlineStr">
        <is>
          <t>K5-10; D37</t>
        </is>
      </c>
      <c r="F60" s="2" t="inlineStr">
        <is>
          <t>WYSOKI</t>
        </is>
      </c>
      <c r="G60" s="2" t="inlineStr">
        <is>
          <t>TEKST GOTOWY (Sekcja_6.1 i 3.1.2), założenia D37: T23</t>
        </is>
      </c>
    </row>
    <row r="61">
      <c r="A61" s="2" t="inlineStr">
        <is>
          <t>N60</t>
        </is>
      </c>
      <c r="B61" s="2" t="inlineStr">
        <is>
          <t>7.1: liczba osób w zespole</t>
        </is>
      </c>
      <c r="C61" s="2" t="inlineStr">
        <is>
          <t>„3 z 16 osób (2 z 9 u Lidera i 1 z 7 w PRz)” vs 9 osób Everest11 i 5 osób PRz z nazwiska plus osoby planowane.</t>
        </is>
      </c>
      <c r="D61" s="2" t="inlineStr">
        <is>
          <t>Sprawdzić z końcowym składem i poprawić liczby w 7.1.</t>
        </is>
      </c>
      <c r="E61" s="2" t="inlineStr">
        <is>
          <t>K5-11</t>
        </is>
      </c>
      <c r="F61" s="2" t="inlineStr">
        <is>
          <t>NISKI</t>
        </is>
      </c>
      <c r="G61" s="2" t="inlineStr">
        <is>
          <t>TEKST GOTOWY (Sekcja_6.1 i 3.1.2), założenia D37: T23</t>
        </is>
      </c>
    </row>
    <row r="62">
      <c r="A62" s="2" t="inlineStr">
        <is>
          <t>N61</t>
        </is>
      </c>
      <c r="B62" s="2" t="inlineStr">
        <is>
          <t>Z2 i Z6: zakresy IT Specialist i Backend</t>
        </is>
      </c>
      <c r="C62" s="2" t="inlineStr">
        <is>
          <t>Nakładające się prace (strukturyzacja zbioru w Z2, API i eFTI w Z6).</t>
        </is>
      </c>
      <c r="D62" s="2" t="inlineStr">
        <is>
          <t>Rozdział wprowadzony w tekstach zadań (Opisy_zadan, uzasadnienia kosztu Z2 i Z6) i w 6.1; wpisać w LSI w tej samej postaci.</t>
        </is>
      </c>
      <c r="E62" s="2" t="inlineStr">
        <is>
          <t>K5-02</t>
        </is>
      </c>
      <c r="F62" s="2" t="inlineStr">
        <is>
          <t>ŚREDNI</t>
        </is>
      </c>
      <c r="G62" s="2" t="inlineStr">
        <is>
          <t>TEKST GOTOWY (Sekcja_6.1 i 3.1.2), założenia D37: T23</t>
        </is>
      </c>
    </row>
    <row r="63">
      <c r="A63" s="2" t="inlineStr">
        <is>
          <t>N62</t>
        </is>
      </c>
      <c r="B63" s="2" t="inlineStr">
        <is>
          <t>6.2 Everest11: flota testowa i biuro</t>
        </is>
      </c>
      <c r="C63" s="2" t="inlineStr">
        <is>
          <t>„Zasób w posiadaniu Lidera” przy flocie; biuro bez adresu i tytułu prawnego; Z7 na infrastrukturze PRz.</t>
        </is>
      </c>
      <c r="D63" s="2" t="inlineStr">
        <is>
          <t>Wpisać pozycje z pliku Sekcja_6.2-6.4_zasoby_podwykonawca.docx; pisemne ustalenie PRz o udostępnieniu infrastruktury dla Z7 bez odpłatności.</t>
        </is>
      </c>
      <c r="E63" s="2" t="inlineStr">
        <is>
          <t>K5-12, K5-15, K5-16</t>
        </is>
      </c>
      <c r="F63" s="2" t="inlineStr">
        <is>
          <t>ŚREDNI</t>
        </is>
      </c>
      <c r="G63" s="2" t="inlineStr">
        <is>
          <t>TEKST GOTOWY (Sekcja_6.2-6.4), żółte pola: T25, T26</t>
        </is>
      </c>
    </row>
    <row r="64">
      <c r="A64" s="2" t="inlineStr">
        <is>
          <t>N63</t>
        </is>
      </c>
      <c r="B64" s="2" t="inlineStr">
        <is>
          <t>6.4 podwykonawca montażu</t>
        </is>
      </c>
      <c r="C64" s="2" t="inlineStr">
        <is>
          <t>Warunki minimalne bez liczby osób, doświadczenia i sposobu weryfikacji; niejasny wymóg „bez naruszenia homologacji”.</t>
        </is>
      </c>
      <c r="D64" s="2" t="inlineStr">
        <is>
          <t>Wpisać pola Kadrowe, Aparatura i Infrastruktura z pliku.</t>
        </is>
      </c>
      <c r="E64" s="2" t="inlineStr">
        <is>
          <t>K5-19</t>
        </is>
      </c>
      <c r="F64" s="2" t="inlineStr">
        <is>
          <t>ŚREDNI</t>
        </is>
      </c>
      <c r="G64" s="2" t="inlineStr">
        <is>
          <t>TEKST GOTOWY, do wklejenia w LSI (T09)</t>
        </is>
      </c>
    </row>
    <row r="65">
      <c r="A65" s="2" t="inlineStr">
        <is>
          <t>N64</t>
        </is>
      </c>
      <c r="B65" s="2" t="inlineStr">
        <is>
          <t>7.1, 7.2, 7.3 wniosek</t>
        </is>
      </c>
      <c r="C65" s="2" t="inlineStr">
        <is>
          <t>Stary tekst: zestaw retrofit neutralny (a ma panel HMI i buzzer), 16 osób i 10 stanowisk w zespole, opisy bez konkretnych działań per artykuł</t>
        </is>
      </c>
      <c r="D65" s="2" t="inlineStr">
        <is>
          <t>Wkleić teksty z Sekcja_7_zasady_horyzontalne_6R.docx (7.1 z tabelą 7 pozycji, 7.2, 7.3)</t>
        </is>
      </c>
      <c r="E65" s="2" t="inlineStr">
        <is>
          <t>K10-01..06, K11-01, K12-01</t>
        </is>
      </c>
      <c r="F65" s="2" t="inlineStr">
        <is>
          <t>WYSOKI</t>
        </is>
      </c>
      <c r="G65" s="2" t="inlineStr">
        <is>
          <t>TEKST GOTOWY (Sekcja_7_zasady_horyzontalne_6R.docx), zobowiązania: T27-T29</t>
        </is>
      </c>
    </row>
    <row r="66">
      <c r="A66" s="2" t="inlineStr">
        <is>
          <t>N65</t>
        </is>
      </c>
      <c r="B66" s="2" t="inlineStr">
        <is>
          <t>7.4 i 8.2 wniosek</t>
        </is>
      </c>
      <c r="C66" s="2" t="inlineStr">
        <is>
          <t>Wariant A, reduce 65% do 80% i refuse 0% do 90%, zielone zamówienia, niszczenie w toku badań</t>
        </is>
      </c>
      <c r="D66" s="2" t="inlineStr">
        <is>
          <t>Wariant B, reduce, dwa wskaźniki z pliku; teksty trzech aktów prawnych; 8.1 PLRR051 opisy metodologii i weryfikacji</t>
        </is>
      </c>
      <c r="E66" s="2" t="inlineStr">
        <is>
          <t>K13-01..06, D17, D38</t>
        </is>
      </c>
      <c r="F66" s="2" t="inlineStr">
        <is>
          <t>WYSOKI</t>
        </is>
      </c>
      <c r="G66" s="2" t="inlineStr">
        <is>
          <t>TEKST GOTOWY (Sekcja_7_zasady_horyzontalne_6R.docx), zobowiązania: T27-T29</t>
        </is>
      </c>
    </row>
    <row r="67">
      <c r="A67" s="2" t="inlineStr">
        <is>
          <t>N66</t>
        </is>
      </c>
      <c r="B67" s="2" t="inlineStr">
        <is>
          <t>7.1 opis panelu dyspozytora</t>
        </is>
      </c>
      <c r="C67" s="2" t="inlineStr">
        <is>
          <t>„zaprojektowana i wdrożona” WCAG 2.1 AA</t>
        </is>
      </c>
      <c r="D67" s="2" t="inlineStr">
        <is>
          <t>Panel jako wynik projektu weryfikowany w Z9, wdrożenie komercyjne po projekcie (opisy zadań wyłączają produkcyjny dashboard)</t>
        </is>
      </c>
      <c r="E67" s="2" t="inlineStr">
        <is>
          <t>K10-04, K10-05</t>
        </is>
      </c>
      <c r="F67" s="2" t="inlineStr">
        <is>
          <t>ŚREDNI</t>
        </is>
      </c>
      <c r="G67" s="2" t="inlineStr">
        <is>
          <t>TEKST GOTOWY (Sekcja_7_zasady_horyzontalne_6R.docx), zobowiązania: T27-T29</t>
        </is>
      </c>
    </row>
    <row r="68">
      <c r="A68" s="2" t="inlineStr">
        <is>
          <t>N67</t>
        </is>
      </c>
      <c r="B68" s="2" t="inlineStr">
        <is>
          <t>Opisy Z1, Z6, Z7, Z9</t>
        </is>
      </c>
      <c r="C68" s="2" t="inlineStr">
        <is>
          <t>Brak kryteriów dostępności i pomiaru papieru i danych do chmury</t>
        </is>
      </c>
      <c r="D68" s="2" t="inlineStr">
        <is>
          <t>Dopisać: kryteria dostępności w specyfikacji Z1, test panelu HMI w Z7, lista kontrolna WCAG w UX Z9, liczniki papieru (Z6, Z9) i bajtów (Z7, Z9)</t>
        </is>
      </c>
      <c r="E68" s="2" t="inlineStr">
        <is>
          <t>K10-04, K13-01..04</t>
        </is>
      </c>
      <c r="F68" s="2" t="inlineStr">
        <is>
          <t>ŚREDNI</t>
        </is>
      </c>
      <c r="G68" s="2" t="inlineStr">
        <is>
          <t>TEKST GOTOWY w Opisach zadań (zamknięte), 62 żółte wartości: T11, T35</t>
        </is>
      </c>
    </row>
    <row r="69">
      <c r="A69" s="2" t="inlineStr">
        <is>
          <t>N68</t>
        </is>
      </c>
      <c r="B69" s="2" t="inlineStr">
        <is>
          <t>3.2.5 Koszty uproszczone i 8.1 wskaźnik wyjazdów</t>
        </is>
      </c>
      <c r="C69" s="2" t="inlineStr">
        <is>
          <t>Sekcja 3.2.5 pusta, brak wskaźnika „Zrealizowany wyjazd służbowy na 1 pracownika, Europa”</t>
        </is>
      </c>
      <c r="D69" s="2" t="inlineStr">
        <is>
          <t>Dodać 2 pozycje stawek (10-4, 10-5) i wskaźnik = 3</t>
        </is>
      </c>
      <c r="E69" s="2" t="inlineStr">
        <is>
          <t>K3-65</t>
        </is>
      </c>
      <c r="F69" s="2" t="inlineStr">
        <is>
          <t>WYSOKI</t>
        </is>
      </c>
      <c r="G69" s="2" t="inlineStr">
        <is>
          <t>TEKST GOTOWY (Sekcja_3.2_internacjonalizacja_Z10_Z11.docx), T32, T36</t>
        </is>
      </c>
    </row>
    <row r="70">
      <c r="A70" s="2" t="inlineStr">
        <is>
          <t>N69</t>
        </is>
      </c>
      <c r="B70" s="2" t="inlineStr">
        <is>
          <t>3.2.3 pozycja tłumaczenia EPO</t>
        </is>
      </c>
      <c r="C70" s="2" t="inlineStr">
        <is>
          <t>Wydatki ogółem 3 500 równe kwalifikowalnym mimo VAT 23%</t>
        </is>
      </c>
      <c r="D70" s="2" t="inlineStr">
        <is>
          <t>Ogółem 4 305</t>
        </is>
      </c>
      <c r="E70" s="2" t="inlineStr">
        <is>
          <t>K3-59</t>
        </is>
      </c>
      <c r="F70" s="2" t="inlineStr">
        <is>
          <t>NISKI</t>
        </is>
      </c>
      <c r="G70" s="2" t="inlineStr">
        <is>
          <t>TEKST GOTOWY (Sekcja_3.2_internacjonalizacja_Z10_Z11.docx), T32, T36</t>
        </is>
      </c>
    </row>
    <row r="71">
      <c r="A71" s="2" t="inlineStr">
        <is>
          <t>N70</t>
        </is>
      </c>
      <c r="B71" s="2" t="inlineStr">
        <is>
          <t>8.2 wskaźnik FENGR-001 i komentarz modelu Przychody</t>
        </is>
      </c>
      <c r="C71" s="2" t="inlineStr">
        <is>
          <t>489 300 zł jako przychód poza RP</t>
        </is>
      </c>
      <c r="D71" s="2" t="inlineStr">
        <is>
          <t>0 zł w 2030 r. (D40); model bez zmian</t>
        </is>
      </c>
      <c r="E71" s="2" t="inlineStr">
        <is>
          <t>K14-01; D40</t>
        </is>
      </c>
      <c r="F71" s="2" t="inlineStr">
        <is>
          <t>WYSOKI</t>
        </is>
      </c>
      <c r="G71" s="2" t="inlineStr">
        <is>
          <t>TEKST GOTOWY (Sekcja_3.2_internacjonalizacja_Z10_Z11.docx), T32, T36</t>
        </is>
      </c>
    </row>
    <row r="72">
      <c r="A72" s="2" t="inlineStr">
        <is>
          <t>N71</t>
        </is>
      </c>
      <c r="B72" s="2" t="inlineStr">
        <is>
          <t>3.2.2 Z11 opis i 2.2 prawa</t>
        </is>
      </c>
      <c r="C72" s="2" t="inlineStr">
        <is>
          <t>Prawa PRz przenosi „przed zgłoszeniem”, rozliczenie „12 miesięcy po projekcie”</t>
        </is>
      </c>
      <c r="D72" s="2" t="inlineStr">
        <is>
          <t>Nowy tekst Z11: umowa o wykonywaniu wspólnych praw (§ 11 ust. 5) i terminy z § 11 (28.08.2029, 30.11.2029)</t>
        </is>
      </c>
      <c r="E72" s="2" t="inlineStr">
        <is>
          <t>K2-02; D36</t>
        </is>
      </c>
      <c r="F72" s="2" t="inlineStr">
        <is>
          <t>WYSOKI</t>
        </is>
      </c>
      <c r="G72" s="2" t="inlineStr">
        <is>
          <t>TEKST GOTOWY (Sekcja_3.2_internacjonalizacja_Z10_Z11.docx), T32, T36</t>
        </is>
      </c>
    </row>
    <row r="73">
      <c r="A73" s="2" t="inlineStr">
        <is>
          <t>N72</t>
        </is>
      </c>
      <c r="B73" s="2" t="inlineStr">
        <is>
          <t>3.1.3 pozycje amortyzacji (14)</t>
        </is>
      </c>
      <c r="C73" s="2" t="inlineStr">
        <is>
          <t>Zdanie „tylko celów nie związanych z projektem” (7 pozycji Everest11), brak parametrów odpisu, edge AI 500 zł bez źródła, radar „fill rate”, OAK-D jako ToF</t>
        </is>
      </c>
      <c r="D73" s="2" t="inlineStr">
        <is>
          <t>Wkleić pola z Sekcja_3.1_sprzet_i_amortyzacja.docx, zmienić kwoty w P1, P2, P3 oraz w pozycjach Everest11 wg zestawienia</t>
        </is>
      </c>
      <c r="E73" s="2" t="inlineStr">
        <is>
          <t>K3-48..58; D42</t>
        </is>
      </c>
      <c r="F73" s="2" t="inlineStr">
        <is>
          <t>WYSOKI</t>
        </is>
      </c>
      <c r="G73" s="2" t="inlineStr">
        <is>
          <t>TEKST GOTOWY (Sekcja_3.1_sprzet_i_amortyzacja.docx), ceny: T33, T35</t>
        </is>
      </c>
    </row>
    <row r="74">
      <c r="A74" s="2" t="inlineStr">
        <is>
          <t>N73</t>
        </is>
      </c>
      <c r="B74" s="2" t="inlineStr">
        <is>
          <t>7.4 odpady vs likwidacja po M30</t>
        </is>
      </c>
      <c r="C74" s="2" t="inlineStr">
        <is>
          <t>„Sprawne komponenty trafią do dalszych prac rozwojowych lub zestawów demonstracyjnych”</t>
        </is>
      </c>
      <c r="D74" s="2" t="inlineStr">
        <is>
          <t>Prototypy po Z9 demontaż, likwidacja protokołem, przekazanie ZSEE; bez dalszego użycia (K3-56). Nowy tekst w Sekcja_7_zasady_horyzontalne_6R.docx</t>
        </is>
      </c>
      <c r="E74" s="2" t="inlineStr">
        <is>
          <t>K3-56, K13-06</t>
        </is>
      </c>
      <c r="F74" s="2" t="inlineStr">
        <is>
          <t>ŚREDNI</t>
        </is>
      </c>
      <c r="G74" s="2" t="inlineStr">
        <is>
          <t>TEKST GOTOWY (Sekcja_7_zasady_horyzontalne_6R.docx), zobowiązania: T27-T29</t>
        </is>
      </c>
    </row>
    <row r="75">
      <c r="A75" s="2" t="inlineStr">
        <is>
          <t>N74</t>
        </is>
      </c>
      <c r="B75" s="2" t="inlineStr">
        <is>
          <t>3.1.2 podwykonawstwo Z2, Z9 (nazwa, uzasadnienie, metoda)</t>
        </is>
      </c>
      <c r="C75" s="2" t="inlineStr">
        <is>
          <t>Brak kalkulacji i ofert; „odbiór techniczny” w metodzie Z2; Z9 „finalnych, zwalidowanych”.</t>
        </is>
      </c>
      <c r="D75" s="2" t="inlineStr">
        <is>
          <t>Wkleić pola z Sekcja_3.1_podwykonawstwo_i_stawki_PRz.docx (części 2 i 3): Z2 obejmuje montaż i demontaż po kampanii, rozkład godzin.</t>
        </is>
      </c>
      <c r="E75" s="2" t="inlineStr">
        <is>
          <t>K3-43..47; N26, N29; D08, D44</t>
        </is>
      </c>
      <c r="F75" s="2" t="inlineStr">
        <is>
          <t>WYSOKI</t>
        </is>
      </c>
      <c r="G75" s="2" t="inlineStr">
        <is>
          <t>TEKST GOTOWY, do wklejenia w LSI (T09)</t>
        </is>
      </c>
    </row>
    <row r="76">
      <c r="A76" s="2" t="inlineStr">
        <is>
          <t>N75</t>
        </is>
      </c>
      <c r="B76" s="2" t="inlineStr">
        <is>
          <t>5. Analiza ryzyka R8</t>
        </is>
      </c>
      <c r="C76" s="2" t="inlineStr">
        <is>
          <t>Anotacja jako podwykonawstwo; brak podziału montaż Z2/Z9.</t>
        </is>
      </c>
      <c r="D76" s="2" t="inlineStr">
        <is>
          <t>Wkleić nazwę, opis i zapobieganie R8 (część 5 dokumentu).</t>
        </is>
      </c>
      <c r="E76" s="2" t="inlineStr">
        <is>
          <t>K3-46; N24</t>
        </is>
      </c>
      <c r="F76" s="2" t="inlineStr">
        <is>
          <t>WYSOKI</t>
        </is>
      </c>
      <c r="G76" s="2" t="inlineStr">
        <is>
          <t>TEKST GOTOWY, do wklejenia w LSI (T09)</t>
        </is>
      </c>
    </row>
    <row r="77">
      <c r="A77" s="2" t="inlineStr">
        <is>
          <t>N76</t>
        </is>
      </c>
      <c r="B77" s="2" t="inlineStr">
        <is>
          <t>3.1.2 PRz: 40 pozycji wynagrodzeń; Z8 stawki i godziny; Z4 nazwa kosztu</t>
        </is>
      </c>
      <c r="C77" s="2" t="inlineStr">
        <is>
          <t>Brak dodatku miesięcznego i stopnia/tytułu w metodzie, prefiks „Z4 (prace rozwojowe) ·” w nazwie; godziny Z8 liczone według stawek o 8% niższych niż w Z1-Z5.</t>
        </is>
      </c>
      <c r="D77" s="2" t="inlineStr">
        <is>
          <t>Wkleić nazwy, kwoty (Z8) i metody szacowania (części 6.2, 6.4). Suma Z8 i PRz bez zmian.</t>
        </is>
      </c>
      <c r="E77" s="2" t="inlineStr">
        <is>
          <t>K3-41, K3-42; D43</t>
        </is>
      </c>
      <c r="F77" s="2" t="inlineStr">
        <is>
          <t>WYSOKI</t>
        </is>
      </c>
      <c r="G77" s="2" t="inlineStr">
        <is>
          <t>TEKST GOTOWY (Sekcja_3.1_podwykonawstwo_i_stawki_PRz.docx, wersja ostateczna)</t>
        </is>
      </c>
    </row>
    <row r="78">
      <c r="A78" s="2" t="inlineStr">
        <is>
          <t>N77</t>
        </is>
      </c>
      <c r="B78" s="2" t="inlineStr">
        <is>
          <t>3.1.1 opis Z8 (godziny PRz) i tabela godzin osób w Opisach zadań</t>
        </is>
      </c>
      <c r="C78" s="2" t="inlineStr">
        <is>
          <t>Godziny Z8: 325/325/120/110/242/200/204/200; „Montaż i demontaż sensorów wykona podwykonawca” w Z2.</t>
        </is>
      </c>
      <c r="D78" s="2" t="inlineStr">
        <is>
          <t>Po odblokowaniu Opisów zadań: godziny Z8 301/301/111/102/224/185/189/185; zdanie Z2 wg odpowiedzi T37.</t>
        </is>
      </c>
      <c r="E78" s="2" t="inlineStr">
        <is>
          <t>K3-42, K3-45; D43, T37</t>
        </is>
      </c>
      <c r="F78" s="2" t="inlineStr">
        <is>
          <t>ŚREDNI</t>
        </is>
      </c>
      <c r="G78" s="2" t="inlineStr">
        <is>
          <t>ZROBIONE w Opisach zadań (godziny Z8); zdanie Z2 bez zmian</t>
        </is>
      </c>
    </row>
    <row r="79">
      <c r="A79" s="2" t="inlineStr">
        <is>
          <t>N78</t>
        </is>
      </c>
      <c r="B79" s="2" t="inlineStr">
        <is>
          <t>Model Everest11: Założenia C14, Sprawozdania kol. F (22 komórki), Przychody w. 27, Koszty w. 15, 24, 43, 65 (K:X); komentarze w arkuszach Sprawozdania, Przychody, Koszty (B645), Kapitał pracujący</t>
        </is>
      </c>
      <c r="C79" s="2" t="inlineStr">
        <is>
          <t>Dane za I kwartał 2026 i prognoza „I kwartał x 4”.</t>
        </is>
      </c>
      <c r="D79" s="2" t="inlineStr">
        <is>
          <t>Wprowadzić dane za II kwartał i prognozę „I półrocze x 2” wg Sekcja_K6_sprawozdanie_2Q2026_model.docx, części 2 i 4.</t>
        </is>
      </c>
      <c r="E79" s="2" t="inlineStr">
        <is>
          <t>K6-07, K6-06, K6-09; D45</t>
        </is>
      </c>
      <c r="F79" s="2" t="inlineStr">
        <is>
          <t>WYSOKI</t>
        </is>
      </c>
      <c r="G79" s="2" t="inlineStr">
        <is>
          <t>ZROBIONE w modelu (plik z 05.10); do wklejenia w LSI</t>
        </is>
      </c>
    </row>
    <row r="80">
      <c r="A80" s="2" t="inlineStr">
        <is>
          <t>N79</t>
        </is>
      </c>
      <c r="B80" s="2" t="inlineStr">
        <is>
          <t>Model Everest11, arkusz Ocena kondycji finansowej, komentarz B444</t>
        </is>
      </c>
      <c r="C80" s="2" t="inlineStr">
        <is>
          <t>Środki pieniężne „od 2 618 tys. zł w 2026 r. do 16 679 tys. zł w 2039 r.”, których model nie potwierdzał (przed zmianą 2 648 i 31 195 tys. zł); brak zdania o rentowności (K6-13); opis kontrolek bez wiersza 124.</t>
        </is>
      </c>
      <c r="D80" s="2" t="inlineStr">
        <is>
          <t>Wklejony nowy komentarz (liczby z przeliczonego modelu: 2 564 i 30 650 tys. zł) wraz ze zdaniem o rentowności i uzupełnionym opisem kontrolek.</t>
        </is>
      </c>
      <c r="E80" s="2" t="inlineStr">
        <is>
          <t>K6-13; D45</t>
        </is>
      </c>
      <c r="F80" s="2" t="inlineStr">
        <is>
          <t>WYSOKI</t>
        </is>
      </c>
      <c r="G80" s="2" t="inlineStr">
        <is>
          <t>ZROBIONE w pliku modelu</t>
        </is>
      </c>
    </row>
    <row r="81">
      <c r="A81" s="2" t="inlineStr">
        <is>
          <t>N80</t>
        </is>
      </c>
      <c r="B81" s="2" t="inlineStr">
        <is>
          <t>Model Everest11, arkusz Założenia, komentarz B79 (K6-02)</t>
        </is>
      </c>
      <c r="C81" s="2" t="inlineStr">
        <is>
          <t>Brak uzasadnienia stawki CIT i pustych stawek amortyzacji i oprocentowania.</t>
        </is>
      </c>
      <c r="D81" s="2" t="inlineStr">
        <is>
          <t>Dopisane zdania: CIT 19% (przychód 2025 powyżej 2 mln EUR), brak środków trwałych i kredytów w działalności dotychczasowej. Stawka CIT do potwierdzenia przez księgową (T42).</t>
        </is>
      </c>
      <c r="E81" s="2" t="inlineStr">
        <is>
          <t>K6-02</t>
        </is>
      </c>
      <c r="F81" s="2" t="inlineStr">
        <is>
          <t>ŚREDNI</t>
        </is>
      </c>
      <c r="G81" s="2" t="inlineStr">
        <is>
          <t>ZROBIONE w pliku modelu, do potwierdzenia</t>
        </is>
      </c>
    </row>
    <row r="82">
      <c r="A82" s="2" t="inlineStr">
        <is>
          <t>N81</t>
        </is>
      </c>
      <c r="B82" s="2" t="inlineStr">
        <is>
          <t>Koncentracja sprzedaży (Amazon 95% w 2025, 100% w 2026) vs „ponad 50 aktywnych kontrahentów” (pkt 1.3, 2.1, Przychody, Koszty)</t>
        </is>
      </c>
      <c r="C82" s="2" t="inlineStr">
        <is>
          <t>„Rozszerzenie istniejącej relacji handlowej z ponad 50 aktywnymi kontrahentami spedycyjnymi Everest11”.</t>
        </is>
      </c>
      <c r="D82" s="2" t="inlineStr">
        <is>
          <t>ZROBIONE: usunięte „ponad 50 aktywnych kontrahentów” w pkt 1.3, komentarzach modelu i planie zastępczym R11; dopisany jeden odbiorca (Amazon) w komentarzu Przychody.</t>
        </is>
      </c>
      <c r="E82" s="2" t="inlineStr">
        <is>
          <t>K6-05, K2-01; T45</t>
        </is>
      </c>
      <c r="F82" s="2" t="inlineStr">
        <is>
          <t>WYSOKI</t>
        </is>
      </c>
      <c r="G82" s="2" t="inlineStr">
        <is>
          <t>OTWARTE</t>
        </is>
      </c>
    </row>
    <row r="83">
      <c r="A83" s="2" t="inlineStr">
        <is>
          <t>N82</t>
        </is>
      </c>
      <c r="B83" s="2" t="inlineStr">
        <is>
          <t>Ryzyko cen transferowych (K3-32) i niezależność walidacji (K3-11) vs ok. 95% zakupów usług od Natanek Logistics</t>
        </is>
      </c>
      <c r="C83" s="2" t="inlineStr">
        <is>
          <t>Opis ryzyka mówi ogólnie o współpracy z firmami przyszłego Inwestora.</t>
        </is>
      </c>
      <c r="D83" s="2" t="inlineStr">
        <is>
          <t>ZROBIONE: R12 przepisane (skala 95%, Natanek Logistics powiązany z Inwestorem i głównym dostawcą), zdanie w opisie Z9, informacja w pkt 1.3. Do potwierdzenia przez właścicielkę: sformułowania zobowiązań w R12 (kwartalny monitoring udziału, alternatywni przewoźnicy).</t>
        </is>
      </c>
      <c r="E83" s="2" t="inlineStr">
        <is>
          <t>K3-32, K6-16; T45</t>
        </is>
      </c>
      <c r="F83" s="2" t="inlineStr">
        <is>
          <t>WYSOKI</t>
        </is>
      </c>
      <c r="G83" s="2" t="inlineStr">
        <is>
          <t>OTWARTE</t>
        </is>
      </c>
    </row>
    <row r="84">
      <c r="A84" s="2" t="inlineStr">
        <is>
          <t>N83</t>
        </is>
      </c>
      <c r="B84" s="2" t="inlineStr">
        <is>
          <t>Opisy zadań i Poprawki do wklejenia: R12 (ryzyko), R11 (plan zastępczy), Z9 (niezależność), pkt 1.3 po D47-D48</t>
        </is>
      </c>
      <c r="C84" s="2" t="inlineStr">
        <is>
          <t>„Jeden z trzech niezależnych klientów”, „ponad 50 aktywnych kontrahentów”.</t>
        </is>
      </c>
      <c r="D84" s="2" t="inlineStr">
        <is>
          <t>DO WPROWADZENIA W LSI wg zestawienia Zmiany_do_wprowadzenia_w_plikach_zamknietych.docx (pliki Sekcja_1.3, Poprawki, Opisy są zamknięte i przywrócone do wersji sprzed 05.10).</t>
        </is>
      </c>
      <c r="E84" s="2" t="inlineStr">
        <is>
          <t>D47, D48</t>
        </is>
      </c>
      <c r="F84" s="2" t="inlineStr">
        <is>
          <t>WYSOKI</t>
        </is>
      </c>
      <c r="G84" s="2" t="inlineStr">
        <is>
          <t>ZROBIONE</t>
        </is>
      </c>
    </row>
    <row r="85">
      <c r="A85" s="2" t="inlineStr">
        <is>
          <t>N84</t>
        </is>
      </c>
      <c r="B85" s="2" t="inlineStr">
        <is>
          <t>Możliwe powiązanie: Wojciech Chrzanowski (jedyny wspólnik i prezes) – kancelaria adwokacka dostawcy usług prawnych – Maciej Chrzanowski (kierownik zarządzający)</t>
        </is>
      </c>
      <c r="C85" s="2" t="inlineStr">
        <is>
          <t>Księgowa wymienia „Wojciech Chrzanowski Kancelaria Adwokacka” wśród dostawców; KRS: Wojciech Chrzanowski jedyny wspólnik i prezes.</t>
        </is>
      </c>
      <c r="D85" s="2" t="inlineStr">
        <is>
          <t>ZAMKNIĘTE: kancelaria potwierdzona, brak pokrewieństwa z Maciejem Chrzanowskim (zbieg nazwisk). Pozostaje usunięte słowo „niezależnych” przy dostawcach.</t>
        </is>
      </c>
      <c r="E85" s="2" t="inlineStr">
        <is>
          <t>Odpis KRS 05.10.2026; T45</t>
        </is>
      </c>
      <c r="F85" s="2" t="inlineStr">
        <is>
          <t>WYSOKI</t>
        </is>
      </c>
      <c r="G85" s="2" t="inlineStr">
        <is>
          <t>OTWARTE</t>
        </is>
      </c>
    </row>
    <row r="86">
      <c r="A86" s="2" t="inlineStr">
        <is>
          <t>N85</t>
        </is>
      </c>
      <c r="B86" s="2" t="inlineStr">
        <is>
          <t>Model Everest11, arkusze Zaliczka-refundacja i Zaliczka-refundacja Konsorcjum (K6-14)</t>
        </is>
      </c>
      <c r="C86" s="2" t="inlineStr">
        <is>
          <t>Suma zaliczek 91,63% (Everest11) i 91,21% (konsorcjum) wobec limitu 90%; refundacja końcowa 8,4% i 8,8%.</t>
        </is>
      </c>
      <c r="D86" s="2" t="inlineStr">
        <is>
          <t>Przesunięte 63 048,12 zł dofinansowania z II półrocza 2028 do II półrocza 2029; suma zaliczek 89,5% i 89,63%.</t>
        </is>
      </c>
      <c r="E86" s="2" t="inlineStr">
        <is>
          <t>K6-14; D52</t>
        </is>
      </c>
      <c r="F86" s="2" t="inlineStr">
        <is>
          <t>KRYTYCZNY</t>
        </is>
      </c>
      <c r="G86" s="2" t="inlineStr">
        <is>
          <t>ZROBIONE w modelu</t>
        </is>
      </c>
    </row>
    <row r="87">
      <c r="A87" s="2" t="inlineStr">
        <is>
          <t>N86</t>
        </is>
      </c>
      <c r="B87" s="2" t="inlineStr">
        <is>
          <t>6.1 / biografia PRz w LSI: Andrzej Włoch</t>
        </is>
      </c>
      <c r="C87" s="2" t="inlineStr">
        <is>
          <t>Biografia z wniosku: „profesor uczelni, kierownik Zakładu Modelowania Matematycznego PRz”; wynagrodzenie 81 793,80 zł w kategorii Personel projektu (Z1, Z3, Z4, Z5, Z8).</t>
        </is>
      </c>
      <c r="D87" s="2" t="inlineStr">
        <is>
          <t>Przewodnik 3.3.1 i 3.3.9: funkcja zarządcza u konsorcjanta wyłącza z Personelu projektu, koszt tylko w kosztach pośrednich. Wymaga odpowiedzi PRz i decyzji wariant A/B (Zmiany_do_wprowadzenia, poz. 5.4).</t>
        </is>
      </c>
      <c r="E87" s="2" t="inlineStr">
        <is>
          <t>K3-33; T50</t>
        </is>
      </c>
      <c r="F87" s="2" t="inlineStr">
        <is>
          <t>WYSOKI</t>
        </is>
      </c>
      <c r="G87" s="2" t="inlineStr">
        <is>
          <t>OTWARTE</t>
        </is>
      </c>
    </row>
    <row r="88">
      <c r="A88" s="2" t="inlineStr">
        <is>
          <t>N87</t>
        </is>
      </c>
      <c r="B88" s="2" t="inlineStr">
        <is>
          <t>Wniosek wersja C, opis opłacalności i zdolności finansowej (część VI/„Opłacalność wdrożenia”)</t>
        </is>
      </c>
      <c r="C88" s="2" t="inlineStr">
        <is>
          <t>Tekst nadal zawiera: „środki pieniężne pozostają dodatnie… minimum ok. 2,6 mln zł” (model po danych za II kw.: ok. 0,6 mln zł w 2026 r.), „istniejącej bazie ponad 50 kontrahentów TSL Everest11”, „wiążące zobowiązanie inwestora” (w LSI wpisano „warunkowe”).</t>
        </is>
      </c>
      <c r="D88" s="2" t="inlineStr">
        <is>
          <t>Zamienić 2,6 mln na ok. 0,6 mln zł (minimum w 2026 r.), usunąć „ponad 50 kontrahentów” (D48) i ujednolicić „warunkowe zobowiązanie inwestora”. Teksty w LSI, plik zamknięty. Dodatkowo IRR ok. 26% we wniosku vs model 20% (2034) i 40,5% (2039).</t>
        </is>
      </c>
      <c r="E88" s="2" t="inlineStr">
        <is>
          <t>D46, D48, K6-12</t>
        </is>
      </c>
      <c r="F88" s="2" t="inlineStr">
        <is>
          <t>ŚREDNI</t>
        </is>
      </c>
      <c r="G88" s="2" t="inlineStr">
        <is>
          <t>OTWARTE</t>
        </is>
      </c>
    </row>
    <row r="89">
      <c r="A89" s="2" t="inlineStr">
        <is>
          <t>N88</t>
        </is>
      </c>
      <c r="B89" s="2" t="inlineStr">
        <is>
          <t>1.3 część VI; 2.3 Rynek docelowy i Plan wprowadzenia (etap 1, Strategia); R11 plan zastępczy (plik LSI 06.10)</t>
        </is>
      </c>
      <c r="C89" s="2" t="inlineStr">
        <is>
          <t>„baza ponad 50 aktywnych kontrahentów”, „z bazy klientów”, „aktywnych kontrahentów Everest11”</t>
        </is>
      </c>
      <c r="D89" s="2" t="inlineStr">
        <is>
          <t>Zostawić bazę (D59), usunąć „aktywnych” i „bieżącą współpracę”; Strategia: „z kontaktów handlowych”; K2-01 wymaga struktury bazy (T55)</t>
        </is>
      </c>
      <c r="E89" s="2" t="inlineStr">
        <is>
          <t>Zmiany 7.3 poz. 1; K2-01; D47</t>
        </is>
      </c>
      <c r="F89" s="2" t="inlineStr">
        <is>
          <t>ŚREDNI</t>
        </is>
      </c>
      <c r="G89" s="2" t="inlineStr">
        <is>
          <t>OTWARTE</t>
        </is>
      </c>
    </row>
    <row r="90">
      <c r="A90" s="2" t="inlineStr">
        <is>
          <t>N89</t>
        </is>
      </c>
      <c r="B90" s="2" t="inlineStr">
        <is>
          <t>R11 i R12 oraz Z9 w pliku LSI</t>
        </is>
      </c>
      <c r="C90" s="2" t="inlineStr">
        <is>
          <t>R12 bez ujawnienia ok. 95% zakupów usług od Natanek Logistics; „formalnie ustalamy, czy powiązane”; R11 „żaden podmiot nie jest jednocześnie partnerem testowym i odbiorcą”; brak dopisku Z9</t>
        </is>
      </c>
      <c r="D90" s="2" t="inlineStr">
        <is>
          <t>Wkleić teksty ze Zmiany 3.1, 3.2, 2.3 i dopisek 3.3; zdanie o dywersyfikacji w R11 jak w Zmiany 7.3 poz. 2</t>
        </is>
      </c>
      <c r="E90" s="2" t="inlineStr">
        <is>
          <t>Zmiany 7.3 poz. 2; K3-31, K3-32, K3-11; D47, D48</t>
        </is>
      </c>
      <c r="F90" s="2" t="inlineStr">
        <is>
          <t>WYSOKI</t>
        </is>
      </c>
      <c r="G90" s="2" t="inlineStr">
        <is>
          <t>OTWARTE</t>
        </is>
      </c>
    </row>
    <row r="91">
      <c r="A91" s="2" t="inlineStr">
        <is>
          <t>N90</t>
        </is>
      </c>
      <c r="B91" s="2" t="inlineStr">
        <is>
          <t>Plik LSI: brak pól dla K3-33 i K3-39; zbiorcza zamiana „zakres stanowiska” w 28 polach</t>
        </is>
      </c>
      <c r="C91" s="2" t="inlineStr">
        <is>
          <t>Zbiorcza deklaracja braku funkcji zarządczych bez potwierdzenia osób; pusty nawias przy specjaliście modelowania PRz (Włoch)</t>
        </is>
      </c>
      <c r="D91" s="2" t="inlineStr">
        <is>
          <t>Dodać Zmiany 3.4 i 5.1 do 5.4; deklarację zostawić po potwierdzeniu dla każdej osoby (T50); rozstrzygnąć wariant A albo B dla Włocha</t>
        </is>
      </c>
      <c r="E91" s="2" t="inlineStr">
        <is>
          <t>Zmiany 7.3 poz. 3; K3-33, K3-39; T50</t>
        </is>
      </c>
      <c r="F91" s="2" t="inlineStr">
        <is>
          <t>WYSOKI</t>
        </is>
      </c>
      <c r="G91" s="2" t="inlineStr">
        <is>
          <t>OTWARTE</t>
        </is>
      </c>
    </row>
    <row r="92">
      <c r="A92" s="2" t="inlineStr">
        <is>
          <t>N91</t>
        </is>
      </c>
      <c r="B92" s="2" t="inlineStr">
        <is>
          <t>1.3 część I; 2.3 etap 4 i Segmenty; 2.4 SAM; 3.2.1 (plik LSI)</t>
        </is>
      </c>
      <c r="C92" s="2" t="inlineStr">
        <is>
          <t>Pojazdy w CEE „obniżają udział w polskim SAM poniżej 0,50%” kontra 0,50% SAM w Polsce kontra komentarz modelu (bez sprzedaży zagranicznej) kontra Sekcja_3.2 i D40 (CEE od 2032-2033 w modelu)</t>
        </is>
      </c>
      <c r="D92" s="2" t="inlineStr">
        <is>
          <t>Ujednolicić: 1 000 pojazdów w 2034 r. to sprzedaż w Polsce (0,50% SAM, 0,18% TAM), sprzedaży w CEE nie zakładamy</t>
        </is>
      </c>
      <c r="E92" s="2" t="inlineStr">
        <is>
          <t>Zmiany 7.3 poz. 4; K2-05; K14-01</t>
        </is>
      </c>
      <c r="F92" s="2" t="inlineStr">
        <is>
          <t>ŚREDNI</t>
        </is>
      </c>
      <c r="G92" s="2" t="inlineStr">
        <is>
          <t>OTWARTE</t>
        </is>
      </c>
    </row>
    <row r="93">
      <c r="A93" s="2" t="inlineStr">
        <is>
          <t>N92</t>
        </is>
      </c>
      <c r="B93" s="2" t="inlineStr">
        <is>
          <t>Plik LSI, część B (7.1, 7.3, 7.4, 3.1.3, 3.1.2 stawki PRz, 2.4, 2.1)</t>
        </is>
      </c>
      <c r="C93" s="2" t="inlineStr">
        <is>
          <t>Zdania ZNAJDŹ nie istnieją w wersji C; pochodzą z naszych plików Sekcja_7, Sekcja_3.1_*; w repozytorium wciąż „alarm dźwiękowy w kabinie”</t>
        </is>
      </c>
      <c r="D93" s="2" t="inlineStr">
        <is>
          <t>Poprawić pliki źródłowe albo wkleić pola w całości; po wklejeniu sprawdzić stare zdania (5 500 do 23 000 zł, 3 000 do 15 000 zł, „alerty dźwiękowe” w Z9)</t>
        </is>
      </c>
      <c r="E93" s="2" t="inlineStr">
        <is>
          <t>Zmiany 7.3 poz. 5; T52</t>
        </is>
      </c>
      <c r="F93" s="2" t="inlineStr">
        <is>
          <t>WYSOKI</t>
        </is>
      </c>
      <c r="G93" s="2" t="inlineStr">
        <is>
          <t>OTWARTE</t>
        </is>
      </c>
    </row>
    <row r="94">
      <c r="A94" s="2" t="inlineStr">
        <is>
          <t>N93</t>
        </is>
      </c>
      <c r="B94" s="2" t="inlineStr">
        <is>
          <t>R10 mitygacja kontra 2.2, Z11, 2.3 etap 0</t>
        </is>
      </c>
      <c r="C94" s="2" t="inlineStr">
        <is>
          <t>„Brak przeniesienia nie wstrzymuje wdrożenia” kontra „Do czasu przeniesienia Everest11 nie będzie sprzedawać”; pilotaż 11.2029 przed przeniesieniem 30.11.2029</t>
        </is>
      </c>
      <c r="D94" s="2" t="inlineStr">
        <is>
          <t>Wybrać jedną wersję (D57) i ujednolicić R10, 2.2, Z11</t>
        </is>
      </c>
      <c r="E94" s="2" t="inlineStr">
        <is>
          <t>Zmiany 7.3 poz. 6; K2-02; D57</t>
        </is>
      </c>
      <c r="F94" s="2" t="inlineStr">
        <is>
          <t>ŚREDNI</t>
        </is>
      </c>
      <c r="G94" s="2" t="inlineStr">
        <is>
          <t>OTWARTE</t>
        </is>
      </c>
    </row>
    <row r="95">
      <c r="A95" s="2" t="inlineStr">
        <is>
          <t>N94</t>
        </is>
      </c>
      <c r="B95" s="2" t="inlineStr">
        <is>
          <t>1.3 część IV i 2.4 reklamacja (plik LSI)</t>
        </is>
      </c>
      <c r="C95" s="2" t="inlineStr">
        <is>
          <t>„ok. czterokrotnie droższy”: 349/49 daje 7,1, 349/87 daje 4,0; „jedno roszczenie pokrywa koszt systemu” przy dolnej granicy 8 489 zł wobec 11 688 zł w pierwszym roku</t>
        </is>
      </c>
      <c r="D95" s="2" t="inlineStr">
        <is>
          <t>Wspólne sformułowanie z oboma porównaniami (87 zł UE i 49 zł PL); zdanie o zwrocie tylko dla roszczeń powyżej 11 688 zł</t>
        </is>
      </c>
      <c r="E95" s="2" t="inlineStr">
        <is>
          <t>Zmiany 7.3 poz. 7; K2-15</t>
        </is>
      </c>
      <c r="F95" s="2" t="inlineStr">
        <is>
          <t>ŚREDNI</t>
        </is>
      </c>
      <c r="G95" s="2" t="inlineStr">
        <is>
          <t>OTWARTE</t>
        </is>
      </c>
    </row>
    <row r="96">
      <c r="A96" s="2" t="inlineStr">
        <is>
          <t>N95</t>
        </is>
      </c>
      <c r="B96" s="2" t="inlineStr">
        <is>
          <t>Z2, Z9, 6.3 (plik LSI)</t>
        </is>
      </c>
      <c r="C96" s="2" t="inlineStr">
        <is>
          <t>Hajduk (dyrektor operacyjny Natanek) prowadzi inspekcje ground truth, a Natanek „nie ma dostępu do zbioru”; brak zdania o poufności wobec Natanek i MJA Partners</t>
        </is>
      </c>
      <c r="D96" s="2" t="inlineStr">
        <is>
          <t>Dopisać w 6.3 zdanie o dostępie Hajduka wyłącznie jako pracownika Everest11; potwierdzić fakty</t>
        </is>
      </c>
      <c r="E96" s="2" t="inlineStr">
        <is>
          <t>Zmiany 7.3 poz. 8; K3-11, K5-07; T51</t>
        </is>
      </c>
      <c r="F96" s="2" t="inlineStr">
        <is>
          <t>ŚREDNI</t>
        </is>
      </c>
      <c r="G96" s="2" t="inlineStr">
        <is>
          <t>OTWARTE</t>
        </is>
      </c>
    </row>
    <row r="97">
      <c r="A97" s="2" t="inlineStr">
        <is>
          <t>N96</t>
        </is>
      </c>
      <c r="B97" s="2" t="inlineStr">
        <is>
          <t>Z11 (M29) i Z9 (M30) (plik LSI)</t>
        </is>
      </c>
      <c r="C97" s="2" t="inlineStr">
        <is>
          <t>Raport techniczny Z9 jako „wejście do Z11”, a Z11 kończy się w M29</t>
        </is>
      </c>
      <c r="D97" s="2" t="inlineStr">
        <is>
          <t>Wejściem do Z11 są wyniki Fazy B do M29; okno korekt w M30 nie zmienia zgłoszenia</t>
        </is>
      </c>
      <c r="E97" s="2" t="inlineStr">
        <is>
          <t>Zmiany 7.3 poz. 9; K3-09, K3-22</t>
        </is>
      </c>
      <c r="F97" s="2" t="inlineStr">
        <is>
          <t>ŚREDNI</t>
        </is>
      </c>
      <c r="G97" s="2" t="inlineStr">
        <is>
          <t>OTWARTE</t>
        </is>
      </c>
    </row>
    <row r="98">
      <c r="A98" s="2" t="inlineStr">
        <is>
          <t>N97</t>
        </is>
      </c>
      <c r="B98" s="2" t="inlineStr">
        <is>
          <t>Z8 i Z9 (plik LSI)</t>
        </is>
      </c>
      <c r="C98" s="2" t="inlineStr">
        <is>
          <t>Reanotacja klas w M22 do M26, a anotatorzy Z2 kończą w M18; nie wskazano wykonawcy</t>
        </is>
      </c>
      <c r="D98" s="2" t="inlineStr">
        <is>
          <t>Dopisać, że reanotację wykonują specjaliści danych PRz w godzinach Z8; sprawdzić wystarczalność godzin (T53)</t>
        </is>
      </c>
      <c r="E98" s="2" t="inlineStr">
        <is>
          <t>Zmiany 7.3 poz. 10; K3-09, K3-12</t>
        </is>
      </c>
      <c r="F98" s="2" t="inlineStr">
        <is>
          <t>ŚREDNI</t>
        </is>
      </c>
      <c r="G98" s="2" t="inlineStr">
        <is>
          <t>OTWARTE</t>
        </is>
      </c>
    </row>
    <row r="99">
      <c r="A99" s="2" t="inlineStr">
        <is>
          <t>N98</t>
        </is>
      </c>
      <c r="B99" s="2" t="inlineStr">
        <is>
          <t>3.2.1 i wskaźnik 8.2 „Przychody poza RP” (plik LSI)</t>
        </is>
      </c>
      <c r="C99" s="2" t="inlineStr">
        <is>
          <t>Pole 8.2 w wersji C ma jeszcze 489 300 zł; Sekcja_3.2 część 6 mówi, że przychody poza RP wynikają z modelu od 2032-2033, a model tego nie zawiera</t>
        </is>
      </c>
      <c r="D99" s="2" t="inlineStr">
        <is>
          <t>Wkleić 8.2 z Sekcja_3.2 (0 zł, 2030, D40), zdanie o modelu zamienić na „nie zakładamy w prognozie”</t>
        </is>
      </c>
      <c r="E99" s="2" t="inlineStr">
        <is>
          <t>Zmiany 7.3 poz. 11; K14-01; D40</t>
        </is>
      </c>
      <c r="F99" s="2" t="inlineStr">
        <is>
          <t>ŚREDNI</t>
        </is>
      </c>
      <c r="G99" s="2" t="inlineStr">
        <is>
          <t>OTWARTE (do wklejenia)</t>
        </is>
      </c>
    </row>
    <row r="100">
      <c r="A100" s="2" t="inlineStr">
        <is>
          <t>N99</t>
        </is>
      </c>
      <c r="B100" s="2" t="inlineStr">
        <is>
          <t>Z10, 3.2.1, 3.2.3 (plik LSI i wersja C)</t>
        </is>
      </c>
      <c r="C100" s="2" t="inlineStr">
        <is>
          <t>Wydarzenie „misja gospodarcza do CEE (np. Czechy/Rumunia)” w budżecie, a w tekście misja do Czech; 2,15% kosztów B+R do przeliczenia; podróż osoby z kosztów pośrednich</t>
        </is>
      </c>
      <c r="D100" s="2" t="inlineStr">
        <is>
          <t>Ujednolicić nazwę, przeliczyć udział, sprawdzić 5.3.3 w Przewodniku</t>
        </is>
      </c>
      <c r="E100" s="2" t="inlineStr">
        <is>
          <t>Zmiany 7.3 poz. 12; K3-24, K3-65</t>
        </is>
      </c>
      <c r="F100" s="2" t="inlineStr">
        <is>
          <t>NISKI</t>
        </is>
      </c>
      <c r="G100" s="2" t="inlineStr">
        <is>
          <t>OTWARTE</t>
        </is>
      </c>
    </row>
    <row r="101">
      <c r="A101" s="2" t="inlineStr">
        <is>
          <t>N100</t>
        </is>
      </c>
      <c r="B101" s="2" t="inlineStr">
        <is>
          <t>Z1, Z3, Z5, Z7 (plik LSI)</t>
        </is>
      </c>
      <c r="C101" s="2" t="inlineStr">
        <is>
          <t>Gwiazdki „ToF*”, „kamery*”, „Z1*” bez objaśnienia (oznaczenie zależności od D06)</t>
        </is>
      </c>
      <c r="D101" s="2" t="inlineStr">
        <is>
          <t>Usunąć gwiazdki po D06 i D53; do tego czasu nie wklejać pól</t>
        </is>
      </c>
      <c r="E101" s="2" t="inlineStr">
        <is>
          <t>Zmiany 7.3 poz. 13; D06, D53, K3-55</t>
        </is>
      </c>
      <c r="F101" s="2" t="inlineStr">
        <is>
          <t>NISKI</t>
        </is>
      </c>
      <c r="G101" s="2" t="inlineStr">
        <is>
          <t>OTWARTE</t>
        </is>
      </c>
    </row>
    <row r="102">
      <c r="A102" s="2" t="inlineStr">
        <is>
          <t>N101</t>
        </is>
      </c>
      <c r="B102" s="2" t="inlineStr">
        <is>
          <t>Sekcja_3.2: pozycja 10-4 (uzasadnienie), nazwa wydarzenia misji w tabeli 3.2.1 wersji C, opis delegatów Z10</t>
        </is>
      </c>
      <c r="C102" s="2" t="inlineStr">
        <is>
          <t>10-4 powołuje „Przewodnik 5.3.4” (powinno być 5.3.3); misja „np. Czechy/Rumunia” wobec Czech w tekście; „obie osoby zatrudnione w Everest11”, a kierownik zarządzający jest na zleceniu i w kosztach pośrednich</t>
        </is>
      </c>
      <c r="D102" s="2" t="inlineStr">
        <is>
          <t>Zamienić na 5.3.3; nazwa „misja gospodarcza do Czech”; sprawdzić w Przewodniku wymóg zatrudnienia delegata i ewentualnie wskazać pracownika</t>
        </is>
      </c>
      <c r="E102" s="2" t="inlineStr">
        <is>
          <t>Zmiany 8.5; K3-24, K3-65</t>
        </is>
      </c>
      <c r="F102" s="2" t="inlineStr">
        <is>
          <t>NISKI</t>
        </is>
      </c>
      <c r="G102" s="2" t="inlineStr">
        <is>
          <t>OTWARTE</t>
        </is>
      </c>
    </row>
    <row r="103">
      <c r="A103" s="2" t="inlineStr">
        <is>
          <t>N102</t>
        </is>
      </c>
      <c r="B103" s="2" t="inlineStr">
        <is>
          <t>R11 plan zastępczy (plik LSI, Opisy_zadan) i 6.2 Flota testowa</t>
        </is>
      </c>
      <c r="C103" s="2" t="inlineStr">
        <is>
          <t>Opisy_zadan miały czwarty element: pojazdy w najmie Everest11 (5 do 20); plik LSI go pomija, a 6.2 opisuje flotę jako udostępnioną przez Natanek Logistics</t>
        </is>
      </c>
      <c r="D103" s="2" t="inlineStr">
        <is>
          <t>Potwierdzić, czy aneks do umów najmu (T02) powstaje; jeśli tak, dopisać element; jeśli nie, zostawić trzy</t>
        </is>
      </c>
      <c r="E103" s="2" t="inlineStr">
        <is>
          <t>Zmiany 8.2; T02</t>
        </is>
      </c>
      <c r="F103" s="2" t="inlineStr">
        <is>
          <t>NISKI</t>
        </is>
      </c>
      <c r="G103" s="2" t="inlineStr">
        <is>
          <t>OTWARTE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3" ySplit="22" topLeftCell="D2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4" customWidth="1" min="17" max="17"/>
    <col width="14" customWidth="1" min="18" max="18"/>
  </cols>
  <sheetData>
    <row r="1">
      <c r="A1" t="inlineStr">
        <is>
          <t>D29 (wariant właściciela): udziały czasu pracy w projekcie w trzech okresach (komórki żółte edytowalne), nakłady miesięczne = etat x udział. Wiersze kontrolne i kolumna "suma udziałów" muszą dawać 1 / 0.</t>
        </is>
      </c>
    </row>
    <row r="2">
      <c r="A2" s="19" t="inlineStr">
        <is>
          <t>Stanowisko</t>
        </is>
      </c>
      <c r="B2" s="19" t="inlineStr">
        <is>
          <t>Okres</t>
        </is>
      </c>
      <c r="C2" s="19" t="inlineStr">
        <is>
          <t>Z6</t>
        </is>
      </c>
      <c r="D2" s="19" t="inlineStr">
        <is>
          <t>Z7</t>
        </is>
      </c>
      <c r="E2" s="19" t="inlineStr">
        <is>
          <t>Z9</t>
        </is>
      </c>
      <c r="F2" s="19" t="inlineStr">
        <is>
          <t>Suma udziałów (=1)</t>
        </is>
      </c>
    </row>
    <row r="3">
      <c r="A3" t="inlineStr">
        <is>
          <t>AI Lead</t>
        </is>
      </c>
      <c r="B3" t="inlineStr">
        <is>
          <t>M19-M21</t>
        </is>
      </c>
      <c r="C3" s="20" t="n">
        <v>0.4</v>
      </c>
      <c r="D3" s="20" t="n">
        <v>0.6</v>
      </c>
      <c r="E3" s="20" t="n">
        <v>0</v>
      </c>
      <c r="F3">
        <f>SUM(C3:E3)</f>
        <v/>
      </c>
    </row>
    <row r="4">
      <c r="A4" t="inlineStr">
        <is>
          <t>AI Lead</t>
        </is>
      </c>
      <c r="B4" t="inlineStr">
        <is>
          <t>M22-M27</t>
        </is>
      </c>
      <c r="C4" s="20">
        <f>1/3</f>
        <v/>
      </c>
      <c r="D4" s="20">
        <f>1/3</f>
        <v/>
      </c>
      <c r="E4" s="20">
        <f>1/3</f>
        <v/>
      </c>
      <c r="F4">
        <f>SUM(C4:E4)</f>
        <v/>
      </c>
    </row>
    <row r="5">
      <c r="A5" t="inlineStr">
        <is>
          <t>AI Lead</t>
        </is>
      </c>
      <c r="B5" t="inlineStr">
        <is>
          <t>M28-M30</t>
        </is>
      </c>
      <c r="C5" s="20" t="n">
        <v>0</v>
      </c>
      <c r="D5" s="20" t="n">
        <v>0</v>
      </c>
      <c r="E5" s="20" t="n">
        <v>1</v>
      </c>
      <c r="F5">
        <f>SUM(C5:E5)</f>
        <v/>
      </c>
    </row>
    <row r="6">
      <c r="A6" t="inlineStr">
        <is>
          <t>AI Senior Engineer</t>
        </is>
      </c>
      <c r="B6" t="inlineStr">
        <is>
          <t>M19-M21</t>
        </is>
      </c>
      <c r="C6" s="20" t="n">
        <v>0.4</v>
      </c>
      <c r="D6" s="20" t="n">
        <v>0.6</v>
      </c>
      <c r="E6" s="20" t="n">
        <v>0</v>
      </c>
      <c r="F6">
        <f>SUM(C6:E6)</f>
        <v/>
      </c>
    </row>
    <row r="7">
      <c r="A7" t="inlineStr">
        <is>
          <t>AI Senior Engineer</t>
        </is>
      </c>
      <c r="B7" t="inlineStr">
        <is>
          <t>M22-M27</t>
        </is>
      </c>
      <c r="C7" s="20">
        <f>1/3</f>
        <v/>
      </c>
      <c r="D7" s="20">
        <f>1/3</f>
        <v/>
      </c>
      <c r="E7" s="20">
        <f>1/3</f>
        <v/>
      </c>
      <c r="F7">
        <f>SUM(C7:E7)</f>
        <v/>
      </c>
    </row>
    <row r="8">
      <c r="A8" t="inlineStr">
        <is>
          <t>AI Senior Engineer</t>
        </is>
      </c>
      <c r="B8" t="inlineStr">
        <is>
          <t>M28-M30</t>
        </is>
      </c>
      <c r="C8" s="20" t="n">
        <v>0</v>
      </c>
      <c r="D8" s="20" t="n">
        <v>0</v>
      </c>
      <c r="E8" s="20" t="n">
        <v>1</v>
      </c>
      <c r="F8">
        <f>SUM(C8:E8)</f>
        <v/>
      </c>
    </row>
    <row r="9">
      <c r="A9" t="inlineStr">
        <is>
          <t>Cybersecurity / AI Act Specialist</t>
        </is>
      </c>
      <c r="B9" t="inlineStr">
        <is>
          <t>M19-M21</t>
        </is>
      </c>
      <c r="C9" s="20" t="n">
        <v>0.4</v>
      </c>
      <c r="D9" s="20" t="n">
        <v>0.6</v>
      </c>
      <c r="E9" s="20" t="n">
        <v>0</v>
      </c>
      <c r="F9">
        <f>SUM(C9:E9)</f>
        <v/>
      </c>
    </row>
    <row r="10">
      <c r="A10" t="inlineStr">
        <is>
          <t>Cybersecurity / AI Act Specialist</t>
        </is>
      </c>
      <c r="B10" t="inlineStr">
        <is>
          <t>M22-M27</t>
        </is>
      </c>
      <c r="C10" s="20" t="n">
        <v>0.2</v>
      </c>
      <c r="D10" s="20" t="n">
        <v>0.4</v>
      </c>
      <c r="E10" s="20" t="n">
        <v>0.4</v>
      </c>
      <c r="F10">
        <f>SUM(C10:E10)</f>
        <v/>
      </c>
    </row>
    <row r="11">
      <c r="A11" t="inlineStr">
        <is>
          <t>Cybersecurity / AI Act Specialist</t>
        </is>
      </c>
      <c r="B11" t="inlineStr">
        <is>
          <t>M28-M30</t>
        </is>
      </c>
      <c r="C11" s="20" t="n">
        <v>0</v>
      </c>
      <c r="D11" s="20" t="n">
        <v>0</v>
      </c>
      <c r="E11" s="20" t="n">
        <v>1</v>
      </c>
      <c r="F11">
        <f>SUM(C11:E11)</f>
        <v/>
      </c>
    </row>
    <row r="12">
      <c r="A12" t="inlineStr">
        <is>
          <t>IT Specialist</t>
        </is>
      </c>
      <c r="B12" t="inlineStr">
        <is>
          <t>M19-M21</t>
        </is>
      </c>
      <c r="C12" s="20" t="n">
        <v>0.4</v>
      </c>
      <c r="D12" s="20" t="n">
        <v>0.6</v>
      </c>
      <c r="E12" s="20" t="n">
        <v>0</v>
      </c>
      <c r="F12">
        <f>SUM(C12:E12)</f>
        <v/>
      </c>
    </row>
    <row r="13">
      <c r="A13" t="inlineStr">
        <is>
          <t>IT Specialist</t>
        </is>
      </c>
      <c r="B13" t="inlineStr">
        <is>
          <t>M22-M27</t>
        </is>
      </c>
      <c r="C13" s="20">
        <f>1/3</f>
        <v/>
      </c>
      <c r="D13" s="20">
        <f>1/3</f>
        <v/>
      </c>
      <c r="E13" s="20">
        <f>1/3</f>
        <v/>
      </c>
      <c r="F13">
        <f>SUM(C13:E13)</f>
        <v/>
      </c>
    </row>
    <row r="14">
      <c r="A14" t="inlineStr">
        <is>
          <t>IT Specialist</t>
        </is>
      </c>
      <c r="B14" t="inlineStr">
        <is>
          <t>M28-M30</t>
        </is>
      </c>
      <c r="C14" s="20" t="n">
        <v>0</v>
      </c>
      <c r="D14" s="20" t="n">
        <v>0</v>
      </c>
      <c r="E14" s="20" t="n">
        <v>1</v>
      </c>
      <c r="F14">
        <f>SUM(C14:E14)</f>
        <v/>
      </c>
    </row>
    <row r="15">
      <c r="A15" t="inlineStr">
        <is>
          <t>IoT Specialist</t>
        </is>
      </c>
      <c r="B15" t="inlineStr">
        <is>
          <t>M19-M21</t>
        </is>
      </c>
      <c r="C15" s="20" t="n">
        <v>0.4</v>
      </c>
      <c r="D15" s="20" t="n">
        <v>0.6</v>
      </c>
      <c r="E15" s="20" t="n">
        <v>0</v>
      </c>
      <c r="F15">
        <f>SUM(C15:E15)</f>
        <v/>
      </c>
    </row>
    <row r="16">
      <c r="A16" t="inlineStr">
        <is>
          <t>IoT Specialist</t>
        </is>
      </c>
      <c r="B16" t="inlineStr">
        <is>
          <t>M22-M27</t>
        </is>
      </c>
      <c r="C16" s="20" t="n">
        <v>0.2</v>
      </c>
      <c r="D16" s="20" t="n">
        <v>0.4</v>
      </c>
      <c r="E16" s="20" t="n">
        <v>0.4</v>
      </c>
      <c r="F16">
        <f>SUM(C16:E16)</f>
        <v/>
      </c>
    </row>
    <row r="17">
      <c r="A17" t="inlineStr">
        <is>
          <t>IoT Specialist</t>
        </is>
      </c>
      <c r="B17" t="inlineStr">
        <is>
          <t>M28-M30</t>
        </is>
      </c>
      <c r="C17" s="20" t="n">
        <v>0</v>
      </c>
      <c r="D17" s="20" t="n">
        <v>0</v>
      </c>
      <c r="E17" s="20" t="n">
        <v>1</v>
      </c>
      <c r="F17">
        <f>SUM(C17:E17)</f>
        <v/>
      </c>
    </row>
    <row r="18">
      <c r="A18" t="inlineStr">
        <is>
          <t>Specjalista ds. logistyki TSL</t>
        </is>
      </c>
      <c r="B18" t="inlineStr">
        <is>
          <t>M19-M21</t>
        </is>
      </c>
      <c r="C18" s="20" t="n">
        <v>0.4</v>
      </c>
      <c r="D18" s="20" t="n">
        <v>0.6</v>
      </c>
      <c r="E18" s="20" t="n">
        <v>0</v>
      </c>
      <c r="F18">
        <f>SUM(C18:E18)</f>
        <v/>
      </c>
    </row>
    <row r="19">
      <c r="A19" t="inlineStr">
        <is>
          <t>Specjalista ds. logistyki TSL</t>
        </is>
      </c>
      <c r="B19" t="inlineStr">
        <is>
          <t>M22-M27</t>
        </is>
      </c>
      <c r="C19" s="20" t="n">
        <v>0.2</v>
      </c>
      <c r="D19" s="20" t="n">
        <v>0.3</v>
      </c>
      <c r="E19" s="20" t="n">
        <v>0.5</v>
      </c>
      <c r="F19">
        <f>SUM(C19:E19)</f>
        <v/>
      </c>
    </row>
    <row r="20">
      <c r="A20" t="inlineStr">
        <is>
          <t>Specjalista ds. logistyki TSL</t>
        </is>
      </c>
      <c r="B20" t="inlineStr">
        <is>
          <t>M28-M30</t>
        </is>
      </c>
      <c r="C20" s="20" t="n">
        <v>0</v>
      </c>
      <c r="D20" s="20" t="n">
        <v>0</v>
      </c>
      <c r="E20" s="20" t="n">
        <v>1</v>
      </c>
      <c r="F20">
        <f>SUM(C20:E20)</f>
        <v/>
      </c>
    </row>
    <row r="22">
      <c r="A22" s="15" t="inlineStr">
        <is>
          <t>Stanowisko</t>
        </is>
      </c>
      <c r="B22" s="15" t="inlineStr">
        <is>
          <t>Zadanie</t>
        </is>
      </c>
      <c r="C22" s="15" t="inlineStr">
        <is>
          <t>Etat</t>
        </is>
      </c>
      <c r="D22" s="15" t="inlineStr">
        <is>
          <t>M19</t>
        </is>
      </c>
      <c r="E22" s="15" t="inlineStr">
        <is>
          <t>M20</t>
        </is>
      </c>
      <c r="F22" s="15" t="inlineStr">
        <is>
          <t>M21</t>
        </is>
      </c>
      <c r="G22" s="15" t="inlineStr">
        <is>
          <t>M22</t>
        </is>
      </c>
      <c r="H22" s="15" t="inlineStr">
        <is>
          <t>M23</t>
        </is>
      </c>
      <c r="I22" s="15" t="inlineStr">
        <is>
          <t>M24</t>
        </is>
      </c>
      <c r="J22" s="15" t="inlineStr">
        <is>
          <t>M25</t>
        </is>
      </c>
      <c r="K22" s="15" t="inlineStr">
        <is>
          <t>M26</t>
        </is>
      </c>
      <c r="L22" s="15" t="inlineStr">
        <is>
          <t>M27</t>
        </is>
      </c>
      <c r="M22" s="15" t="inlineStr">
        <is>
          <t>M28</t>
        </is>
      </c>
      <c r="N22" s="15" t="inlineStr">
        <is>
          <t>M29</t>
        </is>
      </c>
      <c r="O22" s="15" t="inlineStr">
        <is>
          <t>M30</t>
        </is>
      </c>
      <c r="P22" s="15" t="inlineStr">
        <is>
          <t>Etatomiesiące</t>
        </is>
      </c>
      <c r="Q22" s="15" t="inlineStr">
        <is>
          <t>Stawka brutto/mc</t>
        </is>
      </c>
      <c r="R22" s="15" t="inlineStr">
        <is>
          <t>Koszt zł</t>
        </is>
      </c>
    </row>
    <row r="23">
      <c r="A23" t="inlineStr">
        <is>
          <t>AI Lead</t>
        </is>
      </c>
      <c r="B23" t="inlineStr">
        <is>
          <t>Z6</t>
        </is>
      </c>
      <c r="C23" t="n">
        <v>0.75</v>
      </c>
      <c r="D23">
        <f>$C23*$C$3</f>
        <v/>
      </c>
      <c r="E23">
        <f>$C23*$C$3</f>
        <v/>
      </c>
      <c r="F23">
        <f>$C23*$C$3</f>
        <v/>
      </c>
      <c r="G23">
        <f>$C23*$C$4</f>
        <v/>
      </c>
      <c r="H23">
        <f>$C23*$C$4</f>
        <v/>
      </c>
      <c r="I23">
        <f>$C23*$C$4</f>
        <v/>
      </c>
      <c r="J23">
        <f>$C23*$C$4</f>
        <v/>
      </c>
      <c r="K23">
        <f>$C23*$C$4</f>
        <v/>
      </c>
      <c r="L23">
        <f>$C23*$C$4</f>
        <v/>
      </c>
      <c r="M23">
        <f>$C23*$C$5</f>
        <v/>
      </c>
      <c r="N23">
        <f>$C23*$C$5</f>
        <v/>
      </c>
      <c r="O23">
        <f>$C23*$C$5</f>
        <v/>
      </c>
      <c r="P23">
        <f>SUM(D23:O23)</f>
        <v/>
      </c>
      <c r="Q23" t="n">
        <v>23000</v>
      </c>
      <c r="R23">
        <f>ROUND(Q23*1.205*P23,2)</f>
        <v/>
      </c>
    </row>
    <row r="24">
      <c r="A24" t="inlineStr">
        <is>
          <t>AI Lead</t>
        </is>
      </c>
      <c r="B24" t="inlineStr">
        <is>
          <t>Z7</t>
        </is>
      </c>
      <c r="C24" t="n">
        <v>0.75</v>
      </c>
      <c r="D24">
        <f>$C24*$D$3</f>
        <v/>
      </c>
      <c r="E24">
        <f>$C24*$D$3</f>
        <v/>
      </c>
      <c r="F24">
        <f>$C24*$D$3</f>
        <v/>
      </c>
      <c r="G24">
        <f>$C24*$D$4</f>
        <v/>
      </c>
      <c r="H24">
        <f>$C24*$D$4</f>
        <v/>
      </c>
      <c r="I24">
        <f>$C24*$D$4</f>
        <v/>
      </c>
      <c r="J24">
        <f>$C24*$D$4</f>
        <v/>
      </c>
      <c r="K24">
        <f>$C24*$D$4</f>
        <v/>
      </c>
      <c r="L24">
        <f>$C24*$D$4</f>
        <v/>
      </c>
      <c r="M24">
        <f>$C24*$D$5</f>
        <v/>
      </c>
      <c r="N24">
        <f>$C24*$D$5</f>
        <v/>
      </c>
      <c r="O24">
        <f>$C24*$D$5</f>
        <v/>
      </c>
      <c r="P24">
        <f>SUM(D24:O24)</f>
        <v/>
      </c>
      <c r="Q24" t="n">
        <v>23000</v>
      </c>
      <c r="R24">
        <f>ROUND(Q24*1.205*P24,2)</f>
        <v/>
      </c>
    </row>
    <row r="25">
      <c r="A25" t="inlineStr">
        <is>
          <t>AI Lead</t>
        </is>
      </c>
      <c r="B25" t="inlineStr">
        <is>
          <t>Z9</t>
        </is>
      </c>
      <c r="C25" t="n">
        <v>0.75</v>
      </c>
      <c r="D25">
        <f>$C25*$E$3</f>
        <v/>
      </c>
      <c r="E25">
        <f>$C25*$E$3</f>
        <v/>
      </c>
      <c r="F25">
        <f>$C25*$E$3</f>
        <v/>
      </c>
      <c r="G25">
        <f>$C25*$E$4</f>
        <v/>
      </c>
      <c r="H25">
        <f>$C25*$E$4</f>
        <v/>
      </c>
      <c r="I25">
        <f>$C25*$E$4</f>
        <v/>
      </c>
      <c r="J25">
        <f>$C25*$E$4</f>
        <v/>
      </c>
      <c r="K25">
        <f>$C25*$E$4</f>
        <v/>
      </c>
      <c r="L25">
        <f>$C25*$E$4</f>
        <v/>
      </c>
      <c r="M25">
        <f>$C25*$E$5</f>
        <v/>
      </c>
      <c r="N25">
        <f>$C25*$E$5</f>
        <v/>
      </c>
      <c r="O25">
        <f>$C25*$E$5</f>
        <v/>
      </c>
      <c r="P25">
        <f>SUM(D25:O25)</f>
        <v/>
      </c>
      <c r="Q25" t="n">
        <v>23000</v>
      </c>
      <c r="R25">
        <f>ROUND(Q23*1.205*C23*12,2)-R23-R24</f>
        <v/>
      </c>
    </row>
    <row r="26">
      <c r="A26" s="17" t="inlineStr">
        <is>
          <t>kontrola: suma miesięczna - etat (AI Lead)</t>
        </is>
      </c>
      <c r="B26" s="17" t="inlineStr"/>
      <c r="C26" s="17" t="inlineStr"/>
      <c r="D26" s="17">
        <f>ROUND(D23+D24+D25-$C$23,6)</f>
        <v/>
      </c>
      <c r="E26" s="17">
        <f>ROUND(E23+E24+E25-$C$23,6)</f>
        <v/>
      </c>
      <c r="F26" s="17">
        <f>ROUND(F23+F24+F25-$C$23,6)</f>
        <v/>
      </c>
      <c r="G26" s="17">
        <f>ROUND(G23+G24+G25-$C$23,6)</f>
        <v/>
      </c>
      <c r="H26" s="17">
        <f>ROUND(H23+H24+H25-$C$23,6)</f>
        <v/>
      </c>
      <c r="I26" s="17">
        <f>ROUND(I23+I24+I25-$C$23,6)</f>
        <v/>
      </c>
      <c r="J26" s="17">
        <f>ROUND(J23+J24+J25-$C$23,6)</f>
        <v/>
      </c>
      <c r="K26" s="17">
        <f>ROUND(K23+K24+K25-$C$23,6)</f>
        <v/>
      </c>
      <c r="L26" s="17">
        <f>ROUND(L23+L24+L25-$C$23,6)</f>
        <v/>
      </c>
      <c r="M26" s="17">
        <f>ROUND(M23+M24+M25-$C$23,6)</f>
        <v/>
      </c>
      <c r="N26" s="17">
        <f>ROUND(N23+N24+N25-$C$23,6)</f>
        <v/>
      </c>
      <c r="O26" s="17">
        <f>ROUND(O23+O24+O25-$C$23,6)</f>
        <v/>
      </c>
      <c r="P26" s="17">
        <f>ROUND(P23+P24+P25-12*C23,6)</f>
        <v/>
      </c>
      <c r="Q26" s="17" t="inlineStr"/>
      <c r="R26" s="17">
        <f>R23+R24+R25</f>
        <v/>
      </c>
    </row>
    <row r="27">
      <c r="A27" t="inlineStr">
        <is>
          <t>AI Senior Engineer</t>
        </is>
      </c>
      <c r="B27" t="inlineStr">
        <is>
          <t>Z6</t>
        </is>
      </c>
      <c r="C27" t="n">
        <v>0.75</v>
      </c>
      <c r="D27">
        <f>$C27*$C$6</f>
        <v/>
      </c>
      <c r="E27">
        <f>$C27*$C$6</f>
        <v/>
      </c>
      <c r="F27">
        <f>$C27*$C$6</f>
        <v/>
      </c>
      <c r="G27">
        <f>$C27*$C$7</f>
        <v/>
      </c>
      <c r="H27">
        <f>$C27*$C$7</f>
        <v/>
      </c>
      <c r="I27">
        <f>$C27*$C$7</f>
        <v/>
      </c>
      <c r="J27">
        <f>$C27*$C$7</f>
        <v/>
      </c>
      <c r="K27">
        <f>$C27*$C$7</f>
        <v/>
      </c>
      <c r="L27">
        <f>$C27*$C$7</f>
        <v/>
      </c>
      <c r="M27">
        <f>$C27*$C$8</f>
        <v/>
      </c>
      <c r="N27">
        <f>$C27*$C$8</f>
        <v/>
      </c>
      <c r="O27">
        <f>$C27*$C$8</f>
        <v/>
      </c>
      <c r="P27">
        <f>SUM(D27:O27)</f>
        <v/>
      </c>
      <c r="Q27" t="n">
        <v>16500</v>
      </c>
      <c r="R27">
        <f>ROUND(Q27*1.205*P27,2)</f>
        <v/>
      </c>
    </row>
    <row r="28">
      <c r="A28" t="inlineStr">
        <is>
          <t>AI Senior Engineer</t>
        </is>
      </c>
      <c r="B28" t="inlineStr">
        <is>
          <t>Z7</t>
        </is>
      </c>
      <c r="C28" t="n">
        <v>0.75</v>
      </c>
      <c r="D28">
        <f>$C28*$D$6</f>
        <v/>
      </c>
      <c r="E28">
        <f>$C28*$D$6</f>
        <v/>
      </c>
      <c r="F28">
        <f>$C28*$D$6</f>
        <v/>
      </c>
      <c r="G28">
        <f>$C28*$D$7</f>
        <v/>
      </c>
      <c r="H28">
        <f>$C28*$D$7</f>
        <v/>
      </c>
      <c r="I28">
        <f>$C28*$D$7</f>
        <v/>
      </c>
      <c r="J28">
        <f>$C28*$D$7</f>
        <v/>
      </c>
      <c r="K28">
        <f>$C28*$D$7</f>
        <v/>
      </c>
      <c r="L28">
        <f>$C28*$D$7</f>
        <v/>
      </c>
      <c r="M28">
        <f>$C28*$D$8</f>
        <v/>
      </c>
      <c r="N28">
        <f>$C28*$D$8</f>
        <v/>
      </c>
      <c r="O28">
        <f>$C28*$D$8</f>
        <v/>
      </c>
      <c r="P28">
        <f>SUM(D28:O28)</f>
        <v/>
      </c>
      <c r="Q28" t="n">
        <v>16500</v>
      </c>
      <c r="R28">
        <f>ROUND(Q28*1.205*P28,2)</f>
        <v/>
      </c>
    </row>
    <row r="29">
      <c r="A29" t="inlineStr">
        <is>
          <t>AI Senior Engineer</t>
        </is>
      </c>
      <c r="B29" t="inlineStr">
        <is>
          <t>Z9</t>
        </is>
      </c>
      <c r="C29" t="n">
        <v>0.75</v>
      </c>
      <c r="D29">
        <f>$C29*$E$6</f>
        <v/>
      </c>
      <c r="E29">
        <f>$C29*$E$6</f>
        <v/>
      </c>
      <c r="F29">
        <f>$C29*$E$6</f>
        <v/>
      </c>
      <c r="G29">
        <f>$C29*$E$7</f>
        <v/>
      </c>
      <c r="H29">
        <f>$C29*$E$7</f>
        <v/>
      </c>
      <c r="I29">
        <f>$C29*$E$7</f>
        <v/>
      </c>
      <c r="J29">
        <f>$C29*$E$7</f>
        <v/>
      </c>
      <c r="K29">
        <f>$C29*$E$7</f>
        <v/>
      </c>
      <c r="L29">
        <f>$C29*$E$7</f>
        <v/>
      </c>
      <c r="M29">
        <f>$C29*$E$8</f>
        <v/>
      </c>
      <c r="N29">
        <f>$C29*$E$8</f>
        <v/>
      </c>
      <c r="O29">
        <f>$C29*$E$8</f>
        <v/>
      </c>
      <c r="P29">
        <f>SUM(D29:O29)</f>
        <v/>
      </c>
      <c r="Q29" t="n">
        <v>16500</v>
      </c>
      <c r="R29">
        <f>ROUND(Q27*1.205*C27*12,2)-R27-R28</f>
        <v/>
      </c>
    </row>
    <row r="30">
      <c r="A30" s="17" t="inlineStr">
        <is>
          <t>kontrola: suma miesięczna - etat (AI Senior Engineer)</t>
        </is>
      </c>
      <c r="B30" s="17" t="inlineStr"/>
      <c r="C30" s="17" t="inlineStr"/>
      <c r="D30" s="17">
        <f>ROUND(D27+D28+D29-$C$27,6)</f>
        <v/>
      </c>
      <c r="E30" s="17">
        <f>ROUND(E27+E28+E29-$C$27,6)</f>
        <v/>
      </c>
      <c r="F30" s="17">
        <f>ROUND(F27+F28+F29-$C$27,6)</f>
        <v/>
      </c>
      <c r="G30" s="17">
        <f>ROUND(G27+G28+G29-$C$27,6)</f>
        <v/>
      </c>
      <c r="H30" s="17">
        <f>ROUND(H27+H28+H29-$C$27,6)</f>
        <v/>
      </c>
      <c r="I30" s="17">
        <f>ROUND(I27+I28+I29-$C$27,6)</f>
        <v/>
      </c>
      <c r="J30" s="17">
        <f>ROUND(J27+J28+J29-$C$27,6)</f>
        <v/>
      </c>
      <c r="K30" s="17">
        <f>ROUND(K27+K28+K29-$C$27,6)</f>
        <v/>
      </c>
      <c r="L30" s="17">
        <f>ROUND(L27+L28+L29-$C$27,6)</f>
        <v/>
      </c>
      <c r="M30" s="17">
        <f>ROUND(M27+M28+M29-$C$27,6)</f>
        <v/>
      </c>
      <c r="N30" s="17">
        <f>ROUND(N27+N28+N29-$C$27,6)</f>
        <v/>
      </c>
      <c r="O30" s="17">
        <f>ROUND(O27+O28+O29-$C$27,6)</f>
        <v/>
      </c>
      <c r="P30" s="17">
        <f>ROUND(P27+P28+P29-12*C27,6)</f>
        <v/>
      </c>
      <c r="Q30" s="17" t="inlineStr"/>
      <c r="R30" s="17">
        <f>R27+R28+R29</f>
        <v/>
      </c>
    </row>
    <row r="31">
      <c r="A31" t="inlineStr">
        <is>
          <t>Cybersecurity / AI Act Specialist</t>
        </is>
      </c>
      <c r="B31" t="inlineStr">
        <is>
          <t>Z6</t>
        </is>
      </c>
      <c r="C31" t="n">
        <v>0.25</v>
      </c>
      <c r="D31">
        <f>$C31*$C$9</f>
        <v/>
      </c>
      <c r="E31">
        <f>$C31*$C$9</f>
        <v/>
      </c>
      <c r="F31">
        <f>$C31*$C$9</f>
        <v/>
      </c>
      <c r="G31">
        <f>$C31*$C$10</f>
        <v/>
      </c>
      <c r="H31">
        <f>$C31*$C$10</f>
        <v/>
      </c>
      <c r="I31">
        <f>$C31*$C$10</f>
        <v/>
      </c>
      <c r="J31">
        <f>$C31*$C$10</f>
        <v/>
      </c>
      <c r="K31">
        <f>$C31*$C$10</f>
        <v/>
      </c>
      <c r="L31">
        <f>$C31*$C$10</f>
        <v/>
      </c>
      <c r="M31">
        <f>$C31*$C$11</f>
        <v/>
      </c>
      <c r="N31">
        <f>$C31*$C$11</f>
        <v/>
      </c>
      <c r="O31">
        <f>$C31*$C$11</f>
        <v/>
      </c>
      <c r="P31">
        <f>SUM(D31:O31)</f>
        <v/>
      </c>
      <c r="Q31" t="n">
        <v>21000</v>
      </c>
      <c r="R31">
        <f>ROUND(Q31*1.205*P31,2)</f>
        <v/>
      </c>
    </row>
    <row r="32">
      <c r="A32" t="inlineStr">
        <is>
          <t>Cybersecurity / AI Act Specialist</t>
        </is>
      </c>
      <c r="B32" t="inlineStr">
        <is>
          <t>Z7</t>
        </is>
      </c>
      <c r="C32" t="n">
        <v>0.25</v>
      </c>
      <c r="D32">
        <f>$C32*$D$9</f>
        <v/>
      </c>
      <c r="E32">
        <f>$C32*$D$9</f>
        <v/>
      </c>
      <c r="F32">
        <f>$C32*$D$9</f>
        <v/>
      </c>
      <c r="G32">
        <f>$C32*$D$10</f>
        <v/>
      </c>
      <c r="H32">
        <f>$C32*$D$10</f>
        <v/>
      </c>
      <c r="I32">
        <f>$C32*$D$10</f>
        <v/>
      </c>
      <c r="J32">
        <f>$C32*$D$10</f>
        <v/>
      </c>
      <c r="K32">
        <f>$C32*$D$10</f>
        <v/>
      </c>
      <c r="L32">
        <f>$C32*$D$10</f>
        <v/>
      </c>
      <c r="M32">
        <f>$C32*$D$11</f>
        <v/>
      </c>
      <c r="N32">
        <f>$C32*$D$11</f>
        <v/>
      </c>
      <c r="O32">
        <f>$C32*$D$11</f>
        <v/>
      </c>
      <c r="P32">
        <f>SUM(D32:O32)</f>
        <v/>
      </c>
      <c r="Q32" t="n">
        <v>21000</v>
      </c>
      <c r="R32">
        <f>ROUND(Q32*1.205*P32,2)</f>
        <v/>
      </c>
    </row>
    <row r="33">
      <c r="A33" t="inlineStr">
        <is>
          <t>Cybersecurity / AI Act Specialist</t>
        </is>
      </c>
      <c r="B33" t="inlineStr">
        <is>
          <t>Z9</t>
        </is>
      </c>
      <c r="C33" t="n">
        <v>0.25</v>
      </c>
      <c r="D33">
        <f>$C33*$E$9</f>
        <v/>
      </c>
      <c r="E33">
        <f>$C33*$E$9</f>
        <v/>
      </c>
      <c r="F33">
        <f>$C33*$E$9</f>
        <v/>
      </c>
      <c r="G33">
        <f>$C33*$E$10</f>
        <v/>
      </c>
      <c r="H33">
        <f>$C33*$E$10</f>
        <v/>
      </c>
      <c r="I33">
        <f>$C33*$E$10</f>
        <v/>
      </c>
      <c r="J33">
        <f>$C33*$E$10</f>
        <v/>
      </c>
      <c r="K33">
        <f>$C33*$E$10</f>
        <v/>
      </c>
      <c r="L33">
        <f>$C33*$E$10</f>
        <v/>
      </c>
      <c r="M33">
        <f>$C33*$E$11</f>
        <v/>
      </c>
      <c r="N33">
        <f>$C33*$E$11</f>
        <v/>
      </c>
      <c r="O33">
        <f>$C33*$E$11</f>
        <v/>
      </c>
      <c r="P33">
        <f>SUM(D33:O33)</f>
        <v/>
      </c>
      <c r="Q33" t="n">
        <v>21000</v>
      </c>
      <c r="R33">
        <f>ROUND(Q31*1.205*C31*12,2)-R31-R32</f>
        <v/>
      </c>
    </row>
    <row r="34">
      <c r="A34" s="17" t="inlineStr">
        <is>
          <t>kontrola: suma miesięczna - etat (Cybersecurity / AI Act Specialist)</t>
        </is>
      </c>
      <c r="B34" s="17" t="inlineStr"/>
      <c r="C34" s="17" t="inlineStr"/>
      <c r="D34" s="17">
        <f>ROUND(D31+D32+D33-$C$31,6)</f>
        <v/>
      </c>
      <c r="E34" s="17">
        <f>ROUND(E31+E32+E33-$C$31,6)</f>
        <v/>
      </c>
      <c r="F34" s="17">
        <f>ROUND(F31+F32+F33-$C$31,6)</f>
        <v/>
      </c>
      <c r="G34" s="17">
        <f>ROUND(G31+G32+G33-$C$31,6)</f>
        <v/>
      </c>
      <c r="H34" s="17">
        <f>ROUND(H31+H32+H33-$C$31,6)</f>
        <v/>
      </c>
      <c r="I34" s="17">
        <f>ROUND(I31+I32+I33-$C$31,6)</f>
        <v/>
      </c>
      <c r="J34" s="17">
        <f>ROUND(J31+J32+J33-$C$31,6)</f>
        <v/>
      </c>
      <c r="K34" s="17">
        <f>ROUND(K31+K32+K33-$C$31,6)</f>
        <v/>
      </c>
      <c r="L34" s="17">
        <f>ROUND(L31+L32+L33-$C$31,6)</f>
        <v/>
      </c>
      <c r="M34" s="17">
        <f>ROUND(M31+M32+M33-$C$31,6)</f>
        <v/>
      </c>
      <c r="N34" s="17">
        <f>ROUND(N31+N32+N33-$C$31,6)</f>
        <v/>
      </c>
      <c r="O34" s="17">
        <f>ROUND(O31+O32+O33-$C$31,6)</f>
        <v/>
      </c>
      <c r="P34" s="17">
        <f>ROUND(P31+P32+P33-12*C31,6)</f>
        <v/>
      </c>
      <c r="Q34" s="17" t="inlineStr"/>
      <c r="R34" s="17">
        <f>R31+R32+R33</f>
        <v/>
      </c>
    </row>
    <row r="35">
      <c r="A35" t="inlineStr">
        <is>
          <t>IT Specialist</t>
        </is>
      </c>
      <c r="B35" t="inlineStr">
        <is>
          <t>Z6</t>
        </is>
      </c>
      <c r="C35" t="n">
        <v>1</v>
      </c>
      <c r="D35">
        <f>$C35*$C$12</f>
        <v/>
      </c>
      <c r="E35">
        <f>$C35*$C$12</f>
        <v/>
      </c>
      <c r="F35">
        <f>$C35*$C$12</f>
        <v/>
      </c>
      <c r="G35">
        <f>$C35*$C$13</f>
        <v/>
      </c>
      <c r="H35">
        <f>$C35*$C$13</f>
        <v/>
      </c>
      <c r="I35">
        <f>$C35*$C$13</f>
        <v/>
      </c>
      <c r="J35">
        <f>$C35*$C$13</f>
        <v/>
      </c>
      <c r="K35">
        <f>$C35*$C$13</f>
        <v/>
      </c>
      <c r="L35">
        <f>$C35*$C$13</f>
        <v/>
      </c>
      <c r="M35">
        <f>$C35*$C$14</f>
        <v/>
      </c>
      <c r="N35">
        <f>$C35*$C$14</f>
        <v/>
      </c>
      <c r="O35">
        <f>$C35*$C$14</f>
        <v/>
      </c>
      <c r="P35">
        <f>SUM(D35:O35)</f>
        <v/>
      </c>
      <c r="Q35" t="n">
        <v>19000</v>
      </c>
      <c r="R35">
        <f>ROUND(Q35*1.205*P35,2)</f>
        <v/>
      </c>
    </row>
    <row r="36">
      <c r="A36" t="inlineStr">
        <is>
          <t>IT Specialist</t>
        </is>
      </c>
      <c r="B36" t="inlineStr">
        <is>
          <t>Z7</t>
        </is>
      </c>
      <c r="C36" t="n">
        <v>1</v>
      </c>
      <c r="D36">
        <f>$C36*$D$12</f>
        <v/>
      </c>
      <c r="E36">
        <f>$C36*$D$12</f>
        <v/>
      </c>
      <c r="F36">
        <f>$C36*$D$12</f>
        <v/>
      </c>
      <c r="G36">
        <f>$C36*$D$13</f>
        <v/>
      </c>
      <c r="H36">
        <f>$C36*$D$13</f>
        <v/>
      </c>
      <c r="I36">
        <f>$C36*$D$13</f>
        <v/>
      </c>
      <c r="J36">
        <f>$C36*$D$13</f>
        <v/>
      </c>
      <c r="K36">
        <f>$C36*$D$13</f>
        <v/>
      </c>
      <c r="L36">
        <f>$C36*$D$13</f>
        <v/>
      </c>
      <c r="M36">
        <f>$C36*$D$14</f>
        <v/>
      </c>
      <c r="N36">
        <f>$C36*$D$14</f>
        <v/>
      </c>
      <c r="O36">
        <f>$C36*$D$14</f>
        <v/>
      </c>
      <c r="P36">
        <f>SUM(D36:O36)</f>
        <v/>
      </c>
      <c r="Q36" t="n">
        <v>19000</v>
      </c>
      <c r="R36">
        <f>ROUND(Q36*1.205*P36,2)</f>
        <v/>
      </c>
    </row>
    <row r="37">
      <c r="A37" t="inlineStr">
        <is>
          <t>IT Specialist</t>
        </is>
      </c>
      <c r="B37" t="inlineStr">
        <is>
          <t>Z9</t>
        </is>
      </c>
      <c r="C37" t="n">
        <v>1</v>
      </c>
      <c r="D37">
        <f>$C37*$E$12</f>
        <v/>
      </c>
      <c r="E37">
        <f>$C37*$E$12</f>
        <v/>
      </c>
      <c r="F37">
        <f>$C37*$E$12</f>
        <v/>
      </c>
      <c r="G37">
        <f>$C37*$E$13</f>
        <v/>
      </c>
      <c r="H37">
        <f>$C37*$E$13</f>
        <v/>
      </c>
      <c r="I37">
        <f>$C37*$E$13</f>
        <v/>
      </c>
      <c r="J37">
        <f>$C37*$E$13</f>
        <v/>
      </c>
      <c r="K37">
        <f>$C37*$E$13</f>
        <v/>
      </c>
      <c r="L37">
        <f>$C37*$E$13</f>
        <v/>
      </c>
      <c r="M37">
        <f>$C37*$E$14</f>
        <v/>
      </c>
      <c r="N37">
        <f>$C37*$E$14</f>
        <v/>
      </c>
      <c r="O37">
        <f>$C37*$E$14</f>
        <v/>
      </c>
      <c r="P37">
        <f>SUM(D37:O37)</f>
        <v/>
      </c>
      <c r="Q37" t="n">
        <v>19000</v>
      </c>
      <c r="R37">
        <f>ROUND(Q35*1.205*C35*12,2)-R35-R36</f>
        <v/>
      </c>
    </row>
    <row r="38">
      <c r="A38" s="17" t="inlineStr">
        <is>
          <t>kontrola: suma miesięczna - etat (IT Specialist)</t>
        </is>
      </c>
      <c r="B38" s="17" t="inlineStr"/>
      <c r="C38" s="17" t="inlineStr"/>
      <c r="D38" s="17">
        <f>ROUND(D35+D36+D37-$C$35,6)</f>
        <v/>
      </c>
      <c r="E38" s="17">
        <f>ROUND(E35+E36+E37-$C$35,6)</f>
        <v/>
      </c>
      <c r="F38" s="17">
        <f>ROUND(F35+F36+F37-$C$35,6)</f>
        <v/>
      </c>
      <c r="G38" s="17">
        <f>ROUND(G35+G36+G37-$C$35,6)</f>
        <v/>
      </c>
      <c r="H38" s="17">
        <f>ROUND(H35+H36+H37-$C$35,6)</f>
        <v/>
      </c>
      <c r="I38" s="17">
        <f>ROUND(I35+I36+I37-$C$35,6)</f>
        <v/>
      </c>
      <c r="J38" s="17">
        <f>ROUND(J35+J36+J37-$C$35,6)</f>
        <v/>
      </c>
      <c r="K38" s="17">
        <f>ROUND(K35+K36+K37-$C$35,6)</f>
        <v/>
      </c>
      <c r="L38" s="17">
        <f>ROUND(L35+L36+L37-$C$35,6)</f>
        <v/>
      </c>
      <c r="M38" s="17">
        <f>ROUND(M35+M36+M37-$C$35,6)</f>
        <v/>
      </c>
      <c r="N38" s="17">
        <f>ROUND(N35+N36+N37-$C$35,6)</f>
        <v/>
      </c>
      <c r="O38" s="17">
        <f>ROUND(O35+O36+O37-$C$35,6)</f>
        <v/>
      </c>
      <c r="P38" s="17">
        <f>ROUND(P35+P36+P37-12*C35,6)</f>
        <v/>
      </c>
      <c r="Q38" s="17" t="inlineStr"/>
      <c r="R38" s="17">
        <f>R35+R36+R37</f>
        <v/>
      </c>
    </row>
    <row r="39">
      <c r="A39" t="inlineStr">
        <is>
          <t>IoT Specialist</t>
        </is>
      </c>
      <c r="B39" t="inlineStr">
        <is>
          <t>Z6</t>
        </is>
      </c>
      <c r="C39" t="n">
        <v>0.5</v>
      </c>
      <c r="D39">
        <f>$C39*$C$15</f>
        <v/>
      </c>
      <c r="E39">
        <f>$C39*$C$15</f>
        <v/>
      </c>
      <c r="F39">
        <f>$C39*$C$15</f>
        <v/>
      </c>
      <c r="G39">
        <f>$C39*$C$16</f>
        <v/>
      </c>
      <c r="H39">
        <f>$C39*$C$16</f>
        <v/>
      </c>
      <c r="I39">
        <f>$C39*$C$16</f>
        <v/>
      </c>
      <c r="J39">
        <f>$C39*$C$16</f>
        <v/>
      </c>
      <c r="K39">
        <f>$C39*$C$16</f>
        <v/>
      </c>
      <c r="L39">
        <f>$C39*$C$16</f>
        <v/>
      </c>
      <c r="M39">
        <f>$C39*$C$17</f>
        <v/>
      </c>
      <c r="N39">
        <f>$C39*$C$17</f>
        <v/>
      </c>
      <c r="O39">
        <f>$C39*$C$17</f>
        <v/>
      </c>
      <c r="P39">
        <f>SUM(D39:O39)</f>
        <v/>
      </c>
      <c r="Q39" t="n">
        <v>15000</v>
      </c>
      <c r="R39">
        <f>ROUND(Q39*1.205*P39,2)</f>
        <v/>
      </c>
    </row>
    <row r="40">
      <c r="A40" t="inlineStr">
        <is>
          <t>IoT Specialist</t>
        </is>
      </c>
      <c r="B40" t="inlineStr">
        <is>
          <t>Z7</t>
        </is>
      </c>
      <c r="C40" t="n">
        <v>0.5</v>
      </c>
      <c r="D40">
        <f>$C40*$D$15</f>
        <v/>
      </c>
      <c r="E40">
        <f>$C40*$D$15</f>
        <v/>
      </c>
      <c r="F40">
        <f>$C40*$D$15</f>
        <v/>
      </c>
      <c r="G40">
        <f>$C40*$D$16</f>
        <v/>
      </c>
      <c r="H40">
        <f>$C40*$D$16</f>
        <v/>
      </c>
      <c r="I40">
        <f>$C40*$D$16</f>
        <v/>
      </c>
      <c r="J40">
        <f>$C40*$D$16</f>
        <v/>
      </c>
      <c r="K40">
        <f>$C40*$D$16</f>
        <v/>
      </c>
      <c r="L40">
        <f>$C40*$D$16</f>
        <v/>
      </c>
      <c r="M40">
        <f>$C40*$D$17</f>
        <v/>
      </c>
      <c r="N40">
        <f>$C40*$D$17</f>
        <v/>
      </c>
      <c r="O40">
        <f>$C40*$D$17</f>
        <v/>
      </c>
      <c r="P40">
        <f>SUM(D40:O40)</f>
        <v/>
      </c>
      <c r="Q40" t="n">
        <v>15000</v>
      </c>
      <c r="R40">
        <f>ROUND(Q40*1.205*P40,2)</f>
        <v/>
      </c>
    </row>
    <row r="41">
      <c r="A41" t="inlineStr">
        <is>
          <t>IoT Specialist</t>
        </is>
      </c>
      <c r="B41" t="inlineStr">
        <is>
          <t>Z9</t>
        </is>
      </c>
      <c r="C41" t="n">
        <v>0.5</v>
      </c>
      <c r="D41">
        <f>$C41*$E$15</f>
        <v/>
      </c>
      <c r="E41">
        <f>$C41*$E$15</f>
        <v/>
      </c>
      <c r="F41">
        <f>$C41*$E$15</f>
        <v/>
      </c>
      <c r="G41">
        <f>$C41*$E$16</f>
        <v/>
      </c>
      <c r="H41">
        <f>$C41*$E$16</f>
        <v/>
      </c>
      <c r="I41">
        <f>$C41*$E$16</f>
        <v/>
      </c>
      <c r="J41">
        <f>$C41*$E$16</f>
        <v/>
      </c>
      <c r="K41">
        <f>$C41*$E$16</f>
        <v/>
      </c>
      <c r="L41">
        <f>$C41*$E$16</f>
        <v/>
      </c>
      <c r="M41">
        <f>$C41*$E$17</f>
        <v/>
      </c>
      <c r="N41">
        <f>$C41*$E$17</f>
        <v/>
      </c>
      <c r="O41">
        <f>$C41*$E$17</f>
        <v/>
      </c>
      <c r="P41">
        <f>SUM(D41:O41)</f>
        <v/>
      </c>
      <c r="Q41" t="n">
        <v>15000</v>
      </c>
      <c r="R41">
        <f>ROUND(Q39*1.205*C39*12,2)-R39-R40</f>
        <v/>
      </c>
    </row>
    <row r="42">
      <c r="A42" s="17" t="inlineStr">
        <is>
          <t>kontrola: suma miesięczna - etat (IoT Specialist)</t>
        </is>
      </c>
      <c r="B42" s="17" t="inlineStr"/>
      <c r="C42" s="17" t="inlineStr"/>
      <c r="D42" s="17">
        <f>ROUND(D39+D40+D41-$C$39,6)</f>
        <v/>
      </c>
      <c r="E42" s="17">
        <f>ROUND(E39+E40+E41-$C$39,6)</f>
        <v/>
      </c>
      <c r="F42" s="17">
        <f>ROUND(F39+F40+F41-$C$39,6)</f>
        <v/>
      </c>
      <c r="G42" s="17">
        <f>ROUND(G39+G40+G41-$C$39,6)</f>
        <v/>
      </c>
      <c r="H42" s="17">
        <f>ROUND(H39+H40+H41-$C$39,6)</f>
        <v/>
      </c>
      <c r="I42" s="17">
        <f>ROUND(I39+I40+I41-$C$39,6)</f>
        <v/>
      </c>
      <c r="J42" s="17">
        <f>ROUND(J39+J40+J41-$C$39,6)</f>
        <v/>
      </c>
      <c r="K42" s="17">
        <f>ROUND(K39+K40+K41-$C$39,6)</f>
        <v/>
      </c>
      <c r="L42" s="17">
        <f>ROUND(L39+L40+L41-$C$39,6)</f>
        <v/>
      </c>
      <c r="M42" s="17">
        <f>ROUND(M39+M40+M41-$C$39,6)</f>
        <v/>
      </c>
      <c r="N42" s="17">
        <f>ROUND(N39+N40+N41-$C$39,6)</f>
        <v/>
      </c>
      <c r="O42" s="17">
        <f>ROUND(O39+O40+O41-$C$39,6)</f>
        <v/>
      </c>
      <c r="P42" s="17">
        <f>ROUND(P39+P40+P41-12*C39,6)</f>
        <v/>
      </c>
      <c r="Q42" s="17" t="inlineStr"/>
      <c r="R42" s="17">
        <f>R39+R40+R41</f>
        <v/>
      </c>
    </row>
    <row r="43">
      <c r="A43" t="inlineStr">
        <is>
          <t>Specjalista ds. logistyki TSL</t>
        </is>
      </c>
      <c r="B43" t="inlineStr">
        <is>
          <t>Z6</t>
        </is>
      </c>
      <c r="C43" t="n">
        <v>0.5</v>
      </c>
      <c r="D43">
        <f>$C43*$C$18</f>
        <v/>
      </c>
      <c r="E43">
        <f>$C43*$C$18</f>
        <v/>
      </c>
      <c r="F43">
        <f>$C43*$C$18</f>
        <v/>
      </c>
      <c r="G43">
        <f>$C43*$C$19</f>
        <v/>
      </c>
      <c r="H43">
        <f>$C43*$C$19</f>
        <v/>
      </c>
      <c r="I43">
        <f>$C43*$C$19</f>
        <v/>
      </c>
      <c r="J43">
        <f>$C43*$C$19</f>
        <v/>
      </c>
      <c r="K43">
        <f>$C43*$C$19</f>
        <v/>
      </c>
      <c r="L43">
        <f>$C43*$C$19</f>
        <v/>
      </c>
      <c r="M43">
        <f>$C43*$C$20</f>
        <v/>
      </c>
      <c r="N43">
        <f>$C43*$C$20</f>
        <v/>
      </c>
      <c r="O43">
        <f>$C43*$C$20</f>
        <v/>
      </c>
      <c r="P43">
        <f>SUM(D43:O43)</f>
        <v/>
      </c>
      <c r="Q43" t="n">
        <v>10000</v>
      </c>
      <c r="R43">
        <f>ROUND(Q43*1.205*P43,2)</f>
        <v/>
      </c>
    </row>
    <row r="44">
      <c r="A44" t="inlineStr">
        <is>
          <t>Specjalista ds. logistyki TSL</t>
        </is>
      </c>
      <c r="B44" t="inlineStr">
        <is>
          <t>Z7</t>
        </is>
      </c>
      <c r="C44" t="n">
        <v>0.5</v>
      </c>
      <c r="D44">
        <f>$C44*$D$18</f>
        <v/>
      </c>
      <c r="E44">
        <f>$C44*$D$18</f>
        <v/>
      </c>
      <c r="F44">
        <f>$C44*$D$18</f>
        <v/>
      </c>
      <c r="G44">
        <f>$C44*$D$19</f>
        <v/>
      </c>
      <c r="H44">
        <f>$C44*$D$19</f>
        <v/>
      </c>
      <c r="I44">
        <f>$C44*$D$19</f>
        <v/>
      </c>
      <c r="J44">
        <f>$C44*$D$19</f>
        <v/>
      </c>
      <c r="K44">
        <f>$C44*$D$19</f>
        <v/>
      </c>
      <c r="L44">
        <f>$C44*$D$19</f>
        <v/>
      </c>
      <c r="M44">
        <f>$C44*$D$20</f>
        <v/>
      </c>
      <c r="N44">
        <f>$C44*$D$20</f>
        <v/>
      </c>
      <c r="O44">
        <f>$C44*$D$20</f>
        <v/>
      </c>
      <c r="P44">
        <f>SUM(D44:O44)</f>
        <v/>
      </c>
      <c r="Q44" t="n">
        <v>10000</v>
      </c>
      <c r="R44">
        <f>ROUND(Q44*1.205*P44,2)</f>
        <v/>
      </c>
    </row>
    <row r="45">
      <c r="A45" t="inlineStr">
        <is>
          <t>Specjalista ds. logistyki TSL</t>
        </is>
      </c>
      <c r="B45" t="inlineStr">
        <is>
          <t>Z9</t>
        </is>
      </c>
      <c r="C45" t="n">
        <v>0.5</v>
      </c>
      <c r="D45">
        <f>$C45*$E$18</f>
        <v/>
      </c>
      <c r="E45">
        <f>$C45*$E$18</f>
        <v/>
      </c>
      <c r="F45">
        <f>$C45*$E$18</f>
        <v/>
      </c>
      <c r="G45">
        <f>$C45*$E$19</f>
        <v/>
      </c>
      <c r="H45">
        <f>$C45*$E$19</f>
        <v/>
      </c>
      <c r="I45">
        <f>$C45*$E$19</f>
        <v/>
      </c>
      <c r="J45">
        <f>$C45*$E$19</f>
        <v/>
      </c>
      <c r="K45">
        <f>$C45*$E$19</f>
        <v/>
      </c>
      <c r="L45">
        <f>$C45*$E$19</f>
        <v/>
      </c>
      <c r="M45">
        <f>$C45*$E$20</f>
        <v/>
      </c>
      <c r="N45">
        <f>$C45*$E$20</f>
        <v/>
      </c>
      <c r="O45">
        <f>$C45*$E$20</f>
        <v/>
      </c>
      <c r="P45">
        <f>SUM(D45:O45)</f>
        <v/>
      </c>
      <c r="Q45" t="n">
        <v>10000</v>
      </c>
      <c r="R45">
        <f>ROUND(Q43*1.205*C43*12,2)-R43-R44</f>
        <v/>
      </c>
    </row>
    <row r="46">
      <c r="A46" s="17" t="inlineStr">
        <is>
          <t>kontrola: suma miesięczna - etat (Specjalista ds. logistyki TSL)</t>
        </is>
      </c>
      <c r="B46" s="17" t="inlineStr"/>
      <c r="C46" s="17" t="inlineStr"/>
      <c r="D46" s="17">
        <f>ROUND(D43+D44+D45-$C$43,6)</f>
        <v/>
      </c>
      <c r="E46" s="17">
        <f>ROUND(E43+E44+E45-$C$43,6)</f>
        <v/>
      </c>
      <c r="F46" s="17">
        <f>ROUND(F43+F44+F45-$C$43,6)</f>
        <v/>
      </c>
      <c r="G46" s="17">
        <f>ROUND(G43+G44+G45-$C$43,6)</f>
        <v/>
      </c>
      <c r="H46" s="17">
        <f>ROUND(H43+H44+H45-$C$43,6)</f>
        <v/>
      </c>
      <c r="I46" s="17">
        <f>ROUND(I43+I44+I45-$C$43,6)</f>
        <v/>
      </c>
      <c r="J46" s="17">
        <f>ROUND(J43+J44+J45-$C$43,6)</f>
        <v/>
      </c>
      <c r="K46" s="17">
        <f>ROUND(K43+K44+K45-$C$43,6)</f>
        <v/>
      </c>
      <c r="L46" s="17">
        <f>ROUND(L43+L44+L45-$C$43,6)</f>
        <v/>
      </c>
      <c r="M46" s="17">
        <f>ROUND(M43+M44+M45-$C$43,6)</f>
        <v/>
      </c>
      <c r="N46" s="17">
        <f>ROUND(N43+N44+N45-$C$43,6)</f>
        <v/>
      </c>
      <c r="O46" s="17">
        <f>ROUND(O43+O44+O45-$C$43,6)</f>
        <v/>
      </c>
      <c r="P46" s="17">
        <f>ROUND(P43+P44+P45-12*C43,6)</f>
        <v/>
      </c>
      <c r="Q46" s="17" t="inlineStr"/>
      <c r="R46" s="17">
        <f>R43+R44+R45</f>
        <v/>
      </c>
    </row>
    <row r="47">
      <c r="A47" t="inlineStr">
        <is>
          <t>Backend/Full-Stack Developer</t>
        </is>
      </c>
      <c r="B47" t="inlineStr">
        <is>
          <t>Z6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>
        <f>SUM(D47:O47)</f>
        <v/>
      </c>
      <c r="Q47" t="n">
        <v>18000</v>
      </c>
      <c r="R47">
        <f>ROUND(Q47*1.205*P47,2)</f>
        <v/>
      </c>
    </row>
    <row r="48">
      <c r="A48" t="inlineStr">
        <is>
          <t>Backend/Full-Stack Developer</t>
        </is>
      </c>
      <c r="B48" t="inlineStr">
        <is>
          <t>Z9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>
        <f>SUM(D48:O48)</f>
        <v/>
      </c>
      <c r="Q48" t="n">
        <v>18000</v>
      </c>
      <c r="R48">
        <f>ROUND(Q48*1.205*P48,2)</f>
        <v/>
      </c>
    </row>
    <row r="49">
      <c r="A49" t="inlineStr">
        <is>
          <t>Razem personel Everest11 Z6</t>
        </is>
      </c>
      <c r="R49">
        <f>SUMIF(B23:B48,"Z6",R23:R48)</f>
        <v/>
      </c>
    </row>
    <row r="50">
      <c r="A50" t="inlineStr">
        <is>
          <t>Razem personel Everest11 Z7</t>
        </is>
      </c>
      <c r="R50">
        <f>SUMIF(B23:B48,"Z7",R23:R48)</f>
        <v/>
      </c>
    </row>
    <row r="51">
      <c r="A51" t="inlineStr">
        <is>
          <t>Razem personel Everest11 Z9</t>
        </is>
      </c>
      <c r="R51">
        <f>SUMIF(B23:B48,"Z9",R23:R48)</f>
        <v/>
      </c>
    </row>
    <row r="52">
      <c r="A52" t="inlineStr">
        <is>
          <t>Suma Z6+Z7+Z9</t>
        </is>
      </c>
      <c r="R52">
        <f>SUM(R49:R51)</f>
        <v/>
      </c>
    </row>
    <row r="53">
      <c r="A53" t="inlineStr">
        <is>
          <t>Stan dotychczasowy (6 stanowisk /3 + Backend Z6 12 mc)</t>
        </is>
      </c>
      <c r="R53">
        <f>959782.5+260280</f>
        <v/>
      </c>
    </row>
    <row r="54">
      <c r="A54" t="inlineStr">
        <is>
          <t>Różnica (powinna wynosić 0)</t>
        </is>
      </c>
      <c r="R54">
        <f>ROUND(R52-R53,2)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  <col width="36" customWidth="1" min="3" max="3"/>
    <col width="70" customWidth="1" min="4" max="4"/>
  </cols>
  <sheetData>
    <row r="1">
      <c r="A1" s="21" t="inlineStr">
        <is>
          <t>Dokument</t>
        </is>
      </c>
      <c r="B1" s="21" t="inlineStr">
        <is>
          <t>Zakres (uwagi, pola wniosku)</t>
        </is>
      </c>
      <c r="C1" s="21" t="inlineStr">
        <is>
          <t>Status</t>
        </is>
      </c>
      <c r="D1" s="21" t="inlineStr">
        <is>
          <t>Co jeszcze potwierdzić i kto</t>
        </is>
      </c>
    </row>
    <row r="2">
      <c r="A2" s="2" t="inlineStr">
        <is>
          <t>Opisy_zadan_z_kamieniami_milowymi.docx</t>
        </is>
      </c>
      <c r="B2" s="2" t="inlineStr">
        <is>
          <t>WP01-WP03: opisy zadań Z1-Z9, kamienie milowe, ryzyka, uzasadnienia kosztów i metoda szacowania personelu Everest11, podział etatów (D29)</t>
        </is>
      </c>
      <c r="C2" s="2" t="inlineStr">
        <is>
          <t>GOTOWY po potwierdzeniu 62 wartości (żółte)</t>
        </is>
      </c>
      <c r="D2" s="2" t="inlineStr">
        <is>
          <t>Dział techniczny: 62 wartości liczbowe (progi, liczności, czasy). Aneks C pliku. | Godziny Z8 PRz zaktualizowane (N77). | ZAMKNIĘTY (D50): zmiany wyłącznie wg Zmiany_do_wprowadzenia_w_plikach_zamknietych.docx</t>
        </is>
      </c>
    </row>
    <row r="3">
      <c r="A3" s="2" t="inlineStr">
        <is>
          <t>Wskazniki_innowacyjnosci_1.2_i_1.4.docx</t>
        </is>
      </c>
      <c r="B3" s="2" t="inlineStr">
        <is>
          <t>WP04: wskaźniki 1.2 (W1-W5), tekst 1.4 i wskaźniki I1-I2, zmiany w opisie innowacji, produkty referencyjne</t>
        </is>
      </c>
      <c r="C3" s="2" t="inlineStr">
        <is>
          <t>GOTOWY po potwierdzeniu 6 parametrów (żółte)</t>
        </is>
      </c>
      <c r="D3" s="2" t="inlineStr">
        <is>
          <t>Dział techniczny: błąd przemieszczenia względnego 0,03 m i 0,05 m, baza AUC 0,70, baza mAP 0,40, zdarzenie inicjujące PoC, zgodność treści 90%.</t>
        </is>
      </c>
    </row>
    <row r="4">
      <c r="A4" s="2" t="inlineStr">
        <is>
          <t>Sekcja_1.3_i_ceny.docx</t>
        </is>
      </c>
      <c r="B4" s="2" t="inlineStr">
        <is>
          <t>WP05: pkt 1.3, pkt 2.3 (rynek docelowy, plan wprowadzenia), zmiany w 2.1, 2.4 i modelu (tabela 5.3), źródła</t>
        </is>
      </c>
      <c r="C4" s="2" t="inlineStr">
        <is>
          <t>GOTOWY (0 żółtych)</t>
        </is>
      </c>
      <c r="D4" s="2" t="inlineStr">
        <is>
          <t>Właścicielka: ręczne zmiany w 2.1, 2.4 i komentarzach modelu (N40-N50, N57-N58). | ZAMKNIĘTY (D50): zmiany wyłącznie wg Zmiany_do_wprowadzenia_w_plikach_zamknietych.docx</t>
        </is>
      </c>
    </row>
    <row r="5">
      <c r="A5" s="2" t="inlineStr">
        <is>
          <t>Sekcja_2.2_i_2.5_prawa_FTO_zasoby.docx</t>
        </is>
      </c>
      <c r="B5" s="2" t="inlineStr">
        <is>
          <t>WP10: pkt 2.2 (brak barier, stan techniki, prawa), pkt 2.5 (zasoby kadrowe, techniczne, pozostałe)</t>
        </is>
      </c>
      <c r="C5" s="2" t="inlineStr">
        <is>
          <t>GOTOWY (0 żółtych)</t>
        </is>
      </c>
      <c r="D5" s="2" t="inlineStr">
        <is>
          <t>Właścicielka: potwierdzenie, że badanie patentowe nie wykazało patentów EP/PL ograniczających wdrożenie (zdanie w 2.2); harmonogram przeniesienia praw z PRz (plan do 30.11.2029).</t>
        </is>
      </c>
    </row>
    <row r="6">
      <c r="A6" s="2" t="inlineStr">
        <is>
          <t>CargoDT_plan_pracy_i_rejestr_decyzji.xlsx</t>
        </is>
      </c>
      <c r="B6" s="2" t="inlineStr">
        <is>
          <t>Rejestr decyzji, niespójności, zadania, źródła, podział etatów</t>
        </is>
      </c>
      <c r="C6" s="2" t="inlineStr">
        <is>
          <t>Aktualizowany na bieżąco</t>
        </is>
      </c>
      <c r="D6" s="2" t="inlineStr">
        <is>
          <t>-</t>
        </is>
      </c>
    </row>
    <row r="7">
      <c r="A7" s="2" t="inlineStr">
        <is>
          <t>Sekcja_6.1_zespol_projektowy.docx</t>
        </is>
      </c>
      <c r="B7" s="2" t="inlineStr">
        <is>
          <t>WP06: sekcja 6.1 (K5-01 do K5-11); Hajduk: dopisano Z10</t>
        </is>
      </c>
      <c r="C7" s="2" t="inlineStr">
        <is>
          <t>GOTOWY (0 żółtych), założenia D37 do potwierdzenia</t>
        </is>
      </c>
      <c r="D7" s="2" t="inlineStr">
        <is>
          <t>Właścicielka: T23 (formy umów, etaty poza projektem, rola Natanek, oświadczenia).</t>
        </is>
      </c>
    </row>
    <row r="8">
      <c r="A8" s="2" t="inlineStr">
        <is>
          <t>Sekcja_6.2-6.4_zasoby_podwykonawca.docx</t>
        </is>
      </c>
      <c r="B8" s="2" t="inlineStr">
        <is>
          <t>WP06: sekcje 6.2, 6.3, 6.4 (K5-12 do K5-19)</t>
        </is>
      </c>
      <c r="C8" s="2" t="inlineStr">
        <is>
          <t>GOTOWY, 7 żółtych pól do uzupełnienia</t>
        </is>
      </c>
      <c r="D8" s="2" t="inlineStr">
        <is>
          <t>PRz i Everest11: T25, T26.</t>
        </is>
      </c>
    </row>
    <row r="9">
      <c r="A9" s="2" t="inlineStr">
        <is>
          <t>Sekcja_7_zasady_horyzontalne_6R.docx</t>
        </is>
      </c>
      <c r="B9" s="2" t="inlineStr">
        <is>
          <t>WP12: pkt 7.1 do 7.4, 8.1 PLRR051, 8.2 wskaźniki 6R (K10-01 do K13-06)</t>
        </is>
      </c>
      <c r="C9" s="2" t="inlineStr">
        <is>
          <t>GOTOWY (0 żółtych), zobowiązania do potwierdzenia</t>
        </is>
      </c>
      <c r="D9" s="2" t="inlineStr">
        <is>
          <t>Zarząd Everest11, PRz, dział techniczny: T27, T28, T29 (część 8 dokumentu).</t>
        </is>
      </c>
    </row>
    <row r="10">
      <c r="A10" s="2" t="inlineStr">
        <is>
          <t>Sekcja_3.2_internacjonalizacja_Z10_Z11.docx</t>
        </is>
      </c>
      <c r="B10" s="2" t="inlineStr">
        <is>
          <t>WP09: pkt 3.2, Z10, Z11, budżet internacjonalizacji, koszty uproszczone, wskaźnik przychodów poza RP (K3-23, K3-24, K3-59..66, K14-01)</t>
        </is>
      </c>
      <c r="C10" s="2" t="inlineStr">
        <is>
          <t>GOTOWY (0 żółtych), czas przyszły; zadania T32</t>
        </is>
      </c>
      <c r="D10" s="2" t="inlineStr">
        <is>
          <t>Właścicielka, PRz: T32.</t>
        </is>
      </c>
    </row>
    <row r="11">
      <c r="A11" s="2" t="inlineStr">
        <is>
          <t>Sekcja_3.1_sprzet_i_amortyzacja.docx</t>
        </is>
      </c>
      <c r="B11" s="2" t="inlineStr">
        <is>
          <t>WP08: 14 pozycji Amortyzacja (aparatura i sprzęt), K3-48 do K3-58</t>
        </is>
      </c>
      <c r="C11" s="2" t="inlineStr">
        <is>
          <t>GOTOWY (0 żółtych), czas przyszły; decyzje D42, D06</t>
        </is>
      </c>
      <c r="D11" s="2" t="inlineStr">
        <is>
          <t>Dział techniczny, księgowa, zakupy: T33, T34, T35.</t>
        </is>
      </c>
    </row>
    <row r="12">
      <c r="A12" s="2" t="inlineStr">
        <is>
          <t>Sekcja_3.1_podwykonawstwo_i_stawki_PRz.docx</t>
        </is>
      </c>
      <c r="B12" s="2" t="inlineStr">
        <is>
          <t>WP07 i część WP06: podwykonawstwo Z2/Z9 (K3-43..47), R8, stawki wynagrodzeń PRz 40 pozycji (K3-41, K3-42)</t>
        </is>
      </c>
      <c r="C12" s="2" t="inlineStr">
        <is>
          <t>WERSJA OSTATECZNA (poprawki właścicielki), czas przyszły, 0 żółtych</t>
        </is>
      </c>
      <c r="D12" s="2" t="inlineStr">
        <is>
          <t>Opcjonalnie T37.</t>
        </is>
      </c>
    </row>
    <row r="13">
      <c r="A13" s="2" t="inlineStr">
        <is>
          <t>Sekcja_K6_sprawozdanie_2Q2026_model.docx</t>
        </is>
      </c>
      <c r="B13" s="2" t="inlineStr">
        <is>
          <t>WP11 (część K6): dane za II kwartał 2026 w modelu Everest11, prognoza, wpływ na wyniki, komentarze, wariant rotacji zobowiązań</t>
        </is>
      </c>
      <c r="C13" s="2" t="inlineStr">
        <is>
          <t>GOTOWY: części 2 (zmiany w modelu, w tym 2.4 rotacje i 2.5 harmonogram płatności), 3, 4 (komentarze), 5-7, 8 (propozycje D53)</t>
        </is>
      </c>
      <c r="D13" s="2" t="inlineStr">
        <is>
          <t>Właścicielka: D46 (rotacje), D53 (zatwierdzenie propozycji); dział techniczny: T46; załączniki: T41.</t>
        </is>
      </c>
    </row>
    <row r="14">
      <c r="A14" s="2" t="inlineStr">
        <is>
          <t>Model_finansowy_CargoDT_Everest_II_kwartal_2026.xlsm</t>
        </is>
      </c>
      <c r="B14" s="2" t="inlineStr">
        <is>
          <t>WP11: model Everest11 z danymi za II kwartał 2026, prognozą I półrocze x2, rotacjami z I półrocza (po odpowiedzi księgowej) i poprawionymi komentarzami (Sprawozdania, Przychody, Koszty, Kapitał pracujący, Ocena kondycji, Założenia); przeliczony kontrolnie (57 581 liczb zgodnych) | 05.10: komentarze po D47-D49 (Przychody, Koszty, Opłacalność, Finansowanie, Kapitał pracujący) | 05.10 wieczór: harmonogram płatności skorygowany (K6-14), dopisek Koszty (K2-13, N58), tekst K6-12 bez 6,3 mln zł, zdanie o tajemnicy umowy z Amazon</t>
        </is>
      </c>
      <c r="C14" s="2" t="inlineStr">
        <is>
          <t>GOTOWY; D46 wprowadzona (do potwierdzenia); po otwarciu w Excelu zapisać plik</t>
        </is>
      </c>
      <c r="D14" s="2" t="inlineStr">
        <is>
          <t>Właścicielka: D46; Excel: otworzyć, zapisać, sprawdzić kontrolki.</t>
        </is>
      </c>
    </row>
    <row r="15">
      <c r="A15" s="2" t="inlineStr">
        <is>
          <t>Zmiany_do_wprowadzenia_w_plikach_zamknietych.docx</t>
        </is>
      </c>
      <c r="B15" s="2" t="inlineStr">
        <is>
          <t>Zestawienie zmian w Sekcja_1.3, Poprawki (R11, R12), Opisy zadań (R12, Z9) i w polach LSI po odpowiedziach księgowej, odpisie KRS i decyzjach D47-D49</t>
        </is>
      </c>
      <c r="C15" s="2" t="inlineStr">
        <is>
          <t>GOTOWY</t>
        </is>
      </c>
      <c r="D15" s="2" t="inlineStr">
        <is>
          <t>Właścicielka: T48</t>
        </is>
      </c>
    </row>
    <row r="16">
      <c r="A16" s="2" t="inlineStr">
        <is>
          <t>Poprawki_do_wklejenia_WP01-WP03.docx</t>
        </is>
      </c>
      <c r="B16" s="2" t="inlineStr">
        <is>
          <t>WP01-WP03: poprawki do pól 3.1.1, kamieni milowych i ryzyk (w tym R11, R12)</t>
        </is>
      </c>
      <c r="C16" s="2" t="inlineStr">
        <is>
          <t>ZAMKNIĘTY (D50)</t>
        </is>
      </c>
      <c r="D16" s="2" t="inlineStr">
        <is>
          <t>Zmiany wyłącznie wg Zmiany_do_wprowadzenia_w_plikach_zamknietych.docx.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2026-10-01T16:37:34Z</dcterms:created>
  <dcterms:modified xmlns:dcterms="http://purl.org/dc/terms/" xmlns:xsi="http://www.w3.org/2001/XMLSchema-instance" xsi:type="dcterms:W3CDTF">2026-10-06T12:52:15Z</dcterms:modified>
</cp:coreProperties>
</file>