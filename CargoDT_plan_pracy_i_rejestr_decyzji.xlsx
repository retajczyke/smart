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  <sheet xmlns:r="http://schemas.openxmlformats.org/officeDocument/2006/relationships" name="11_Dokument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  <xf numFmtId="0" fontId="2" fillId="9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02.10.2026,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  <row r="14">
      <c r="A14" t="inlineStr">
        <is>
          <t>Styl tekstów do wklejenia</t>
        </is>
      </c>
      <c r="B14" t="inlineStr">
        <is>
          <t>Czas przyszły dla działań projektu; akapity zaczynamy pełnym zdaniem, nie jednowyrazową etykietą ("Oprogramowanie.", "Tak.", "Zakres."). Ustalenie właścicielki, 02.10.2026.</t>
        </is>
      </c>
    </row>
    <row r="15">
      <c r="A15" t="inlineStr">
        <is>
          <t>Min. 3 dostawców w metodzie szacowania</t>
        </is>
      </c>
      <c r="B15" t="inlineStr">
        <is>
          <t>Każdy koszt ma w metodzie co najmniej trzech dostawców lub źródeł cen z nazwy, a jeśli usługa ma jednego dostawcę z natury (organizator kongresu, opłaty urzędowe EPO), napisano to wprost. Ustalenie właścicielki, 02.10.2026.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 ZASTĄPIONE 02.10.2026: 5 ciągników siodłowych z naczepami na podstawie umowy partnerskiej z Natanek Logistics od 03.2025, z prawem do danych z pojazdów; teksty nie mówią o pojazdach własnych Everest11 w najmie.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 ROZSTRZYGNIĘCIE 02.10.2026: koszt komponentów w modelu (4 875 zł za zestaw) zostaje bez zmian; do uzupełnienia podstawa kwoty (N57).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  <row r="35">
      <c r="A35" s="2" t="inlineStr">
        <is>
          <t>D34</t>
        </is>
      </c>
      <c r="B35" s="2" t="inlineStr">
        <is>
          <t>Pkt 1.3 i ceny: nowa podstawa rynku i opis wartości dla klienta</t>
        </is>
      </c>
      <c r="C35" s="2" t="inlineStr">
        <is>
          <t>TAM 544,97 tys. naczep (Eurostat 2023), SAM 200 000 jako założenie z metodą do uzupełnienia, prognoza tylko dla Polski. eFTI opisane jako obowiązek organów i dobrowolne dla przewoźników. Wartość CMR przeliczona kursem SDR NBP 5,0954 (04.09.2026): 8 489-21 222 PLN. Usunięte: ROI dodatni od 1. roku, 5 500 PLN, 43% pustych, 5 mln USD. Flota odniesienia 10 naczep (12 168 PLN w 1. roku, 4 668 PLN potem).</t>
        </is>
      </c>
      <c r="D35" s="16" t="inlineStr">
        <is>
          <t>DO POTWIERDZENIA</t>
        </is>
      </c>
      <c r="E35" s="2" t="inlineStr">
        <is>
          <t>Właściciel</t>
        </is>
      </c>
      <c r="F35" s="2" t="inlineStr">
        <is>
          <t>K2-05, K2-06, K2-11, K2-14, K2-15, K2-17</t>
        </is>
      </c>
    </row>
    <row r="36">
      <c r="A36" s="2" t="inlineStr">
        <is>
          <t>D35</t>
        </is>
      </c>
      <c r="B36" s="2" t="inlineStr">
        <is>
          <t>Wdrożenie na 50 pojazdach u klientów zewnętrznych, bez floty własnej Everest11 w liczbie wdrożeń</t>
        </is>
      </c>
      <c r="C36" s="2" t="inlineStr">
        <is>
          <t>Decyzja właściciela: wdrożenie opisane jako 50 pojazdów w sumie (trzej operatorzy z listami intencyjnymi na łącznie 50 naczep, ponownie podpisanymi). Model finansowy bez zmian liczbowych. Usuwa pytanie o pochodzenie 20 naczep (K2-01). Flota testowa Z9 (D10, min. 3 pojazdy) jest odrębna. Zmiany: 1.3, 2.1 Etap 1, komentarz w modelu.</t>
        </is>
      </c>
      <c r="D36" s="16" t="inlineStr">
        <is>
          <t>ZATWIERDZONA</t>
        </is>
      </c>
      <c r="E36" s="2" t="inlineStr">
        <is>
          <t>Właściciel</t>
        </is>
      </c>
      <c r="F36" s="2" t="inlineStr">
        <is>
          <t>K2-01, K6</t>
        </is>
      </c>
    </row>
    <row r="37">
      <c r="A37" s="2" t="inlineStr">
        <is>
          <t>D36</t>
        </is>
      </c>
      <c r="B37" s="2" t="inlineStr">
        <is>
          <t>Prawa PRz w chwili wdrożenia (K2-02): mechanizm z § 11 umowy konsorcjum, bez zmian w umowie</t>
        </is>
      </c>
      <c r="C37" s="2" t="inlineStr">
        <is>
          <t>Umowa konsorcjum (§ 11 ust. 7-11): prawo pierwszeństwa Lidera do przeniesienia praw PRz, oświadczenie w ciągu 120 dni od wyników i końca projektu (do 28.08.2029), wycena niezależnego eksperta nadzorowana przez Radę, 7 dni na zastrzeżenia PRz, drugi ekspert i średnia przy sporze. Umowa nie narzuca terminu przeniesienia. We wniosku plan: przeniesienie do 30.11.2029 i zapis, że do czasu przeniesienia Everest11 nie sprzedaje produktu opartego na wynikach PRz. Wariant A (zmiana umowy) i B (licencja) odrzucone.</t>
        </is>
      </c>
      <c r="D37" s="16" t="inlineStr">
        <is>
          <t>ZATWIERDZONA (harmonogram do potwierdzenia z PRz)</t>
        </is>
      </c>
      <c r="E37" s="2" t="inlineStr">
        <is>
          <t>Właściciel</t>
        </is>
      </c>
      <c r="F37" s="2" t="inlineStr">
        <is>
          <t>K2-02</t>
        </is>
      </c>
    </row>
    <row r="38">
      <c r="A38" s="2" t="inlineStr">
        <is>
          <t>D37</t>
        </is>
      </c>
      <c r="B38" s="2" t="inlineStr">
        <is>
          <t>Sekcja 6.1: statusy i dostępność zespołu (K5-01, K5-08, K5-09)</t>
        </is>
      </c>
      <c r="C38" s="2" t="inlineStr">
        <is>
          <t>Założenia (do potwierdzenia przez właścicielkę): Kordos, Chrzanowski i Retajczyk na umowie zlecenia z Everest11 (0,4 etatu, 67 h), pozostałe osoby Everest11 na umowie o pracę (warunkowe z 08.06.2026); start 01.11.2026; godziny przy 168 h na etat; Kordos i Chrzanowski mają etat w PRz (razem 235 h), Hajduk etat w Natanek Logistics (252 h), Kosterna 269 h i Wojdat 210 h do 28.02.2027; Natanek Logistics jest partnerem testowym, nie podwykonawcą; funkcja koordynatora wydziałowego Chrzanowskiego zakończona w 2022 r.</t>
        </is>
      </c>
      <c r="D38" s="16" t="inlineStr">
        <is>
          <t>DO POTWIERDZENIA</t>
        </is>
      </c>
      <c r="E38" s="2" t="inlineStr">
        <is>
          <t>Właścicielka</t>
        </is>
      </c>
      <c r="F38" s="2" t="inlineStr">
        <is>
          <t>K5-01, K5-07, K5-08, K5-09</t>
        </is>
      </c>
    </row>
    <row r="39">
      <c r="A39" s="2" t="inlineStr">
        <is>
          <t>D38</t>
        </is>
      </c>
      <c r="B39" s="2" t="inlineStr">
        <is>
          <t>6R: wariant B (reduce) z dwoma wskaźnikami mierzonymi w trakcie projektu</t>
        </is>
      </c>
      <c r="C39" s="2" t="inlineStr">
        <is>
          <t>Zasada reduce, wskaźnik 1: papier, 500 stron A4 do nie więcej niż 50 w 250 kursach testowych (Z6 50 cykli, Z9 200); wskaźnik 2: dane do chmury, 100% do nie więcej niż 5% surowego strumienia (Z7, Z9). Wypełnienie naczep 65% do 80% usunięte. Rozwija D17. Rola PRz: dobór lekkich architektur Z3 i Z8 i niezależne przeliczenie wolumenu.</t>
        </is>
      </c>
      <c r="D39" s="16" t="inlineStr">
        <is>
          <t>DO POTWIERDZENIA</t>
        </is>
      </c>
      <c r="E39" s="2" t="inlineStr">
        <is>
          <t>Właścicielka, dział techniczny</t>
        </is>
      </c>
      <c r="F39" s="2" t="inlineStr">
        <is>
          <t>K13-01..06</t>
        </is>
      </c>
    </row>
    <row r="40">
      <c r="A40" s="2" t="inlineStr">
        <is>
          <t>D39</t>
        </is>
      </c>
      <c r="B40" s="2" t="inlineStr">
        <is>
          <t>Zestaw CargoDT w tabeli dostępności: pozytywny, nie neutralny</t>
        </is>
      </c>
      <c r="C40" s="2" t="inlineStr">
        <is>
          <t>Kierowca jest użytkownikiem (panel HMI i buzzer 100 dB, alert w 3 poziomach), więc neutralność nie spełnia definicji z Instrukcji. API i aparatura badawcza pozostają neutralne.</t>
        </is>
      </c>
      <c r="D40" s="16" t="inlineStr">
        <is>
          <t>ZATWIERDZONA (propozycja, brak sprzeciwu)</t>
        </is>
      </c>
      <c r="E40" s="2" t="inlineStr">
        <is>
          <t>Właścicielka</t>
        </is>
      </c>
      <c r="F40" s="2" t="inlineStr">
        <is>
          <t>K10-05</t>
        </is>
      </c>
    </row>
    <row r="41">
      <c r="A41" s="2" t="inlineStr">
        <is>
          <t>D40</t>
        </is>
      </c>
      <c r="B41" s="2" t="inlineStr">
        <is>
          <t>Wskaźnik przychodów poza RP (FENGR-001): 0 zł w 2030 r.</t>
        </is>
      </c>
      <c r="C41" s="2" t="inlineStr">
        <is>
          <t>Wartość 0 zł w 2030 r. (pierwszy rok sprzedaży tylko w Polsce, brak licencji za granicą); pierwsze przychody poza RP wg modelu od 2032-2033. Model bez zmian. Zatwierdzona przez właścicielkę 02.10.2026.</t>
        </is>
      </c>
      <c r="D41" s="16" t="inlineStr">
        <is>
          <t>ZATWIERDZONA</t>
        </is>
      </c>
      <c r="E41" s="2" t="inlineStr">
        <is>
          <t>Właścicielka</t>
        </is>
      </c>
      <c r="F41" s="2" t="inlineStr">
        <is>
          <t>K14-01</t>
        </is>
      </c>
    </row>
    <row r="42">
      <c r="A42" s="2" t="inlineStr">
        <is>
          <t>D41</t>
        </is>
      </c>
      <c r="B42" s="2" t="inlineStr">
        <is>
          <t>Internacjonalizacja: przebudowa budżetu bez zmiany sumy i dofinansowania</t>
        </is>
      </c>
      <c r="C42" s="2" t="inlineStr">
        <is>
          <t>Suma kwalifikowalna 86 871,00 zł i dofinansowanie 43 435,50 zł bez zmian względem poprzedniej wersji (ogółem 101 273,37 zł zamiast 104 075,78 zł wyłącznie z powodu poprawy VAT: stawki podróży netto=brutto, tłumaczenia z VAT). TRANSLOG 23 919 zł wg cennika historycznego: powierzchnia 9 m² (285 EUR/m²) + opłata podstawowa 350 EUR = 13 735 zł (de minimis 5.3.8); energia 130 EUR, zabudowa 199 EUR/m², meble 240 EUR = 10 184 zł (art. 19, 5.3.2); kurs NBP 4,2836, waloryzacja ok. 10%. Doradztwo 14 dni x 8 h x 125 zł = 14 000 zł; rzecznik 8 000 zł (de minimis) + 15 500 zł (dokumentacja, zgłoszenie, tłumaczenia, art. 28); EPO 7 785 zł; element dekoracyjny stoiska 1 200 zł; podróże 3 x 5 489 zł. Zatwierdzona 02.10.2026.</t>
        </is>
      </c>
      <c r="D42" s="16" t="inlineStr">
        <is>
          <t>ZATWIERDZONA</t>
        </is>
      </c>
      <c r="E42" s="2" t="inlineStr">
        <is>
          <t>Właścicielka</t>
        </is>
      </c>
      <c r="F42" s="2" t="inlineStr">
        <is>
          <t>K3-24, K3-59..66</t>
        </is>
      </c>
    </row>
    <row r="43">
      <c r="A43" s="2" t="inlineStr">
        <is>
          <t>D42</t>
        </is>
      </c>
      <c r="B43" s="2" t="inlineStr">
        <is>
          <t>Amortyzacja: przesunięcia cen przy niezmienionej sumie (Everest11 57 100 zł, PRz 147 700 zł)</t>
        </is>
      </c>
      <c r="C43" s="2" t="inlineStr">
        <is>
          <t>PRz Z1: ToF typ 2 zestaw 10 000 zł, EO typ 2 4 500 zł, radar typ 2 3 500 zł (K3-50). Everest11 Z2: kamera ToF Orbbec Femto Bolt 2 100 zł + akcesoria 400 zł (zamiast OAK-D Pro W, active stereo); platforma edge AI: jednostka 1 400 zł, dysk 400 zł, router 1 200 zł za komplet 3 000 zł (zamiast 500/1 000/1 500). Odpis jednorazowy, likwidacja po M30 (D01).</t>
        </is>
      </c>
      <c r="D43" s="16" t="inlineStr">
        <is>
          <t>DO POTWIERDZENIA</t>
        </is>
      </c>
      <c r="E43" s="2" t="inlineStr">
        <is>
          <t>Właścicielka, dział techniczny</t>
        </is>
      </c>
      <c r="F43" s="2" t="inlineStr">
        <is>
          <t>K3-48..58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Sprawdzenie w Espacenet i Google Patents dokumentów wskazanych przez wyszukiwarkę (US 11,151,506 B2, US 11,685,400 B2, US 2013/0342653 A1, US 7,468,660 B2, US 9,965,939 B1, EP 3103072 i rodzina UPS, US 10,769,576 B2, US 11,370,348 B2)</t>
        </is>
      </c>
      <c r="C14" s="4" t="inlineStr">
        <is>
          <t>Dane z wyszukiwarki były sprzeczne i niezweryfikowane. Najpierw potwierdzenie, potem ewentualna zmiana wniosku.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  <row r="15">
      <c r="A15" s="4" t="inlineStr">
        <is>
          <t>T14</t>
        </is>
      </c>
      <c r="B15" s="4" t="inlineStr">
        <is>
          <t>Metoda SAM 200 000: udział nadwozi zamkniętych i kurtynowych oraz naczep bez telematyki fabrycznej w 544,97 tys. naczep (CEPiK/PZPM albo własna analiza)</t>
        </is>
      </c>
      <c r="C15" s="4" t="inlineStr">
        <is>
          <t>Metoda SAM opracowana z danych publicznych (Aneks A pliku Sekcja_1.3_i_ceny.docx). Do zrobienia: sprawdzenie liczb PZPM i nowszych danych o telematyce naczep.</t>
        </is>
      </c>
      <c r="D15" s="4" t="inlineStr">
        <is>
          <t>Właściciel + Claude</t>
        </is>
      </c>
      <c r="E15" s="4" t="inlineStr">
        <is>
          <t>06.10</t>
        </is>
      </c>
      <c r="F15" s="4" t="inlineStr">
        <is>
          <t>K2-05, N40</t>
        </is>
      </c>
      <c r="G15" s="4" t="inlineStr">
        <is>
          <t>CZĘŚCIOWO</t>
        </is>
      </c>
    </row>
    <row r="16">
      <c r="A16" s="4" t="inlineStr">
        <is>
          <t>T15</t>
        </is>
      </c>
      <c r="B16" s="4" t="inlineStr">
        <is>
          <t>Dane z rozmów z klientami i listów intencyjnych: liczba rozmów, treść LOI (liczba naczep, warunki, termin), struktura bazy 50+ kontrahentów, stan rozmów z ubezpieczycielem, nazwy targów z Z10</t>
        </is>
      </c>
      <c r="C16" s="4" t="inlineStr">
        <is>
          <t>Podane: 15 rozmów z potencjalnymi klientami (marzec-maj 2026), stan rozmów z ubezpieczycielem bez zmian, targi z wniosku, LOI. Pozostaje opcjonalnie struktura bazy 50+ (Aneks C).</t>
        </is>
      </c>
      <c r="D16" s="4" t="inlineStr">
        <is>
          <t>Właściciel</t>
        </is>
      </c>
      <c r="E16" s="4" t="inlineStr">
        <is>
          <t>05.10</t>
        </is>
      </c>
      <c r="F16" s="4" t="inlineStr">
        <is>
          <t>K2-01, K2-10, K2-11</t>
        </is>
      </c>
      <c r="G16" s="4" t="inlineStr">
        <is>
          <t>CZĘŚCIOWO</t>
        </is>
      </c>
    </row>
    <row r="17">
      <c r="A17" s="4" t="inlineStr">
        <is>
          <t>T16</t>
        </is>
      </c>
      <c r="B17" s="4" t="inlineStr">
        <is>
          <t>Koszt serii zestawu (BOM), koszt montażu, koszt obsługi subskrypcji na pojazd</t>
        </is>
      </c>
      <c r="C17" s="4" t="inlineStr">
        <is>
          <t>Wymagane do uzasadnienia cen (K2-06) i decyzji D11. Po decyzji o 4 875 zł potrzebna tylko podstawa tej kwoty (konfiguracja zestawu produkcyjnego, źródła cen) i koszt obsługi subskrypcji (hosting 50 zł już w modelu).</t>
        </is>
      </c>
      <c r="D17" s="4" t="inlineStr">
        <is>
          <t>Właściciel (dział techniczny) + Claude</t>
        </is>
      </c>
      <c r="E17" s="4" t="inlineStr">
        <is>
          <t>05.10</t>
        </is>
      </c>
      <c r="F17" s="4" t="inlineStr">
        <is>
          <t>K2-06, K2-12, K2-13, D11</t>
        </is>
      </c>
      <c r="G17" s="4" t="inlineStr">
        <is>
          <t>OTWARTE</t>
        </is>
      </c>
    </row>
    <row r="18">
      <c r="A18" s="4" t="inlineStr">
        <is>
          <t>T17</t>
        </is>
      </c>
      <c r="B18" s="4" t="inlineStr">
        <is>
          <t>Ponowne podpisanie listów intencyjnych trzech operatorów (łącznie 50 naczep) z elementami z Aneksu B (profil operatora, liczba naczep, warunki cenowe, kryteria zakupu, dane o szkodach, ważność do 31.12.2030, zgoda na wskazanie z nazwy)</t>
        </is>
      </c>
      <c r="C18" s="4" t="inlineStr">
        <is>
          <t>Listy podpisane ponownie z wszystkimi elementami z Aneksu B (potwierdzenie właścicielki 02.10.2026): 20, 20 i 10 naczep, łącznie 50.</t>
        </is>
      </c>
      <c r="D18" s="4" t="inlineStr">
        <is>
          <t>Właściciel</t>
        </is>
      </c>
      <c r="E18" s="4" t="inlineStr">
        <is>
          <t>05.10</t>
        </is>
      </c>
      <c r="F18" s="4" t="inlineStr">
        <is>
          <t>K2-01, K2-06, D35</t>
        </is>
      </c>
      <c r="G18" s="4" t="inlineStr">
        <is>
          <t>ZROBIONE</t>
        </is>
      </c>
    </row>
    <row r="19">
      <c r="A19" s="4" t="inlineStr">
        <is>
          <t>T18</t>
        </is>
      </c>
      <c r="B19" s="4" t="inlineStr">
        <is>
          <t>Wypełnienie tabeli struktury bazy 50+ kontrahentów z CRM i karty rozmowy dla 15 rozmów (Aneks C)</t>
        </is>
      </c>
      <c r="C19" s="4" t="inlineStr">
        <is>
          <t>Daje sumy do tekstu 1.3 i 2.1.</t>
        </is>
      </c>
      <c r="D19" s="4" t="inlineStr">
        <is>
          <t>Właściciel</t>
        </is>
      </c>
      <c r="E19" s="4" t="inlineStr">
        <is>
          <t>05.10</t>
        </is>
      </c>
      <c r="F19" s="4" t="inlineStr">
        <is>
          <t>K2-01, K2-11</t>
        </is>
      </c>
      <c r="G19" s="4" t="inlineStr">
        <is>
          <t>OTWARTE</t>
        </is>
      </c>
    </row>
    <row r="20">
      <c r="A20" s="4" t="inlineStr">
        <is>
          <t>T19</t>
        </is>
      </c>
      <c r="B20" s="4" t="inlineStr">
        <is>
          <t>Pobranie z Eurostatu liczby naczep w Czechach, Słowacji, na Węgrzech i w Rumunii (road_eqs_semit) albo usunięcie wielkości rynku CEE z 1.3, 2.1 (Segment 3) i Z10 (3.2.2)</t>
        </is>
      </c>
      <c r="C20" s="4" t="inlineStr">
        <is>
          <t>Obecne „400 000-600 000 naczep” nie ma źródła.</t>
        </is>
      </c>
      <c r="D20" s="4" t="inlineStr">
        <is>
          <t>Właściciel + Claude</t>
        </is>
      </c>
      <c r="E20" s="4" t="inlineStr">
        <is>
          <t>06.10</t>
        </is>
      </c>
      <c r="F20" s="4" t="inlineStr">
        <is>
          <t>K2-05, N47</t>
        </is>
      </c>
      <c r="G20" s="4" t="inlineStr">
        <is>
          <t>OTWARTE</t>
        </is>
      </c>
    </row>
    <row r="21">
      <c r="A21" s="4" t="inlineStr">
        <is>
          <t>T20</t>
        </is>
      </c>
      <c r="B21" s="4" t="inlineStr">
        <is>
          <t>Ocena rzecznika patentowego (jeśli zlecona): zastrzeżenia US 11,151,506 B2 i ewentualnie rodziny UPS EP 3103072; sprawdzenie rodzin w Espacenet</t>
        </is>
      </c>
      <c r="C21" s="4" t="inlineStr">
        <is>
          <t>Bez zwiększenia budżetu projektu (środki własne Everest11).</t>
        </is>
      </c>
      <c r="D21" s="4" t="inlineStr">
        <is>
          <t>Właściciel</t>
        </is>
      </c>
      <c r="E21" s="4" t="inlineStr">
        <is>
          <t>05.10</t>
        </is>
      </c>
      <c r="F21" s="4" t="inlineStr">
        <is>
          <t>K2-03, N51</t>
        </is>
      </c>
      <c r="G21" s="4" t="inlineStr">
        <is>
          <t>ANULOWANE (decyzja: bez rzecznika)</t>
        </is>
      </c>
    </row>
    <row r="22">
      <c r="A22" s="4" t="inlineStr">
        <is>
          <t>T21</t>
        </is>
      </c>
      <c r="B22" s="4" t="inlineStr">
        <is>
          <t>Trzy proste decyzje o produkcji zestawów: (1) kto kompletuje: własny zespół czy firma zewnętrzna, (2) kto robi badania CE: laboratorium wybrane w zapytaniu ofertowym, (3) skąd środki na badania i pierwszą serię: kapitał własny Lidera; plus akceptacja założeń zasobów (3 h montażu, 0,3 h wsparcia, parametry chmury)</t>
        </is>
      </c>
      <c r="C22" s="4" t="inlineStr">
        <is>
          <t>Zatwierdzone 02.10.2026: kompletacja pierwszej serii własnym zespołem, od 2032 firma zewnętrzna z zapytania ofertowego; badania CE w laboratorium z zapytania; finansowanie z kapitału własnego Lidera; założenia 3 h montażu, 0,3 h wsparcia i parametry chmury przyjęte. Teksty 2.5 bez nazw i kwot.</t>
        </is>
      </c>
      <c r="D22" s="4" t="inlineStr">
        <is>
          <t>Właściciel (Kozioł, Ruciński)</t>
        </is>
      </c>
      <c r="E22" s="4" t="inlineStr">
        <is>
          <t>05.10</t>
        </is>
      </c>
      <c r="F22" s="4" t="inlineStr">
        <is>
          <t>K2-04, K2-07</t>
        </is>
      </c>
      <c r="G22" s="4" t="inlineStr">
        <is>
          <t>ZROBIONE</t>
        </is>
      </c>
    </row>
    <row r="23">
      <c r="A23" s="4" t="inlineStr">
        <is>
          <t>T22</t>
        </is>
      </c>
      <c r="B23" s="4" t="inlineStr">
        <is>
          <t>Brzmienie zapisu umowy konsorcjum o terminie przeniesienia praw PRz (do decyzji D36)</t>
        </is>
      </c>
      <c r="C23" s="4" t="inlineStr">
        <is>
          <t>Potrzebne do wyboru wariantu A lub B.</t>
        </is>
      </c>
      <c r="D23" s="4" t="inlineStr">
        <is>
          <t>Właściciel</t>
        </is>
      </c>
      <c r="E23" s="4" t="inlineStr">
        <is>
          <t>03.10</t>
        </is>
      </c>
      <c r="F23" s="4" t="inlineStr">
        <is>
          <t>K2-02, D36</t>
        </is>
      </c>
      <c r="G23" s="4" t="inlineStr">
        <is>
          <t>ZROBIONE (§ 11 przekazany 02.10.2026)</t>
        </is>
      </c>
    </row>
    <row r="24">
      <c r="A24" s="4" t="inlineStr">
        <is>
          <t>T23</t>
        </is>
      </c>
      <c r="B24" s="4" t="inlineStr">
        <is>
          <t>Potwierdzenie założeń sekcji 6.1 (D37): formy umów, etaty poza projektem (PRz, Natanek Logistics), brak funkcji zarządczych w PRz, Natanek jako partner a nie podwykonawca, umowa o poufności</t>
        </is>
      </c>
      <c r="C24" s="4" t="inlineStr">
        <is>
          <t>Teksty 6.1 są napisane przy tych założeniach; jeśli któreś jest inne, zmieni się zdanie w polach „Sposób zarządzania”, „Status współpracy” i dopiskach do doświadczenia.</t>
        </is>
      </c>
      <c r="D24" s="4" t="inlineStr">
        <is>
          <t>Właścicielka</t>
        </is>
      </c>
      <c r="E24" s="4" t="inlineStr">
        <is>
          <t>03.10</t>
        </is>
      </c>
      <c r="F24" s="4" t="inlineStr">
        <is>
          <t>K5-01, K5-07, K5-08, K5-09</t>
        </is>
      </c>
      <c r="G24" s="4" t="inlineStr">
        <is>
          <t>OTWARTE</t>
        </is>
      </c>
    </row>
    <row r="25">
      <c r="A25" s="4" t="inlineStr">
        <is>
          <t>T24</t>
        </is>
      </c>
      <c r="B25" s="4" t="inlineStr">
        <is>
          <t>Dane do sekcji 6.2-6.4 (K5-12 do K5-19): biuro (adres, tytuł prawny, powierzchnia, stanowiska), flota Natanek (liczba i typy pojazdów, okres, podstawa, odpłatność, prawo do danych), sprzęt IT i WNiP Everest11, infrastruktura PRz (EMC, fotogrametria, GPU)</t>
        </is>
      </c>
      <c r="C25" s="4" t="inlineStr">
        <is>
          <t>Dane podane 02.10.2026: biuro (Książkowa 51F, najem na czas nieokreślony, ok. 60 m2), flota (5 zestawów, umowa od 03.2025, prawo do danych), PRz posiada EMC, fotogrametrię i GPU. Pozostaje T25 i T26.</t>
        </is>
      </c>
      <c r="D25" s="4" t="inlineStr">
        <is>
          <t>Właścicielka (Everest11, PRz)</t>
        </is>
      </c>
      <c r="E25" s="4" t="inlineStr">
        <is>
          <t>03.10</t>
        </is>
      </c>
      <c r="F25" s="4" t="inlineStr">
        <is>
          <t>K5-12 do K5-19</t>
        </is>
      </c>
      <c r="G25" s="4" t="inlineStr">
        <is>
          <t>ZROBIONE</t>
        </is>
      </c>
    </row>
    <row r="26">
      <c r="A26" s="4" t="inlineStr">
        <is>
          <t>T25</t>
        </is>
      </c>
      <c r="B26" s="4" t="inlineStr">
        <is>
          <t>PRz: karta aparatury EMC (model i zakresy), system fotogrametryczny (typ i niepewność), zasoby GPU (liczba, typ, pamięć)</t>
        </is>
      </c>
      <c r="C26" s="4" t="inlineStr">
        <is>
          <t>Trzy żółte pola w sekcji 6.2 (PRz).</t>
        </is>
      </c>
      <c r="D26" s="4" t="inlineStr">
        <is>
          <t>Właścicielka (PRz)</t>
        </is>
      </c>
      <c r="E26" s="4" t="inlineStr">
        <is>
          <t>04.10</t>
        </is>
      </c>
      <c r="F26" s="4" t="inlineStr">
        <is>
          <t>K5-16</t>
        </is>
      </c>
      <c r="G26" s="4" t="inlineStr">
        <is>
          <t>OTWARTE</t>
        </is>
      </c>
    </row>
    <row r="27">
      <c r="A27" s="4" t="inlineStr">
        <is>
          <t>T26</t>
        </is>
      </c>
      <c r="B27" s="4" t="inlineStr">
        <is>
          <t>Everest11: liczba stanowisk w biurze, liczba i dostawca stanowisk komputerowych, narzędzia i repozytoria, prawa do TMS i API, wykaz licencji oprogramowania</t>
        </is>
      </c>
      <c r="C27" s="4" t="inlineStr">
        <is>
          <t>Pola żółte w 6.2 i 6.3 (Everest11).</t>
        </is>
      </c>
      <c r="D27" s="4" t="inlineStr">
        <is>
          <t>Właścicielka (Everest11)</t>
        </is>
      </c>
      <c r="E27" s="4" t="inlineStr">
        <is>
          <t>04.10</t>
        </is>
      </c>
      <c r="F27" s="4" t="inlineStr">
        <is>
          <t>K5-14, K5-15, K5-17</t>
        </is>
      </c>
      <c r="G27" s="4" t="inlineStr">
        <is>
          <t>OTWARTE</t>
        </is>
      </c>
    </row>
    <row r="28">
      <c r="A28" s="4" t="inlineStr">
        <is>
          <t>T27</t>
        </is>
      </c>
      <c r="B28" s="4" t="inlineStr">
        <is>
          <t>Zarząd Everest11: przyjąć 4 dokumenty równościowe do 31.10.2026</t>
        </is>
      </c>
      <c r="C28" s="4" t="inlineStr">
        <is>
          <t>Polityka równego traktowania, procedura rekrutacji i wynagradzania, polityka godzenia pracy z życiem prywatnym, polityka danych osobowych. Tekst 7.1 mówi o przyjęciu przed startem.</t>
        </is>
      </c>
      <c r="D28" s="4" t="inlineStr">
        <is>
          <t>Właścicielka (Everest11)</t>
        </is>
      </c>
      <c r="E28" s="4" t="inlineStr">
        <is>
          <t>31.10</t>
        </is>
      </c>
      <c r="F28" s="4" t="inlineStr">
        <is>
          <t>K10-01</t>
        </is>
      </c>
      <c r="G28" s="4" t="inlineStr">
        <is>
          <t>OTWARTE</t>
        </is>
      </c>
    </row>
    <row r="29">
      <c r="A29" s="4" t="inlineStr">
        <is>
          <t>T28</t>
        </is>
      </c>
      <c r="B29" s="4" t="inlineStr">
        <is>
          <t>PRz: potwierdzić Plan Równości Płci po 2025, regulamin pracy, kodeks etyki, regulacje antymobbingowe; potwierdzić rolę PRz w 6R</t>
        </is>
      </c>
      <c r="C29" s="4" t="inlineStr">
        <is>
          <t>Źródło: zarządzenie Rektora nr 91/2022 (plan na lata 2022-2025). Rola PRz: dobór lekkich architektur Z3 i Z8 i przeliczenie wolumenu danych.</t>
        </is>
      </c>
      <c r="D29" s="4" t="inlineStr">
        <is>
          <t>Właścicielka (PRz)</t>
        </is>
      </c>
      <c r="E29" s="4" t="inlineStr">
        <is>
          <t>04.10</t>
        </is>
      </c>
      <c r="F29" s="4" t="inlineStr">
        <is>
          <t>K10-01, K13-05</t>
        </is>
      </c>
      <c r="G29" s="4" t="inlineStr">
        <is>
          <t>OTWARTE</t>
        </is>
      </c>
    </row>
    <row r="30">
      <c r="A30" s="4" t="inlineStr">
        <is>
          <t>T29</t>
        </is>
      </c>
      <c r="B30" s="4" t="inlineStr">
        <is>
          <t>Dział techniczny: potwierdzić rozmywanie wizerunków w zbiorze, cel 5% danych do chmury, listę kontrolną dostępności w Z9, pomiar papieru</t>
        </is>
      </c>
      <c r="C30" s="4" t="inlineStr">
        <is>
          <t>Teksty 7.2 i 7.4 zawierają te zobowiązania. Zob. część 8 pliku Sekcja_7_zasady_horyzontalne_6R.docx.</t>
        </is>
      </c>
      <c r="D30" s="4" t="inlineStr">
        <is>
          <t>Dział techniczny</t>
        </is>
      </c>
      <c r="E30" s="4" t="inlineStr">
        <is>
          <t>05.10</t>
        </is>
      </c>
      <c r="F30" s="4" t="inlineStr">
        <is>
          <t>K11-01, K13-01..04</t>
        </is>
      </c>
      <c r="G30" s="4" t="inlineStr">
        <is>
          <t>OTWARTE</t>
        </is>
      </c>
    </row>
    <row r="31">
      <c r="A31" s="4" t="inlineStr">
        <is>
          <t>T30</t>
        </is>
      </c>
      <c r="B31" s="4" t="inlineStr">
        <is>
          <t>(zamknięte) TRANSLOG: podział pakietu wg cennika historycznego od właścicielki</t>
        </is>
      </c>
      <c r="C31" s="4" t="inlineStr">
        <is>
          <t>Podział 24 000 zł jest oszacowaniem (16 000 + 8 000); tekst powołuje się na korespondencję.</t>
        </is>
      </c>
      <c r="D31" s="4" t="inlineStr">
        <is>
          <t>Właścicielka</t>
        </is>
      </c>
      <c r="E31" s="4" t="inlineStr">
        <is>
          <t>05.10</t>
        </is>
      </c>
      <c r="F31" s="4" t="inlineStr">
        <is>
          <t>K3-64</t>
        </is>
      </c>
      <c r="G31" s="4" t="inlineStr">
        <is>
          <t>ZROBIONE</t>
        </is>
      </c>
    </row>
    <row r="32">
      <c r="A32" s="4" t="inlineStr">
        <is>
          <t>T31</t>
        </is>
      </c>
      <c r="B32" s="4" t="inlineStr">
        <is>
          <t>Kurs NBP z 09.03.2026: 4,2836 PLN/EUR (podany przez właścicielkę)</t>
        </is>
      </c>
      <c r="C32" s="4" t="inlineStr">
        <is>
          <t>Pozycja 11-3 (opłaty EPO).</t>
        </is>
      </c>
      <c r="D32" s="4" t="inlineStr">
        <is>
          <t>Właścicielka</t>
        </is>
      </c>
      <c r="E32" s="4" t="inlineStr">
        <is>
          <t>04.10</t>
        </is>
      </c>
      <c r="F32" s="4" t="inlineStr">
        <is>
          <t>K3-60</t>
        </is>
      </c>
      <c r="G32" s="4" t="inlineStr">
        <is>
          <t>ZROBIONE</t>
        </is>
      </c>
    </row>
    <row r="33">
      <c r="A33" s="4" t="inlineStr">
        <is>
          <t>T32</t>
        </is>
      </c>
      <c r="B33" s="4" t="inlineStr">
        <is>
          <t>Umowa o wykonywaniu wspólnych praw z PRz przed Z11; wniosek o zmianę PKD do 31.03.2027</t>
        </is>
      </c>
      <c r="C33" s="4" t="inlineStr">
        <is>
          <t>Wyjaśnienie celu w części 9 pliku Sekcja_3.2. De minimis: oświadczenie składane przed podpisaniem umowy, nie jest potrzebne we wniosku.</t>
        </is>
      </c>
      <c r="D33" s="4" t="inlineStr">
        <is>
          <t>Właścicielka, PRz, księgowość</t>
        </is>
      </c>
      <c r="E33" s="4" t="inlineStr">
        <is>
          <t>06.10</t>
        </is>
      </c>
      <c r="F33" s="4" t="inlineStr">
        <is>
          <t>K3-23, K3-24, K2-02</t>
        </is>
      </c>
      <c r="G33" s="4" t="inlineStr">
        <is>
          <t>OTWARTE</t>
        </is>
      </c>
    </row>
    <row r="34">
      <c r="A34" s="4" t="inlineStr">
        <is>
          <t>T33</t>
        </is>
      </c>
      <c r="B34" s="4" t="inlineStr">
        <is>
          <t>Zakupy Everest11 i PRz: potwierdzić ceny w 3 źródłach każdej pozycji amortyzacji (tabela w części 6 pliku Sekcja_3.1)</t>
        </is>
      </c>
      <c r="C34" s="4" t="inlineStr">
        <is>
          <t>W metodach wpisano po 3 dostawców; ceny zweryfikowane dla części składników, dla pozostałych (IMU, UPS supercap, LED, minikomputery PRz) do potwierdzenia.</t>
        </is>
      </c>
      <c r="D34" s="4" t="inlineStr">
        <is>
          <t>Właścicielka (Everest11)</t>
        </is>
      </c>
      <c r="E34" s="4" t="inlineStr">
        <is>
          <t>05.10</t>
        </is>
      </c>
      <c r="F34" s="4" t="inlineStr">
        <is>
          <t>K3-49</t>
        </is>
      </c>
      <c r="G34" s="4" t="inlineStr">
        <is>
          <t>OTWARTE</t>
        </is>
      </c>
    </row>
    <row r="35">
      <c r="A35" s="4" t="inlineStr">
        <is>
          <t>T34</t>
        </is>
      </c>
      <c r="B35" s="4" t="inlineStr">
        <is>
          <t>Księgowa: polityka rachunkowości potwierdzona (jednorazowy odpis kompletów do 10 000 zł); symbole KŚT w ewidencji, nie w polach LSI</t>
        </is>
      </c>
      <c r="C35" s="4" t="inlineStr">
        <is>
          <t>Zob. część 6 pliku Sekcja_3.1_sprzet_i_amortyzacja.docx. Łączy się z T03.</t>
        </is>
      </c>
      <c r="D35" s="4" t="inlineStr">
        <is>
          <t>Właścicielka (księgowa), PRz</t>
        </is>
      </c>
      <c r="E35" s="4" t="inlineStr">
        <is>
          <t>05.10</t>
        </is>
      </c>
      <c r="F35" s="4" t="inlineStr">
        <is>
          <t>K3-50, K3-52, K3-56</t>
        </is>
      </c>
      <c r="G35" s="4" t="inlineStr">
        <is>
          <t>ZROBIONE</t>
        </is>
      </c>
    </row>
    <row r="36">
      <c r="A36" s="4" t="inlineStr">
        <is>
          <t>T35</t>
        </is>
      </c>
      <c r="B36" s="4" t="inlineStr">
        <is>
          <t>Dział techniczny: D06 (konfiguracja kamer), klasa dysku NVMe, pasmo i cena radaru</t>
        </is>
      </c>
      <c r="C36" s="4" t="inlineStr">
        <is>
          <t>D06 kamery; klasa dysku NVMe; pasmo i cena radaru; płyta nośna do Jetsona (ok. 1 000 zł na komplet); klasa switcha PoE+. Czekamy na odpowiedź.</t>
        </is>
      </c>
      <c r="D36" s="4" t="inlineStr">
        <is>
          <t>Dział techniczny</t>
        </is>
      </c>
      <c r="E36" s="4" t="inlineStr">
        <is>
          <t>05.10</t>
        </is>
      </c>
      <c r="F36" s="4" t="inlineStr">
        <is>
          <t>K3-55, K3-49, N54</t>
        </is>
      </c>
      <c r="G36" s="4" t="inlineStr">
        <is>
          <t>OTWARTE</t>
        </is>
      </c>
    </row>
    <row r="37">
      <c r="A37" s="4" t="inlineStr">
        <is>
          <t>T36</t>
        </is>
      </c>
      <c r="B37" s="4" t="inlineStr">
        <is>
          <t>Dwie dodatkowe oferty rzecznika patentowego (poza JWP) na orzeczenie, dokumentację i zgłoszenie EPO</t>
        </is>
      </c>
      <c r="C37" s="4" t="inlineStr">
        <is>
          <t>Wymóg: min. 3 dostawców w metodzie szacowania (Instrukcja i uwaga właścicielki). Po ofertach dopiszę metodę w pozycjach 11-1 i 11-2.</t>
        </is>
      </c>
      <c r="D37" s="4" t="inlineStr">
        <is>
          <t>Właścicielka (Everest11)</t>
        </is>
      </c>
      <c r="E37" s="4" t="inlineStr">
        <is>
          <t>05.10</t>
        </is>
      </c>
      <c r="F37" s="4" t="inlineStr">
        <is>
          <t>K3-61, K3-66</t>
        </is>
      </c>
      <c r="G37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Wersja 2 ryzyk w pliku Opisy_zadan_z_kamieniami_milowymi.docx, część druga (R1-R5, R9-R12, odwołania do Rady Konsorcjum z § 9 umowy konsorcjum, D27). K3-23/24 w WP09.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1</v>
      </c>
      <c r="G5" s="4" t="n">
        <v>0</v>
      </c>
      <c r="H5" s="4" t="n">
        <v>6</v>
      </c>
      <c r="I5" s="4" t="n">
        <v>0</v>
      </c>
      <c r="J5" s="4" t="inlineStr">
        <is>
          <t>Wersja robocza gotowa: Wskazniki_innowacyjnosci_1.2_i_1.4.docx (wskaźniki W1-W5 w 1.2, tekst 1.4 i I1-I3, zmiany w opisie innowacji, produkty referencyjne ze źródłami). Zmiany do wprowadzenia we wniosku: N32-N39. Do potwierdzenia D33: bazy zakładane (AUC ≤0,70, mAP ≤0,40), oferty cenowe dla I1, pomiar bazy mAP w Z8 (N35). Pozostaje K14-01 (nierozpoczęte).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4</v>
      </c>
      <c r="G6" s="4" t="n">
        <v>0</v>
      </c>
      <c r="H6" s="4" t="n">
        <v>5</v>
      </c>
      <c r="I6" s="4" t="n">
        <v>0</v>
      </c>
      <c r="J6" s="4" t="inlineStr">
        <is>
          <t>Wersja robocza gotowa: Sekcja_1.3_i_ceny.docx (tekst 1.3 8 023 znaki, korekty błędów w danych, lista danych do uzupełnienia). Zmiany do wprowadzenia: N40-N46. Decyzje: D34, D35. Zadania: T14-T16, T10. Poza tym pakietem zostają K2-02, K2-03, K2-04, K2-07, K2-08, K2-09 (WP10 i 2.1).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Cz. 1 gotowa: Sekcja_6.1_zespol_projektowy.docx (K5-01 do K5-11: sposób zarządzania, personel planowany, pola osobowe, doświadczenie Chrzanowskiego, dopiski Kordos i Hajduk, rozdział IT/Backend, karta 276 h). Założenia D37 do potwierdzenia (T23). Uzasadnienia kosztu i metoda szacowania Everest11 gotowe (Opisy_zadan, cz. 3 i 4). Do zrobienia: stawki PRz (K3-41, K3-42). Cz. 2 gotowa: Sekcja_6.2-6.4_zasoby_podwykonawca.docx (K5-12 do K5-19); żółte pola do uzupełnienia: T25, T26.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do wklejenia + podżądania (macierz pokrycia) - do wypełnienia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gotowy: Sekcja_3.1_sprzet_i_amortyzacja.docx (14 pozycji); zadania T33, T34, T35; decyzja D42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gotowy, czas przyszły, 0 żółtych: Sekcja_3.2_internacjonalizacja_Z10_Z11.docx; zadanie T32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Wersja robocza gotowa: Sekcja_2.2_i_2.5_prawa_FTO_zasoby.docx (K2-02, K2-03, K2-04, K2-07, K2-08, K2-09): teksty pól 2.2 i 2.5, rejestr patentów, wariant A/B praw. Zmiany: N51-N56. Decyzja D36, zadania T20-T22. Pozostają K5-12 do K5-15 (flota, zasoby, 6.x).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Tekst do wklejenia + podżądania (macierz pokrycia) - do wypełnienia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gotowy (Sekcja_7_zasady_horyzontalne_6R.docx), do potwierdzenia T27-T29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  <row r="29">
      <c r="A29" s="2" t="inlineStr">
        <is>
          <t>Rynek: naczepy w Polsce 2023, 544,97 tys.</t>
        </is>
      </c>
      <c r="B29" s="2" t="inlineStr"/>
      <c r="C29" s="2" t="inlineStr"/>
      <c r="D29" s="2" t="inlineStr"/>
      <c r="E29" s="2" t="inlineStr">
        <is>
          <t>Eurostat road_eqs_semit; wartość za 2024 do pobrania</t>
        </is>
      </c>
      <c r="F29" s="2" t="inlineStr">
        <is>
          <t>https://baselight.app/u/eurostat/dataset/road_eqs_semit</t>
        </is>
      </c>
      <c r="G29" s="2" t="inlineStr">
        <is>
          <t>02.10.2026</t>
        </is>
      </c>
    </row>
    <row r="30">
      <c r="A30" s="2" t="inlineStr">
        <is>
          <t>Rynek: 43 280 firm z licencją wspólnotową (VII 2026), 45 565 w 2023</t>
        </is>
      </c>
      <c r="B30" s="2" t="inlineStr"/>
      <c r="C30" s="2" t="inlineStr"/>
      <c r="D30" s="2" t="inlineStr"/>
      <c r="E30" s="2" t="inlineStr">
        <is>
          <t>GITD, za trans.info</t>
        </is>
      </c>
      <c r="F30" s="2" t="inlineStr">
        <is>
          <t>https://trans.info/pl/firm-transportowych-ubywa-498383</t>
        </is>
      </c>
      <c r="G30" s="2" t="inlineStr">
        <is>
          <t>02.10.2026</t>
        </is>
      </c>
    </row>
    <row r="31">
      <c r="A31" s="2" t="inlineStr">
        <is>
          <t>Kurs SDR NBP 5,0954 PLN (tabela z 04.09.2026)</t>
        </is>
      </c>
      <c r="B31" s="2" t="inlineStr"/>
      <c r="C31" s="2" t="inlineStr"/>
      <c r="D31" s="2" t="inlineStr"/>
      <c r="E31" s="2" t="inlineStr">
        <is>
          <t>Do przeliczenia limitu CMR (art. 23: 8,33 SDR/kg)</t>
        </is>
      </c>
      <c r="F31" s="2" t="inlineStr">
        <is>
          <t>https://direct.money.pl/kursy-walut/nbp/kurs-XDR</t>
        </is>
      </c>
      <c r="G31" s="2" t="inlineStr">
        <is>
          <t>02.10.2026</t>
        </is>
      </c>
    </row>
    <row r="32">
      <c r="A32" s="2" t="inlineStr">
        <is>
          <t>Cena konkurencji: SkyBitz, abonament od 30 do 75 USD/zasób/mies.</t>
        </is>
      </c>
      <c r="B32" s="2" t="inlineStr"/>
      <c r="C32" s="2" t="inlineStr"/>
      <c r="D32" s="2" t="inlineStr"/>
      <c r="E32" s="2" t="inlineStr">
        <is>
          <t>Serwis Capterra, dane orientacyjne, nie oferta</t>
        </is>
      </c>
      <c r="F32" s="2" t="inlineStr">
        <is>
          <t>https://capterra.com/p/166977/SkyBitz-Local-Fleets/</t>
        </is>
      </c>
      <c r="G32" s="2" t="inlineStr">
        <is>
          <t>02.10.2026</t>
        </is>
      </c>
    </row>
    <row r="33">
      <c r="A33" s="2" t="inlineStr">
        <is>
          <t>eFTI: stosowanie od 21.08.2024 i 21.08.2025, obowiązek dla organów, dobrowolne dla przewoźników</t>
        </is>
      </c>
      <c r="B33" s="2" t="inlineStr"/>
      <c r="C33" s="2" t="inlineStr"/>
      <c r="D33" s="2" t="inlineStr"/>
      <c r="E33" s="2" t="inlineStr">
        <is>
          <t>Komisja Europejska, strona o rozporządzeniu eFTI; sprawdzić tekst rozporządzenia</t>
        </is>
      </c>
      <c r="F33" s="2" t="inlineStr">
        <is>
          <t>https://transport.ec.europa.eu/transport-themes/logistics-and-multimodal-transport/efti-regulation_en</t>
        </is>
      </c>
      <c r="G33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OTWARTE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OTWARTE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OTWARTE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OTWARTE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OTWARTE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OTWARTE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OTWARTE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OTWARTE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OTWARTE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OTWARTE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(UPS i in.) wskazane przez wyszukiwarkę; niezweryfikowane.</t>
        </is>
      </c>
      <c r="D39" s="2" t="inlineStr">
        <is>
          <t>Sprawdzić w Espacenet (EP 3103072 i rodzina) i rozważyć dopisanie do analizy FTO dopiero po potwierdzeniu.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OTWARTE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</t>
        </is>
      </c>
    </row>
    <row r="41">
      <c r="A41" s="2" t="inlineStr">
        <is>
          <t>N40</t>
        </is>
      </c>
      <c r="B41" s="2" t="inlineStr">
        <is>
          <t>1.3 TAM/SAM/SOM</t>
        </is>
      </c>
      <c r="C41" s="2" t="inlineStr">
        <is>
          <t>TAM 600 000 (prezentacja), 567 800 ciągników, SAM 200 000 bez metody, CEE 400-600 tys.</t>
        </is>
      </c>
      <c r="D41" s="2" t="inlineStr">
        <is>
          <t>Wpisać tekst z pliku Sekcja_1.3_i_ceny.docx (TAM 544,97 tys.), uzupełnić metodę SAM, usunąć CEE z prognozy.</t>
        </is>
      </c>
      <c r="E41" s="2" t="inlineStr">
        <is>
          <t>K2-05; D34</t>
        </is>
      </c>
      <c r="F41" s="2" t="inlineStr">
        <is>
          <t>WYSOKI</t>
        </is>
      </c>
      <c r="G41" s="2" t="inlineStr">
        <is>
          <t>OTWARTE</t>
        </is>
      </c>
    </row>
    <row r="42">
      <c r="A42" s="2" t="inlineStr">
        <is>
          <t>N41</t>
        </is>
      </c>
      <c r="B42" s="2" t="inlineStr">
        <is>
          <t>eFTI jako obowiązek (1.3, 1.4, 7.4, model)</t>
        </is>
      </c>
      <c r="C42" s="2" t="inlineStr">
        <is>
          <t>„Obowiązuje od 21.08.2024, dotyczy każdego operatora”.</t>
        </is>
      </c>
      <c r="D42" s="2" t="inlineStr">
        <is>
          <t>Obowiązek dotyczy organów od 21.08.2025; dla przewoźników dobrowolne. Zmienić wszędzie.</t>
        </is>
      </c>
      <c r="E42" s="2" t="inlineStr">
        <is>
          <t>K2-11, K13; D34</t>
        </is>
      </c>
      <c r="F42" s="2" t="inlineStr">
        <is>
          <t>WYSOKI</t>
        </is>
      </c>
      <c r="G42" s="2" t="inlineStr">
        <is>
          <t>OTWARTE</t>
        </is>
      </c>
    </row>
    <row r="43">
      <c r="A43" s="2" t="inlineStr">
        <is>
          <t>N42</t>
        </is>
      </c>
      <c r="B43" s="2" t="inlineStr">
        <is>
          <t>1.3 i model: wartość roszczenia i ROI</t>
        </is>
      </c>
      <c r="C43" s="2" t="inlineStr">
        <is>
          <t>5 500 PLN, 3 000-15 000 PLN, 5 500-23 000 PLN, „ROI dodatni od 1. roku”.</t>
        </is>
      </c>
      <c r="D43" s="2" t="inlineStr">
        <is>
          <t>Zastąpić obliczeniem CMR z kursem SDR (8 489-21 222 PLN); usunąć ROI.</t>
        </is>
      </c>
      <c r="E43" s="2" t="inlineStr">
        <is>
          <t>K2-06, K2-14; D34</t>
        </is>
      </c>
      <c r="F43" s="2" t="inlineStr">
        <is>
          <t>WYSOKI</t>
        </is>
      </c>
      <c r="G43" s="2" t="inlineStr">
        <is>
          <t>OTWARTE</t>
        </is>
      </c>
    </row>
    <row r="44">
      <c r="A44" s="2" t="inlineStr">
        <is>
          <t>N43</t>
        </is>
      </c>
      <c r="B44" s="2" t="inlineStr">
        <is>
          <t>1.3 ceny konkurencji</t>
        </is>
      </c>
      <c r="C44" s="2" t="inlineStr">
        <is>
          <t>Brak cen konkurencji.</t>
        </is>
      </c>
      <c r="D44" s="2" t="inlineStr">
        <is>
          <t>Wpisać zakres z ofert (T10) albo orientacyjny SkyBitz z Capterra.</t>
        </is>
      </c>
      <c r="E44" s="2" t="inlineStr">
        <is>
          <t>K2-14, K2-15</t>
        </is>
      </c>
      <c r="F44" s="2" t="inlineStr">
        <is>
          <t>WYSOKI</t>
        </is>
      </c>
      <c r="G44" s="2" t="inlineStr">
        <is>
          <t>OTWARTE</t>
        </is>
      </c>
    </row>
    <row r="45">
      <c r="A45" s="2" t="inlineStr">
        <is>
          <t>N44</t>
        </is>
      </c>
      <c r="B45" s="2" t="inlineStr">
        <is>
          <t>Model finansowy: komentarz w Przychodach</t>
        </is>
      </c>
      <c r="C45" s="2" t="inlineStr">
        <is>
          <t>„Ekspansja CEE od 2033”, „ROI od pierwszego roku”, 5 500 PLN, spadek naczep 31,4% (z liczb 31,8%).</t>
        </is>
      </c>
      <c r="D45" s="2" t="inlineStr">
        <is>
          <t>Poprawić komentarz tak jak w N40-N42.</t>
        </is>
      </c>
      <c r="E45" s="2" t="inlineStr">
        <is>
          <t>K2-12, K2-16</t>
        </is>
      </c>
      <c r="F45" s="2" t="inlineStr">
        <is>
          <t>ŚREDNI</t>
        </is>
      </c>
      <c r="G45" s="2" t="inlineStr">
        <is>
          <t>OTWARTE</t>
        </is>
      </c>
    </row>
    <row r="46">
      <c r="A46" s="2" t="inlineStr">
        <is>
          <t>N45</t>
        </is>
      </c>
      <c r="B46" s="2" t="inlineStr">
        <is>
          <t>2.1 data wdrożenia i flota własna</t>
        </is>
      </c>
      <c r="C46" s="2" t="inlineStr">
        <is>
          <t>11.2029 vs start sprzedaży 01.2030 (D09); „20 naczep” bez floty.</t>
        </is>
      </c>
      <c r="D46" s="2" t="inlineStr">
        <is>
          <t>Ujednolicić: 01.2030; flota własna 5 zestawów w najmie, aneks do 20 (D10).</t>
        </is>
      </c>
      <c r="E46" s="2" t="inlineStr">
        <is>
          <t>K2-01, K2-06; D09, D10</t>
        </is>
      </c>
      <c r="F46" s="2" t="inlineStr">
        <is>
          <t>WYSOKI</t>
        </is>
      </c>
      <c r="G46" s="2" t="inlineStr">
        <is>
          <t>OTWARTE</t>
        </is>
      </c>
    </row>
    <row r="47">
      <c r="A47" s="2" t="inlineStr">
        <is>
          <t>N46</t>
        </is>
      </c>
      <c r="B47" s="2" t="inlineStr">
        <is>
          <t>Prezentacja z panelu</t>
        </is>
      </c>
      <c r="C47" s="2" t="inlineStr">
        <is>
          <t>600 000 naczep w Polsce i CEE.</t>
        </is>
      </c>
      <c r="D47" s="2" t="inlineStr">
        <is>
          <t>Używać jednej podstawy (TAM 544,97 tys. dla Polski).</t>
        </is>
      </c>
      <c r="E47" s="2" t="inlineStr">
        <is>
          <t>K2-05</t>
        </is>
      </c>
      <c r="F47" s="2" t="inlineStr">
        <is>
          <t>NISKI</t>
        </is>
      </c>
      <c r="G47" s="2" t="inlineStr">
        <is>
          <t>OTWARTE</t>
        </is>
      </c>
    </row>
    <row r="48">
      <c r="A48" s="2" t="inlineStr">
        <is>
          <t>N47</t>
        </is>
      </c>
      <c r="B48" s="2" t="inlineStr">
        <is>
          <t>2.1 Segment 3, Z10 pkt 3.2.2, 1.3</t>
        </is>
      </c>
      <c r="C48" s="2" t="inlineStr">
        <is>
          <t>„400 000-600 000 naczep” w CEE bez źródła; „0% substytutów”; „eFTI obejmuje wszystkich operatorów”.</t>
        </is>
      </c>
      <c r="D48" s="2" t="inlineStr">
        <is>
          <t>Usunąć lub oprzeć na Eurostacie; zamienić tezę o eFTI zgodnie z N41; złagodzić „0% substytutów”.</t>
        </is>
      </c>
      <c r="E48" s="2" t="inlineStr">
        <is>
          <t>K2-05; N41, T19</t>
        </is>
      </c>
      <c r="F48" s="2" t="inlineStr">
        <is>
          <t>WYSOKI</t>
        </is>
      </c>
      <c r="G48" s="2" t="inlineStr">
        <is>
          <t>OTWARTE</t>
        </is>
      </c>
    </row>
    <row r="49">
      <c r="A49" s="2" t="inlineStr">
        <is>
          <t>N48</t>
        </is>
      </c>
      <c r="B49" s="2" t="inlineStr">
        <is>
          <t>2.1 Etap 1 i model finansowy (komentarz Przychody)</t>
        </is>
      </c>
      <c r="C49" s="2" t="inlineStr">
        <is>
          <t>„Wdrożenie we własnej działalności”, 20 naczep wdrożenia własnego, „4 klientów” w progu 50 pojazdów.</t>
        </is>
      </c>
      <c r="D49" s="2" t="inlineStr">
        <is>
          <t>Cel 50 pojazdów u trzech operatorów (LOI na łącznie 50 naczep); wdrożenie własne opisać jako wprowadzenie usługi i integrację z TMS.</t>
        </is>
      </c>
      <c r="E49" s="2" t="inlineStr">
        <is>
          <t>K2-01; D35</t>
        </is>
      </c>
      <c r="F49" s="2" t="inlineStr">
        <is>
          <t>WYSOKI</t>
        </is>
      </c>
      <c r="G49" s="2" t="inlineStr">
        <is>
          <t>OTWARTE</t>
        </is>
      </c>
    </row>
    <row r="50">
      <c r="A50" s="2" t="inlineStr">
        <is>
          <t>N49</t>
        </is>
      </c>
      <c r="B50" s="2" t="inlineStr">
        <is>
          <t>2.1 pkt cena i opłacalność</t>
        </is>
      </c>
      <c r="C50" s="2" t="inlineStr">
        <is>
          <t>„Reklamacja śr. 3 000-15 000 PLN”, „system zwraca się przy uniknięciu jednej reklamacji rocznie”.</t>
        </is>
      </c>
      <c r="D50" s="2" t="inlineStr">
        <is>
          <t>Zastąpić obliczeniem CMR 8 489-21 222 PLN (kurs SDR 5,0954) i opisem z 1.3 (część V).</t>
        </is>
      </c>
      <c r="E50" s="2" t="inlineStr">
        <is>
          <t>K2-06; N42</t>
        </is>
      </c>
      <c r="F50" s="2" t="inlineStr">
        <is>
          <t>ŚREDNI</t>
        </is>
      </c>
      <c r="G50" s="2" t="inlineStr">
        <is>
          <t>OTWARTE</t>
        </is>
      </c>
    </row>
    <row r="51">
      <c r="A51" s="2" t="inlineStr">
        <is>
          <t>N50</t>
        </is>
      </c>
      <c r="B51" s="2" t="inlineStr">
        <is>
          <t>2.3 Rynek docelowy i Plan wprowadzenia, 2.4, 2.1 (data wdrożenia), Z10 3.2.2, model (komentarz Przychody)</t>
        </is>
      </c>
      <c r="C51" s="2" t="inlineStr">
        <is>
          <t>Wdrożenie własne na 20 naczepach, CEE 400-600 tys. bez źródła, SAM „w Polsce i regionie CEE”, reklamacja 3 000-15 000 PLN, data wdrożenia 11.2029.</t>
        </is>
      </c>
      <c r="D51" s="2" t="inlineStr">
        <is>
          <t>Wpisać nowe teksty R23 i P23 oraz zmiany z tabeli 5.3 w pliku Sekcja_1.3_i_ceny.docx.</t>
        </is>
      </c>
      <c r="E51" s="2" t="inlineStr">
        <is>
          <t>K2-01, K2-05, K2-06; D35, D09</t>
        </is>
      </c>
      <c r="F51" s="2" t="inlineStr">
        <is>
          <t>WYSOKI</t>
        </is>
      </c>
      <c r="G51" s="2" t="inlineStr">
        <is>
          <t>OTWARTE</t>
        </is>
      </c>
    </row>
    <row r="52">
      <c r="A52" s="2" t="inlineStr">
        <is>
          <t>N51</t>
        </is>
      </c>
      <c r="B52" s="2" t="inlineStr">
        <is>
          <t>2.2 Opis uzyskanych wyników i Wykazanie braku barier</t>
        </is>
      </c>
      <c r="C52" s="2" t="inlineStr">
        <is>
          <t>Wyszukiwarka sugeruje możliwe rozbieżności w opisach patentów (właściciel US 11,685,400 B2; charakter US 2013/0342653 A1 i US 7,468,660 B2; właściciel US 11,151,506 B2). NIEZWERYFIKOWANE: baz patentowych nie ma w dostępie, dane z wyszukiwarki były sprzeczne.</t>
        </is>
      </c>
      <c r="D52" s="2" t="inlineStr">
        <is>
          <t>Sprawdzić 5 patentów z wniosku w Espacenet i Google Patents (adresy w pliku, część 2). Jeśli opis się nie zgadza, poprawić. Teksty z pliku Sekcja_2.2_i_2.5 opierają się na opisach z wniosku i zawierają miejsca na status i terytorium.</t>
        </is>
      </c>
      <c r="E52" s="2" t="inlineStr">
        <is>
          <t>K2-03, K2-09; N38</t>
        </is>
      </c>
      <c r="F52" s="2" t="inlineStr">
        <is>
          <t>WYSOKI</t>
        </is>
      </c>
      <c r="G52" s="2" t="inlineStr">
        <is>
          <t>DO SPRAWDZENIA</t>
        </is>
      </c>
    </row>
    <row r="53">
      <c r="A53" s="2" t="inlineStr">
        <is>
          <t>N52</t>
        </is>
      </c>
      <c r="B53" s="2" t="inlineStr">
        <is>
          <t>2.2 Opis sposobu uregulowania praw</t>
        </is>
      </c>
      <c r="C53" s="2" t="inlineStr">
        <is>
          <t>Przeniesienie praw PRz „do 12 miesięcy po projekcie” (04.2030) vs sprzedaż od 01.2030.</t>
        </is>
      </c>
      <c r="D53" s="2" t="inlineStr">
        <is>
          <t>Wpisać harmonogram wg § 11 umowy konsorcjum: oświadczenie do 28.08.2029, wycena, przeniesienie do 30.11.2029, brak sprzedaży przed przeniesieniem (tekst 3.3 pliku Sekcja_2.2_i_2.5).</t>
        </is>
      </c>
      <c r="E53" s="2" t="inlineStr">
        <is>
          <t>K2-02; D36</t>
        </is>
      </c>
      <c r="F53" s="2" t="inlineStr">
        <is>
          <t>WYSOKI</t>
        </is>
      </c>
      <c r="G53" s="2" t="inlineStr">
        <is>
          <t>OTWARTE</t>
        </is>
      </c>
    </row>
    <row r="54">
      <c r="A54" s="2" t="inlineStr">
        <is>
          <t>N53</t>
        </is>
      </c>
      <c r="B54" s="2" t="inlineStr">
        <is>
          <t>2.5 Zasoby kadrowe, techniczne, pozostałe</t>
        </is>
      </c>
      <c r="C54" s="2" t="inlineStr">
        <is>
          <t>Brak skalowania montażu i wsparcia, parametrów chmury, podmiotu produkcji, certyfikatów i WNiP; flota testowa używana do demonstracji klientom.</t>
        </is>
      </c>
      <c r="D54" s="2" t="inlineStr">
        <is>
          <t>Wpisać teksty 4.1-4.3 z pliku; usunąć demonstracje na prototypach (K3-56).</t>
        </is>
      </c>
      <c r="E54" s="2" t="inlineStr">
        <is>
          <t>K2-04, K2-07, K2-08</t>
        </is>
      </c>
      <c r="F54" s="2" t="inlineStr">
        <is>
          <t>WYSOKI</t>
        </is>
      </c>
      <c r="G54" s="2" t="inlineStr">
        <is>
          <t>OTWARTE</t>
        </is>
      </c>
    </row>
    <row r="55">
      <c r="A55" s="2" t="inlineStr">
        <is>
          <t>N54</t>
        </is>
      </c>
      <c r="B55" s="2" t="inlineStr">
        <is>
          <t>Radar: 77 GHz vs 60 GHz</t>
        </is>
      </c>
      <c r="C55" s="2" t="inlineStr">
        <is>
          <t>Wniosek: radar FMCW 77 GHz; budżet: TI IWR6843 (60 GHz).</t>
        </is>
      </c>
      <c r="D55" s="2" t="inlineStr">
        <is>
          <t>Ujednolicić pasmo w 1.2, Z2, 2.5 i budżecie; zależy od niego ścieżka certyfikacji RED.</t>
        </is>
      </c>
      <c r="E55" s="2" t="inlineStr">
        <is>
          <t>K3-55, K2-04</t>
        </is>
      </c>
      <c r="F55" s="2" t="inlineStr">
        <is>
          <t>ŚREDNI</t>
        </is>
      </c>
      <c r="G55" s="2" t="inlineStr">
        <is>
          <t>OTWARTE</t>
        </is>
      </c>
    </row>
    <row r="56">
      <c r="A56" s="2" t="inlineStr">
        <is>
          <t>N55</t>
        </is>
      </c>
      <c r="B56" s="2" t="inlineStr">
        <is>
          <t>1.2 / W3 i opis innowacji: „pierwsza implementacja CV zabezpieczeń”</t>
        </is>
      </c>
      <c r="C56" s="2" t="inlineStr">
        <is>
          <t>Twierdzenia o braku prac o CV zabezpieczeń; istnieją patenty i prace o monitorowaniu zabezpieczeń ładunku.</t>
        </is>
      </c>
      <c r="D56" s="2" t="inlineStr">
        <is>
          <t>Zmienić na „według dostępnej dokumentacji brak systemu analizy obrazu dla naczepy”.</t>
        </is>
      </c>
      <c r="E56" s="2" t="inlineStr">
        <is>
          <t>K1-01; N33</t>
        </is>
      </c>
      <c r="F56" s="2" t="inlineStr">
        <is>
          <t>ŚREDNI</t>
        </is>
      </c>
      <c r="G56" s="2" t="inlineStr">
        <is>
          <t>OTWARTE</t>
        </is>
      </c>
    </row>
    <row r="57">
      <c r="A57" s="2" t="inlineStr">
        <is>
          <t>N56</t>
        </is>
      </c>
      <c r="B57" s="2" t="inlineStr">
        <is>
          <t>2.5: eFTI „opracowana w Z8”</t>
        </is>
      </c>
      <c r="C57" s="2" t="inlineStr">
        <is>
          <t>Numer zadania.</t>
        </is>
      </c>
      <c r="D57" s="2" t="inlineStr">
        <is>
          <t>Poprawić na Z6.</t>
        </is>
      </c>
      <c r="E57" s="2" t="inlineStr">
        <is>
          <t>K3</t>
        </is>
      </c>
      <c r="F57" s="2" t="inlineStr">
        <is>
          <t>NISKI</t>
        </is>
      </c>
      <c r="G57" s="2" t="inlineStr">
        <is>
          <t>OTWARTE</t>
        </is>
      </c>
    </row>
    <row r="58">
      <c r="A58" s="2" t="inlineStr">
        <is>
          <t>N57</t>
        </is>
      </c>
      <c r="B58" s="2" t="inlineStr">
        <is>
          <t>Model finansowy, arkusz Koszty operacyjne: koszt własny sprzedanego sprzętu</t>
        </is>
      </c>
      <c r="C58" s="2" t="inlineStr">
        <is>
          <t>Koszt komponentów zestawu w modelu: 4 875 zł za zestaw (243,75 tys. zł dla 50 sztuk w 2030 r.), czyli 65% ceny 7 500 zł. Arkusz 5 (ceny publiczne, rabat 30%) daje ok. 7 606 zł.</t>
        </is>
      </c>
      <c r="D58" s="2" t="inlineStr">
        <is>
          <t>Decyzja właścicielki (02.10.2026): koszt komponentów zostaje jak w modelu, 4 875 zł za zestaw (65% ceny). Do uspójnienia: tekst 1.3 (część V) i odpowiedź na K2-12 i K2-13 muszą podać podstawę tej kwoty (konfiguracja zestawu, źródło cen). Arkusz 5 (ok. 7,6 tys. zł przy rabacie 30%) zostaje jako ryzyko.</t>
        </is>
      </c>
      <c r="E58" s="2" t="inlineStr">
        <is>
          <t>K2-12, K2-13; D11</t>
        </is>
      </c>
      <c r="F58" s="2" t="inlineStr">
        <is>
          <t>WYSOKI</t>
        </is>
      </c>
      <c r="G58" s="2" t="inlineStr">
        <is>
          <t>DO USPÓJNIENIA</t>
        </is>
      </c>
    </row>
    <row r="59">
      <c r="A59" s="2" t="inlineStr">
        <is>
          <t>N58</t>
        </is>
      </c>
      <c r="B59" s="2" t="inlineStr">
        <is>
          <t>Model finansowy, arkusz Koszty operacyjne: komentarz</t>
        </is>
      </c>
      <c r="C59" s="2" t="inlineStr">
        <is>
          <t>„Cel 50 pojazdów w 2030 r. pokrywają już 4 kontrakty” oraz „zespół komercjalizacji” bez liczby etatów.</t>
        </is>
      </c>
      <c r="D59" s="2" t="inlineStr">
        <is>
          <t>Zmienić na trzech operatorów (D35), dopisać liczbę etatów zespołu komercjalizacji (345,6 tys. zł w 2030 r. do 1 036,8 tys. zł w 2034 r.).</t>
        </is>
      </c>
      <c r="E59" s="2" t="inlineStr">
        <is>
          <t>K2-13; D35</t>
        </is>
      </c>
      <c r="F59" s="2" t="inlineStr">
        <is>
          <t>ŚREDNI</t>
        </is>
      </c>
      <c r="G59" s="2" t="inlineStr">
        <is>
          <t>DO USPÓJNIENIA</t>
        </is>
      </c>
    </row>
    <row r="60">
      <c r="A60" s="2" t="inlineStr">
        <is>
          <t>N59</t>
        </is>
      </c>
      <c r="B60" s="2" t="inlineStr">
        <is>
          <t>6.1 vs 3.1.2: nazwy stanowisk i status współpracy</t>
        </is>
      </c>
      <c r="C60" s="2" t="inlineStr">
        <is>
          <t>„Cybersecurity Specialist” w 6.1 vs „Cybersecurity / AI Act Specialist” w 3.1.2; pole „Status współpracy” z wszystkimi opcjami; wymiar bez zadań i miesięcy.</t>
        </is>
      </c>
      <c r="D60" s="2" t="inlineStr">
        <is>
          <t>Wpisać teksty z pliku Sekcja_6.1_zespol_projektowy.docx i ujednolicić nazwy z 3.1.2.</t>
        </is>
      </c>
      <c r="E60" s="2" t="inlineStr">
        <is>
          <t>K5-10; D37</t>
        </is>
      </c>
      <c r="F60" s="2" t="inlineStr">
        <is>
          <t>WYSOKI</t>
        </is>
      </c>
      <c r="G60" s="2" t="inlineStr">
        <is>
          <t>OTWARTE</t>
        </is>
      </c>
    </row>
    <row r="61">
      <c r="A61" s="2" t="inlineStr">
        <is>
          <t>N60</t>
        </is>
      </c>
      <c r="B61" s="2" t="inlineStr">
        <is>
          <t>7.1: liczba osób w zespole</t>
        </is>
      </c>
      <c r="C61" s="2" t="inlineStr">
        <is>
          <t>„3 z 16 osób (2 z 9 u Lidera i 1 z 7 w PRz)” vs 9 osób Everest11 i 5 osób PRz z nazwiska plus osoby planowane.</t>
        </is>
      </c>
      <c r="D61" s="2" t="inlineStr">
        <is>
          <t>Sprawdzić z końcowym składem i poprawić liczby w 7.1.</t>
        </is>
      </c>
      <c r="E61" s="2" t="inlineStr">
        <is>
          <t>K5-11</t>
        </is>
      </c>
      <c r="F61" s="2" t="inlineStr">
        <is>
          <t>NISKI</t>
        </is>
      </c>
      <c r="G61" s="2" t="inlineStr">
        <is>
          <t>OTWARTE</t>
        </is>
      </c>
    </row>
    <row r="62">
      <c r="A62" s="2" t="inlineStr">
        <is>
          <t>N61</t>
        </is>
      </c>
      <c r="B62" s="2" t="inlineStr">
        <is>
          <t>Z2 i Z6: zakresy IT Specialist i Backend</t>
        </is>
      </c>
      <c r="C62" s="2" t="inlineStr">
        <is>
          <t>Nakładające się prace (strukturyzacja zbioru w Z2, API i eFTI w Z6).</t>
        </is>
      </c>
      <c r="D62" s="2" t="inlineStr">
        <is>
          <t>Rozdział wprowadzony w tekstach zadań (Opisy_zadan, uzasadnienia kosztu Z2 i Z6) i w 6.1; wpisać w LSI w tej samej postaci.</t>
        </is>
      </c>
      <c r="E62" s="2" t="inlineStr">
        <is>
          <t>K5-02</t>
        </is>
      </c>
      <c r="F62" s="2" t="inlineStr">
        <is>
          <t>ŚREDNI</t>
        </is>
      </c>
      <c r="G62" s="2" t="inlineStr">
        <is>
          <t>OTWARTE</t>
        </is>
      </c>
    </row>
    <row r="63">
      <c r="A63" s="2" t="inlineStr">
        <is>
          <t>N62</t>
        </is>
      </c>
      <c r="B63" s="2" t="inlineStr">
        <is>
          <t>6.2 Everest11: flota testowa i biuro</t>
        </is>
      </c>
      <c r="C63" s="2" t="inlineStr">
        <is>
          <t>„Zasób w posiadaniu Lidera” przy flocie; biuro bez adresu i tytułu prawnego; Z7 na infrastrukturze PRz.</t>
        </is>
      </c>
      <c r="D63" s="2" t="inlineStr">
        <is>
          <t>Wpisać pozycje z pliku Sekcja_6.2-6.4_zasoby_podwykonawca.docx; pisemne ustalenie PRz o udostępnieniu infrastruktury dla Z7 bez odpłatności.</t>
        </is>
      </c>
      <c r="E63" s="2" t="inlineStr">
        <is>
          <t>K5-12, K5-15, K5-16</t>
        </is>
      </c>
      <c r="F63" s="2" t="inlineStr">
        <is>
          <t>ŚREDNI</t>
        </is>
      </c>
      <c r="G63" s="2" t="inlineStr">
        <is>
          <t>OTWARTE</t>
        </is>
      </c>
    </row>
    <row r="64">
      <c r="A64" s="2" t="inlineStr">
        <is>
          <t>N63</t>
        </is>
      </c>
      <c r="B64" s="2" t="inlineStr">
        <is>
          <t>6.4 podwykonawca montażu</t>
        </is>
      </c>
      <c r="C64" s="2" t="inlineStr">
        <is>
          <t>Warunki minimalne bez liczby osób, doświadczenia i sposobu weryfikacji; niejasny wymóg „bez naruszenia homologacji”.</t>
        </is>
      </c>
      <c r="D64" s="2" t="inlineStr">
        <is>
          <t>Wpisać pola Kadrowe, Aparatura i Infrastruktura z pliku.</t>
        </is>
      </c>
      <c r="E64" s="2" t="inlineStr">
        <is>
          <t>K5-19</t>
        </is>
      </c>
      <c r="F64" s="2" t="inlineStr">
        <is>
          <t>ŚREDNI</t>
        </is>
      </c>
      <c r="G64" s="2" t="inlineStr">
        <is>
          <t>OTWARTE</t>
        </is>
      </c>
    </row>
    <row r="65">
      <c r="A65" s="2" t="inlineStr">
        <is>
          <t>N64</t>
        </is>
      </c>
      <c r="B65" s="2" t="inlineStr">
        <is>
          <t>7.1, 7.2, 7.3 wniosek</t>
        </is>
      </c>
      <c r="C65" s="2" t="inlineStr">
        <is>
          <t>Stary tekst: zestaw retrofit neutralny (a ma panel HMI i buzzer), 16 osób i 10 stanowisk w zespole, opisy bez konkretnych działań per artykuł</t>
        </is>
      </c>
      <c r="D65" s="2" t="inlineStr">
        <is>
          <t>Wkleić teksty z Sekcja_7_zasady_horyzontalne_6R.docx (7.1 z tabelą 7 pozycji, 7.2, 7.3)</t>
        </is>
      </c>
      <c r="E65" s="2" t="inlineStr">
        <is>
          <t>K10-01..06, K11-01, K12-01</t>
        </is>
      </c>
      <c r="F65" s="2" t="inlineStr">
        <is>
          <t>WYSOKI</t>
        </is>
      </c>
      <c r="G65" s="2" t="inlineStr">
        <is>
          <t>OTWARTE</t>
        </is>
      </c>
    </row>
    <row r="66">
      <c r="A66" s="2" t="inlineStr">
        <is>
          <t>N65</t>
        </is>
      </c>
      <c r="B66" s="2" t="inlineStr">
        <is>
          <t>7.4 i 8.2 wniosek</t>
        </is>
      </c>
      <c r="C66" s="2" t="inlineStr">
        <is>
          <t>Wariant A, reduce 65% do 80% i refuse 0% do 90%, zielone zamówienia, niszczenie w toku badań</t>
        </is>
      </c>
      <c r="D66" s="2" t="inlineStr">
        <is>
          <t>Wariant B, reduce, dwa wskaźniki z pliku; teksty trzech aktów prawnych; 8.1 PLRR051 opisy metodologii i weryfikacji</t>
        </is>
      </c>
      <c r="E66" s="2" t="inlineStr">
        <is>
          <t>K13-01..06, D17, D38</t>
        </is>
      </c>
      <c r="F66" s="2" t="inlineStr">
        <is>
          <t>WYSOKI</t>
        </is>
      </c>
      <c r="G66" s="2" t="inlineStr">
        <is>
          <t>OTWARTE</t>
        </is>
      </c>
    </row>
    <row r="67">
      <c r="A67" s="2" t="inlineStr">
        <is>
          <t>N66</t>
        </is>
      </c>
      <c r="B67" s="2" t="inlineStr">
        <is>
          <t>7.1 opis panelu dyspozytora</t>
        </is>
      </c>
      <c r="C67" s="2" t="inlineStr">
        <is>
          <t>„zaprojektowana i wdrożona” WCAG 2.1 AA</t>
        </is>
      </c>
      <c r="D67" s="2" t="inlineStr">
        <is>
          <t>Panel jako wynik projektu weryfikowany w Z9, wdrożenie komercyjne po projekcie (opisy zadań wyłączają produkcyjny dashboard)</t>
        </is>
      </c>
      <c r="E67" s="2" t="inlineStr">
        <is>
          <t>K10-04, K10-05</t>
        </is>
      </c>
      <c r="F67" s="2" t="inlineStr">
        <is>
          <t>ŚREDNI</t>
        </is>
      </c>
      <c r="G67" s="2" t="inlineStr">
        <is>
          <t>OTWARTE</t>
        </is>
      </c>
    </row>
    <row r="68">
      <c r="A68" s="2" t="inlineStr">
        <is>
          <t>N67</t>
        </is>
      </c>
      <c r="B68" s="2" t="inlineStr">
        <is>
          <t>Opisy Z1, Z6, Z7, Z9</t>
        </is>
      </c>
      <c r="C68" s="2" t="inlineStr">
        <is>
          <t>Brak kryteriów dostępności i pomiaru papieru i danych do chmury</t>
        </is>
      </c>
      <c r="D68" s="2" t="inlineStr">
        <is>
          <t>Dopisać: kryteria dostępności w specyfikacji Z1, test panelu HMI w Z7, lista kontrolna WCAG w UX Z9, liczniki papieru (Z6, Z9) i bajtów (Z7, Z9)</t>
        </is>
      </c>
      <c r="E68" s="2" t="inlineStr">
        <is>
          <t>K10-04, K13-01..04</t>
        </is>
      </c>
      <c r="F68" s="2" t="inlineStr">
        <is>
          <t>ŚREDNI</t>
        </is>
      </c>
      <c r="G68" s="2" t="inlineStr">
        <is>
          <t>OTWARTE</t>
        </is>
      </c>
    </row>
    <row r="69">
      <c r="A69" s="2" t="inlineStr">
        <is>
          <t>N68</t>
        </is>
      </c>
      <c r="B69" s="2" t="inlineStr">
        <is>
          <t>3.2.5 Koszty uproszczone i 8.1 wskaźnik wyjazdów</t>
        </is>
      </c>
      <c r="C69" s="2" t="inlineStr">
        <is>
          <t>Sekcja 3.2.5 pusta, brak wskaźnika „Zrealizowany wyjazd służbowy na 1 pracownika, Europa”</t>
        </is>
      </c>
      <c r="D69" s="2" t="inlineStr">
        <is>
          <t>Dodać 2 pozycje stawek (10-4, 10-5) i wskaźnik = 3</t>
        </is>
      </c>
      <c r="E69" s="2" t="inlineStr">
        <is>
          <t>K3-65</t>
        </is>
      </c>
      <c r="F69" s="2" t="inlineStr">
        <is>
          <t>WYSOKI</t>
        </is>
      </c>
      <c r="G69" s="2" t="inlineStr">
        <is>
          <t>OTWARTE</t>
        </is>
      </c>
    </row>
    <row r="70">
      <c r="A70" s="2" t="inlineStr">
        <is>
          <t>N69</t>
        </is>
      </c>
      <c r="B70" s="2" t="inlineStr">
        <is>
          <t>3.2.3 pozycja tłumaczenia EPO</t>
        </is>
      </c>
      <c r="C70" s="2" t="inlineStr">
        <is>
          <t>Wydatki ogółem 3 500 równe kwalifikowalnym mimo VAT 23%</t>
        </is>
      </c>
      <c r="D70" s="2" t="inlineStr">
        <is>
          <t>Ogółem 4 305</t>
        </is>
      </c>
      <c r="E70" s="2" t="inlineStr">
        <is>
          <t>K3-59</t>
        </is>
      </c>
      <c r="F70" s="2" t="inlineStr">
        <is>
          <t>NISKI</t>
        </is>
      </c>
      <c r="G70" s="2" t="inlineStr">
        <is>
          <t>OTWARTE</t>
        </is>
      </c>
    </row>
    <row r="71">
      <c r="A71" s="2" t="inlineStr">
        <is>
          <t>N70</t>
        </is>
      </c>
      <c r="B71" s="2" t="inlineStr">
        <is>
          <t>8.2 wskaźnik FENGR-001 i komentarz modelu Przychody</t>
        </is>
      </c>
      <c r="C71" s="2" t="inlineStr">
        <is>
          <t>489 300 zł jako przychód poza RP</t>
        </is>
      </c>
      <c r="D71" s="2" t="inlineStr">
        <is>
          <t>0 zł w 2030 r. (D40); model bez zmian</t>
        </is>
      </c>
      <c r="E71" s="2" t="inlineStr">
        <is>
          <t>K14-01; D40</t>
        </is>
      </c>
      <c r="F71" s="2" t="inlineStr">
        <is>
          <t>WYSOKI</t>
        </is>
      </c>
      <c r="G71" s="2" t="inlineStr">
        <is>
          <t>OTWARTE</t>
        </is>
      </c>
    </row>
    <row r="72">
      <c r="A72" s="2" t="inlineStr">
        <is>
          <t>N71</t>
        </is>
      </c>
      <c r="B72" s="2" t="inlineStr">
        <is>
          <t>3.2.2 Z11 opis i 2.2 prawa</t>
        </is>
      </c>
      <c r="C72" s="2" t="inlineStr">
        <is>
          <t>Prawa PRz przenosi „przed zgłoszeniem”, rozliczenie „12 miesięcy po projekcie”</t>
        </is>
      </c>
      <c r="D72" s="2" t="inlineStr">
        <is>
          <t>Nowy tekst Z11: umowa o wykonywaniu wspólnych praw (§ 11 ust. 5) i terminy z § 11 (28.08.2029, 30.11.2029)</t>
        </is>
      </c>
      <c r="E72" s="2" t="inlineStr">
        <is>
          <t>K2-02; D36</t>
        </is>
      </c>
      <c r="F72" s="2" t="inlineStr">
        <is>
          <t>WYSOKI</t>
        </is>
      </c>
      <c r="G72" s="2" t="inlineStr">
        <is>
          <t>OTWARTE</t>
        </is>
      </c>
    </row>
    <row r="73">
      <c r="A73" s="2" t="inlineStr">
        <is>
          <t>N72</t>
        </is>
      </c>
      <c r="B73" s="2" t="inlineStr">
        <is>
          <t>3.1.3 pozycje amortyzacji (14)</t>
        </is>
      </c>
      <c r="C73" s="2" t="inlineStr">
        <is>
          <t>Zdanie „tylko celów nie związanych z projektem” (7 pozycji Everest11), brak parametrów odpisu, edge AI 500 zł bez źródła, radar „fill rate”, OAK-D jako ToF</t>
        </is>
      </c>
      <c r="D73" s="2" t="inlineStr">
        <is>
          <t>Wkleić pola z Sekcja_3.1_sprzet_i_amortyzacja.docx, zmienić kwoty w P1, P2, P3 oraz w pozycjach Everest11 wg zestawienia</t>
        </is>
      </c>
      <c r="E73" s="2" t="inlineStr">
        <is>
          <t>K3-48..58; D42</t>
        </is>
      </c>
      <c r="F73" s="2" t="inlineStr">
        <is>
          <t>WYSOKI</t>
        </is>
      </c>
      <c r="G73" s="2" t="inlineStr">
        <is>
          <t>OTWARTE</t>
        </is>
      </c>
    </row>
    <row r="74">
      <c r="A74" s="2" t="inlineStr">
        <is>
          <t>N73</t>
        </is>
      </c>
      <c r="B74" s="2" t="inlineStr">
        <is>
          <t>7.4 odpady vs likwidacja po M30</t>
        </is>
      </c>
      <c r="C74" s="2" t="inlineStr">
        <is>
          <t>„Sprawne komponenty trafią do dalszych prac rozwojowych lub zestawów demonstracyjnych”</t>
        </is>
      </c>
      <c r="D74" s="2" t="inlineStr">
        <is>
          <t>Prototypy po Z9 demontaż, likwidacja protokołem, przekazanie ZSEE; bez dalszego użycia (K3-56). Nowy tekst w Sekcja_7_zasady_horyzontalne_6R.docx</t>
        </is>
      </c>
      <c r="E74" s="2" t="inlineStr">
        <is>
          <t>K3-56, K13-06</t>
        </is>
      </c>
      <c r="F74" s="2" t="inlineStr">
        <is>
          <t>ŚREDNI</t>
        </is>
      </c>
      <c r="G74" s="2" t="inlineStr">
        <is>
          <t>OTWARTE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36" customWidth="1" min="3" max="3"/>
    <col width="70" customWidth="1" min="4" max="4"/>
  </cols>
  <sheetData>
    <row r="1">
      <c r="A1" s="21" t="inlineStr">
        <is>
          <t>Dokument</t>
        </is>
      </c>
      <c r="B1" s="21" t="inlineStr">
        <is>
          <t>Zakres (uwagi, pola wniosku)</t>
        </is>
      </c>
      <c r="C1" s="21" t="inlineStr">
        <is>
          <t>Status</t>
        </is>
      </c>
      <c r="D1" s="21" t="inlineStr">
        <is>
          <t>Co jeszcze potwierdzić i kto</t>
        </is>
      </c>
    </row>
    <row r="2">
      <c r="A2" s="2" t="inlineStr">
        <is>
          <t>Opisy_zadan_z_kamieniami_milowymi.docx</t>
        </is>
      </c>
      <c r="B2" s="2" t="inlineStr">
        <is>
          <t>WP01-WP03: opisy zadań Z1-Z9, kamienie milowe, ryzyka, uzasadnienia kosztów i metoda szacowania personelu Everest11, podział etatów (D29)</t>
        </is>
      </c>
      <c r="C2" s="2" t="inlineStr">
        <is>
          <t>GOTOWY po potwierdzeniu 62 wartości (żółte)</t>
        </is>
      </c>
      <c r="D2" s="2" t="inlineStr">
        <is>
          <t>Dział techniczny: 62 wartości liczbowe (progi, liczności, czasy). Aneks C pliku.</t>
        </is>
      </c>
    </row>
    <row r="3">
      <c r="A3" s="2" t="inlineStr">
        <is>
          <t>Wskazniki_innowacyjnosci_1.2_i_1.4.docx</t>
        </is>
      </c>
      <c r="B3" s="2" t="inlineStr">
        <is>
          <t>WP04: wskaźniki 1.2 (W1-W5), tekst 1.4 i wskaźniki I1-I2, zmiany w opisie innowacji, produkty referencyjne</t>
        </is>
      </c>
      <c r="C3" s="2" t="inlineStr">
        <is>
          <t>GOTOWY po potwierdzeniu 6 parametrów (żółte)</t>
        </is>
      </c>
      <c r="D3" s="2" t="inlineStr">
        <is>
          <t>Dział techniczny: błąd przemieszczenia względnego 0,03 m i 0,05 m, baza AUC 0,70, baza mAP 0,40, zdarzenie inicjujące PoC, zgodność treści 90%.</t>
        </is>
      </c>
    </row>
    <row r="4">
      <c r="A4" s="2" t="inlineStr">
        <is>
          <t>Sekcja_1.3_i_ceny.docx</t>
        </is>
      </c>
      <c r="B4" s="2" t="inlineStr">
        <is>
          <t>WP05: pkt 1.3, pkt 2.3 (rynek docelowy, plan wprowadzenia), zmiany w 2.1, 2.4 i modelu (tabela 5.3), źródła</t>
        </is>
      </c>
      <c r="C4" s="2" t="inlineStr">
        <is>
          <t>GOTOWY (0 żółtych)</t>
        </is>
      </c>
      <c r="D4" s="2" t="inlineStr">
        <is>
          <t>Właścicielka: ręczne zmiany w 2.1, 2.4 i komentarzach modelu (N40-N50, N57-N58).</t>
        </is>
      </c>
    </row>
    <row r="5">
      <c r="A5" s="2" t="inlineStr">
        <is>
          <t>Sekcja_2.2_i_2.5_prawa_FTO_zasoby.docx</t>
        </is>
      </c>
      <c r="B5" s="2" t="inlineStr">
        <is>
          <t>WP10: pkt 2.2 (brak barier, stan techniki, prawa), pkt 2.5 (zasoby kadrowe, techniczne, pozostałe)</t>
        </is>
      </c>
      <c r="C5" s="2" t="inlineStr">
        <is>
          <t>GOTOWY (0 żółtych)</t>
        </is>
      </c>
      <c r="D5" s="2" t="inlineStr">
        <is>
          <t>Właścicielka: potwierdzenie, że badanie patentowe nie wykazało patentów EP/PL ograniczających wdrożenie (zdanie w 2.2); harmonogram przeniesienia praw z PRz (plan do 30.11.2029).</t>
        </is>
      </c>
    </row>
    <row r="6">
      <c r="A6" s="2" t="inlineStr">
        <is>
          <t>CargoDT_plan_pracy_i_rejestr_decyzji.xlsx</t>
        </is>
      </c>
      <c r="B6" s="2" t="inlineStr">
        <is>
          <t>Rejestr decyzji, niespójności, zadania, źródła, podział etatów</t>
        </is>
      </c>
      <c r="C6" s="2" t="inlineStr">
        <is>
          <t>Aktualizowany na bieżąco</t>
        </is>
      </c>
      <c r="D6" s="2" t="inlineStr">
        <is>
          <t>-</t>
        </is>
      </c>
    </row>
    <row r="7">
      <c r="A7" s="2" t="inlineStr">
        <is>
          <t>Sekcja_6.1_zespol_projektowy.docx</t>
        </is>
      </c>
      <c r="B7" s="2" t="inlineStr">
        <is>
          <t>WP06: sekcja 6.1 (K5-01 do K5-11); Hajduk: dopisano Z10</t>
        </is>
      </c>
      <c r="C7" s="2" t="inlineStr">
        <is>
          <t>GOTOWY (0 żółtych), założenia D37 do potwierdzenia</t>
        </is>
      </c>
      <c r="D7" s="2" t="inlineStr">
        <is>
          <t>Właścicielka: T23 (formy umów, etaty poza projektem, rola Natanek, oświadczenia).</t>
        </is>
      </c>
    </row>
    <row r="8">
      <c r="A8" s="2" t="inlineStr">
        <is>
          <t>Sekcja_6.2-6.4_zasoby_podwykonawca.docx</t>
        </is>
      </c>
      <c r="B8" s="2" t="inlineStr">
        <is>
          <t>WP06: sekcje 6.2, 6.3, 6.4 (K5-12 do K5-19)</t>
        </is>
      </c>
      <c r="C8" s="2" t="inlineStr">
        <is>
          <t>GOTOWY, 7 żółtych pól do uzupełnienia</t>
        </is>
      </c>
      <c r="D8" s="2" t="inlineStr">
        <is>
          <t>PRz i Everest11: T25, T26.</t>
        </is>
      </c>
    </row>
    <row r="9">
      <c r="A9" s="2" t="inlineStr">
        <is>
          <t>Sekcja_7_zasady_horyzontalne_6R.docx</t>
        </is>
      </c>
      <c r="B9" s="2" t="inlineStr">
        <is>
          <t>WP12: pkt 7.1 do 7.4, 8.1 PLRR051, 8.2 wskaźniki 6R (K10-01 do K13-06)</t>
        </is>
      </c>
      <c r="C9" s="2" t="inlineStr">
        <is>
          <t>GOTOWY (0 żółtych), zobowiązania do potwierdzenia</t>
        </is>
      </c>
      <c r="D9" s="2" t="inlineStr">
        <is>
          <t>Zarząd Everest11, PRz, dział techniczny: T27, T28, T29 (część 8 dokumentu).</t>
        </is>
      </c>
    </row>
    <row r="10">
      <c r="A10" s="2" t="inlineStr">
        <is>
          <t>Sekcja_3.2_internacjonalizacja_Z10_Z11.docx</t>
        </is>
      </c>
      <c r="B10" s="2" t="inlineStr">
        <is>
          <t>WP09: pkt 3.2, Z10, Z11, budżet internacjonalizacji, koszty uproszczone, wskaźnik przychodów poza RP (K3-23, K3-24, K3-59..66, K14-01)</t>
        </is>
      </c>
      <c r="C10" s="2" t="inlineStr">
        <is>
          <t>GOTOWY (0 żółtych), czas przyszły; zadania T32</t>
        </is>
      </c>
      <c r="D10" s="2" t="inlineStr">
        <is>
          <t>Właścicielka, PRz: T32.</t>
        </is>
      </c>
    </row>
    <row r="11">
      <c r="A11" s="2" t="inlineStr">
        <is>
          <t>Sekcja_3.1_sprzet_i_amortyzacja.docx</t>
        </is>
      </c>
      <c r="B11" s="2" t="inlineStr">
        <is>
          <t>WP08: 14 pozycji Amortyzacja (aparatura i sprzęt), K3-48 do K3-58</t>
        </is>
      </c>
      <c r="C11" s="2" t="inlineStr">
        <is>
          <t>GOTOWY (0 żółtych), czas przyszły; decyzje D42, D06</t>
        </is>
      </c>
      <c r="D11" s="2" t="inlineStr">
        <is>
          <t>Dział techniczny, księgowa, zakupy: T33, T34, T35.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2026-10-02T16:47:57Z</dcterms:modified>
</cp:coreProperties>
</file>