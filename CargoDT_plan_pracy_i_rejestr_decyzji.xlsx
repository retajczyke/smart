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_Zasady" sheetId="1" state="visible" r:id="rId1"/>
    <sheet xmlns:r="http://schemas.openxmlformats.org/officeDocument/2006/relationships" name="1_Decyzje" sheetId="2" state="visible" r:id="rId2"/>
    <sheet xmlns:r="http://schemas.openxmlformats.org/officeDocument/2006/relationships" name="2_Do_zrobienia" sheetId="3" state="visible" r:id="rId3"/>
    <sheet xmlns:r="http://schemas.openxmlformats.org/officeDocument/2006/relationships" name="3_Pakiety_pól" sheetId="4" state="visible" r:id="rId4"/>
    <sheet xmlns:r="http://schemas.openxmlformats.org/officeDocument/2006/relationships" name="4_Ceny_źródła" sheetId="5" state="visible" r:id="rId5"/>
    <sheet xmlns:r="http://schemas.openxmlformats.org/officeDocument/2006/relationships" name="5_Model_marży" sheetId="6" state="visible" r:id="rId6"/>
    <sheet xmlns:r="http://schemas.openxmlformats.org/officeDocument/2006/relationships" name="6_Aneks_flota" sheetId="7" state="visible" r:id="rId7"/>
    <sheet xmlns:r="http://schemas.openxmlformats.org/officeDocument/2006/relationships" name="7_Kontrola_błędów" sheetId="8" state="visible" r:id="rId8"/>
    <sheet xmlns:r="http://schemas.openxmlformats.org/officeDocument/2006/relationships" name="8_Moje_błędy_i_korekty" sheetId="9" state="visible" r:id="rId9"/>
    <sheet xmlns:r="http://schemas.openxmlformats.org/officeDocument/2006/relationships" name="9_Niespójności" sheetId="10" state="visible" r:id="rId10"/>
    <sheet xmlns:r="http://schemas.openxmlformats.org/officeDocument/2006/relationships" name="10_Podział_etatów" sheetId="11" state="visible" r:id="rId11"/>
    <sheet xmlns:r="http://schemas.openxmlformats.org/officeDocument/2006/relationships" name="11_Dokumenty"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sz val="14"/>
    </font>
    <font>
      <b val="1"/>
      <color rgb="00FFFFFF"/>
    </font>
    <font>
      <b val="1"/>
      <sz val="12"/>
    </font>
    <font>
      <b val="1"/>
    </font>
    <font>
      <i val="1"/>
      <color rgb="00666666"/>
    </font>
  </fonts>
  <fills count="10">
    <fill>
      <patternFill/>
    </fill>
    <fill>
      <patternFill patternType="gray125"/>
    </fill>
    <fill>
      <patternFill patternType="solid">
        <fgColor rgb="001F3864"/>
      </patternFill>
    </fill>
    <fill>
      <patternFill patternType="solid">
        <fgColor rgb="00C6EFCE"/>
      </patternFill>
    </fill>
    <fill>
      <patternFill patternType="solid">
        <fgColor rgb="00F8CBAD"/>
      </patternFill>
    </fill>
    <fill>
      <patternFill patternType="solid">
        <fgColor rgb="00FFEB9C"/>
      </patternFill>
    </fill>
    <fill>
      <patternFill patternType="solid">
        <fgColor rgb="00FFF2CC"/>
      </patternFill>
    </fill>
    <fill>
      <patternFill patternType="solid">
        <fgColor rgb="00D9E2F3"/>
      </patternFill>
    </fill>
    <fill>
      <patternFill patternType="solid">
        <fgColor rgb="00C6E0B4"/>
      </patternFill>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2" fillId="2"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7" borderId="0" applyAlignment="1" pivotButton="0" quotePrefix="0" xfId="0">
      <alignment vertical="top" wrapText="1"/>
    </xf>
    <xf numFmtId="0" fontId="0" fillId="8" borderId="0" applyAlignment="1" pivotButton="0" quotePrefix="0" xfId="0">
      <alignment vertical="top" wrapText="1"/>
    </xf>
    <xf numFmtId="0" fontId="5" fillId="0" borderId="0" pivotButton="0" quotePrefix="0" xfId="0"/>
    <xf numFmtId="0" fontId="4" fillId="0" borderId="0" pivotButton="0" quotePrefix="0" xfId="0"/>
    <xf numFmtId="0" fontId="4" fillId="7" borderId="0" pivotButton="0" quotePrefix="0" xfId="0"/>
    <xf numFmtId="164" fontId="0" fillId="6" borderId="0" pivotButton="0" quotePrefix="0" xfId="0"/>
    <xf numFmtId="0" fontId="2" fillId="9"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150" customWidth="1" min="1" max="1"/>
  </cols>
  <sheetData>
    <row r="1">
      <c r="A1" s="1" t="inlineStr">
        <is>
          <t>CargoDT - plan pracy i rejestr decyzji (stan: 05.10.2026, termin korekty w LSI: 06.10.2026)</t>
        </is>
      </c>
    </row>
    <row r="2">
      <c r="A2" s="2" t="inlineStr"/>
    </row>
    <row r="3">
      <c r="A3" s="2" t="inlineStr">
        <is>
          <t>JEDNO ŹRÓDŁO PRAWDY: ten plik + arkusz "Rejestr uwag". Czat służy tylko do statusów i decyzji.</t>
        </is>
      </c>
    </row>
    <row r="4">
      <c r="A4" s="2" t="inlineStr">
        <is>
          <t>1. Praca po polach LSI (arkusz 3), nie po pojedynczych uwagach. Pole piszemy raz, odpowiadając na wszystkie przypisane do niego uwagi.</t>
        </is>
      </c>
    </row>
    <row r="5">
      <c r="A5" s="2" t="inlineStr">
        <is>
          <t>2. Kolejność: najpierw pakiety, które mogą dać 0 pkt w K1/K2/K3 lub NIE w K5/K6 (priorytet P1), potem P2.</t>
        </is>
      </c>
    </row>
    <row r="6">
      <c r="A6" s="2" t="inlineStr">
        <is>
          <t>3. Maksymalnie kilka pozycji w jednej wiadomości. Wątki poboczne trafiają do "Wątki otwarte" (arkusz 2) i nie blokują pakietów.</t>
        </is>
      </c>
    </row>
    <row r="7">
      <c r="A7" s="2" t="inlineStr">
        <is>
          <t>4. Każda liczba ma źródło (arkusz 4) albo jest oznaczona jako ZAŁOŻENIE. Zakaz dopasowywania liczb do sumy bez źródła.</t>
        </is>
      </c>
    </row>
    <row r="8">
      <c r="A8" s="2" t="inlineStr">
        <is>
          <t>5. Status "Zweryfikowane" w Rejestrze nadajemy dopiero po kontroli w arkuszu 7 (nie przez autora tekstu).</t>
        </is>
      </c>
    </row>
    <row r="9">
      <c r="A9" s="2" t="inlineStr">
        <is>
          <t>6. Zmiany spoza zakresu wezwania są oceniane (Regulamin par. 8 ust. 15) - każda zmiana musi mieć powód (ID uwagi albo skutek uboczny).</t>
        </is>
      </c>
    </row>
    <row r="10">
      <c r="A10" s="2" t="inlineStr">
        <is>
          <t>7. Twarde ograniczenia: dofinansowanie nie rośnie (projekt 3 998 262,02 zł; Everest11 2 964 296,12 zł; PRz 1 033 965,90 zł); brak nowych osób i nowych podwykonawców B+R; 1 zadanie = 1 konsorcjant; 276 h/mies.; limit 15% wydatków fakultatywnych; podwykonawstwo &lt;=50% (Lider).</t>
        </is>
      </c>
    </row>
    <row r="11">
      <c r="A11" s="2" t="inlineStr"/>
    </row>
    <row r="12">
      <c r="A12" s="2" t="inlineStr">
        <is>
          <t>Terminarz: czw 01.10 decyzje + księga kosztów | pt 02.10 pakiety WP01-WP03, WP06-WP09 (K3) | pon 05.10 WP04, WP05, WP10, WP11 | wt 06.10 WP12, kontrola (arkusz 7), wklejenie do LSI</t>
        </is>
      </c>
    </row>
    <row r="13">
      <c r="A13" s="2" t="inlineStr">
        <is>
          <t>Legenda statusów decyzji: ZATWIERDZONA / POTWIERDZONE (zamknięte) | W TOKU / DO POTWIERDZENIA (żółte) | OTWARTA* (czerwone, wymaga decyzji lub konsultacji)</t>
        </is>
      </c>
    </row>
    <row r="14">
      <c r="A14" t="inlineStr">
        <is>
          <t>Styl tekstów do wklejenia</t>
        </is>
      </c>
      <c r="B14" t="inlineStr">
        <is>
          <t>Czas przyszły dla działań projektu; akapity zaczynamy pełnym zdaniem, nie jednowyrazową etykietą ("Oprogramowanie.", "Tak.", "Zakres."). Ustalenie właścicielki, 02.10.2026.</t>
        </is>
      </c>
    </row>
    <row r="15">
      <c r="A15" t="inlineStr">
        <is>
          <t>Min. 3 dostawców w metodzie szacowania</t>
        </is>
      </c>
      <c r="B15" t="inlineStr">
        <is>
          <t>Każdy koszt ma w metodzie co najmniej trzech dostawców lub źródeł cen z nazwy, a jeśli usługa ma jednego dostawcę z natury (organizator kongresu, opłaty urzędowe EPO), napisano to wprost. Ustalenie właścicielki, 02.10.2026.</t>
        </is>
      </c>
    </row>
    <row r="16">
      <c r="A16" t="inlineStr">
        <is>
          <t>Pliki zamknięte (D50)</t>
        </is>
      </c>
      <c r="B16" t="inlineStr">
        <is>
          <t>Korygujemy wyłącznie: Model_finansowy_CargoDT_Everest_II_kwartal_2026.xlsm, Sekcja_K6_sprawozdanie_2Q2026_model.docx i ten rejestr. Pliki Sekcja_1.3_i_ceny.docx, Poprawki_do_wklejenia_WP01-WP03.docx i Opisy_zadan_z_kamieniami_milowymi.docx są zamknięte: zmiany w nich opisuje wyłącznie Zmiany_do_wprowadzenia_w_plikach_zamknietych.docx.</t>
        </is>
      </c>
    </row>
    <row r="17">
      <c r="A17" t="inlineStr">
        <is>
          <t>Błędy własne</t>
        </is>
      </c>
      <c r="B17" t="inlineStr">
        <is>
          <t>Każdy błąd Claude znaleziony w trakcie pracy trafia do arkusza 8 z opisem korekty (np. E22 do E28).</t>
        </is>
      </c>
    </row>
    <row r="18">
      <c r="A18" t="inlineStr">
        <is>
          <t>Komentarze w modelu</t>
        </is>
      </c>
      <c r="B18" t="inlineStr">
        <is>
          <t>Pole Komentarz w arkuszach modelu ma limit 10 000 znaków (Instrukcja modelu). Liczby w komentarzach muszą zgadzać się z przeliczonym modelem; po każdej zmianie danych przeliczamy model kontrolnie.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5"/>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5" customWidth="1" min="3" max="3"/>
    <col width="18" customWidth="1" min="4" max="4"/>
    <col width="22" customWidth="1" min="5" max="5"/>
    <col width="30" customWidth="1" min="6" max="6"/>
  </cols>
  <sheetData>
    <row r="1">
      <c r="A1" s="3" t="inlineStr">
        <is>
          <t>ID</t>
        </is>
      </c>
      <c r="B1" s="3" t="inlineStr">
        <is>
          <t>Temat</t>
        </is>
      </c>
      <c r="C1" s="3" t="inlineStr">
        <is>
          <t>Decyzja / ustalenie</t>
        </is>
      </c>
      <c r="D1" s="3" t="inlineStr">
        <is>
          <t>Status</t>
        </is>
      </c>
      <c r="E1" s="3" t="inlineStr">
        <is>
          <t>Kto</t>
        </is>
      </c>
      <c r="F1" s="3" t="inlineStr">
        <is>
          <t>Powiązane uwagi</t>
        </is>
      </c>
    </row>
    <row r="2">
      <c r="A2" s="4" t="inlineStr">
        <is>
          <t>D01</t>
        </is>
      </c>
      <c r="B2" s="4" t="inlineStr">
        <is>
          <t>Amortyzacja jednorazowa dla wszystkich pozycji</t>
        </is>
      </c>
      <c r="C2" s="4" t="inlineStr">
        <is>
          <t>Zatwierdzona. Opis każdej pozycji: podstawa (polityka rachunkowości), używanie wyłącznie w projekcie, likwidacja po M30 z protokołem (potwierdzone: Everest11 i PRz), brak współfinansowania z innych źródeł. Ryzyko: jeśli sprzęt faktycznie zostaje po M30, zapis byłby nieprawdziwy.</t>
        </is>
      </c>
      <c r="D2" s="5" t="inlineStr">
        <is>
          <t>ZATWIERDZONA</t>
        </is>
      </c>
      <c r="E2" s="4" t="inlineStr">
        <is>
          <t>Właściciel</t>
        </is>
      </c>
      <c r="F2" s="4" t="inlineStr">
        <is>
          <t>K3-50..58, K3-56, K3-57</t>
        </is>
      </c>
    </row>
    <row r="3">
      <c r="A3" s="4" t="inlineStr">
        <is>
          <t>D02</t>
        </is>
      </c>
      <c r="B3" s="4" t="inlineStr">
        <is>
          <t>Internacjonalizacja zostaje (Z10 i Z11)</t>
        </is>
      </c>
      <c r="C3" s="4" t="inlineStr">
        <is>
          <t>Zatwierdzona; zmiana kategorii wydatków przy sumie bez zmian. Podróże wg stawki jednostkowej (5.3.3/5.3.4), materiały promocyjne tylko jako element dekoracyjny stoiska (5.3.1), badanie zdolności patentowej = de minimis (5.3.11), tekst o wytwarzaniu produktu w Polsce.</t>
        </is>
      </c>
      <c r="D3" s="5" t="inlineStr">
        <is>
          <t>ZATWIERDZONA</t>
        </is>
      </c>
      <c r="E3" s="4" t="inlineStr">
        <is>
          <t>Właściciel</t>
        </is>
      </c>
      <c r="F3" s="4" t="inlineStr">
        <is>
          <t>K3-23, K3-24, K3-59..66, K14-01</t>
        </is>
      </c>
    </row>
    <row r="4">
      <c r="A4" s="4" t="inlineStr">
        <is>
          <t>D03</t>
        </is>
      </c>
      <c r="B4" s="4" t="inlineStr">
        <is>
          <t>Z1/Z3/Z4/Z6 bronione jako B+R</t>
        </is>
      </c>
      <c r="C4" s="4" t="inlineStr">
        <is>
          <t>Zatwierdzona. Do opisów: hipoteza, niepewność techniczna, eksperyment, mierzalny wynik; rutynowe elementy usunięte z zakresu i kosztów.</t>
        </is>
      </c>
      <c r="D4" s="5" t="inlineStr">
        <is>
          <t>ZATWIERDZONA</t>
        </is>
      </c>
      <c r="E4" s="4" t="inlineStr">
        <is>
          <t>Właściciel</t>
        </is>
      </c>
      <c r="F4" s="4" t="inlineStr">
        <is>
          <t>K3-01..08</t>
        </is>
      </c>
    </row>
    <row r="5">
      <c r="A5" s="4" t="inlineStr">
        <is>
          <t>D04</t>
        </is>
      </c>
      <c r="B5" s="4" t="inlineStr">
        <is>
          <t>Walidacja AUC: klasa pozytywna = zdarzenie ryzyka, podział danych, progi</t>
        </is>
      </c>
      <c r="C5" s="4" t="inlineStr">
        <is>
          <t>Zatwierdzona ("ok"). Do uzupełnienia danymi: liczba przesyłek na kurs (Natanek/Everest11).</t>
        </is>
      </c>
      <c r="D5" s="5" t="inlineStr">
        <is>
          <t>ZATWIERDZONA</t>
        </is>
      </c>
      <c r="E5" s="4" t="inlineStr">
        <is>
          <t>Właściciel</t>
        </is>
      </c>
      <c r="F5" s="4" t="inlineStr">
        <is>
          <t>K3-04, K3-15, K3-18; K1-03</t>
        </is>
      </c>
    </row>
    <row r="6">
      <c r="A6" s="4" t="inlineStr">
        <is>
          <t>D05</t>
        </is>
      </c>
      <c r="B6" s="4" t="inlineStr">
        <is>
          <t>Ścieżka audytu Z9 (inspekcja na ślepo, log niemodyfikowalny, zamrożony skrypt, niezależny ewaluator, próbka 10%, podpis kierowników, PRz tylko odbiór metodyczny w Z8)</t>
        </is>
      </c>
      <c r="C6" s="4" t="inlineStr">
        <is>
          <t>Zatwierdzona.</t>
        </is>
      </c>
      <c r="D6" s="5" t="inlineStr">
        <is>
          <t>ZATWIERDZONA</t>
        </is>
      </c>
      <c r="E6" s="4" t="inlineStr">
        <is>
          <t>Właściciel</t>
        </is>
      </c>
      <c r="F6" s="4" t="inlineStr">
        <is>
          <t>K3-11, K3-12, K3-29; K5-04, K5-07, K5-12</t>
        </is>
      </c>
    </row>
    <row r="7">
      <c r="A7" s="4" t="inlineStr">
        <is>
          <t>D06</t>
        </is>
      </c>
      <c r="B7" s="4" t="inlineStr">
        <is>
          <t>Tor pomiarowy Z2 / typy i liczba kamer</t>
        </is>
      </c>
      <c r="C7" s="4" t="inlineStr">
        <is>
          <t>OTWARTA*: do konsultacji z działem technicznym. Rekomendacja: prawdziwy ToF (OAK-D Pro W to active stereo), 1 ToF + 1 EO na naczepę, konfiguracja 3-4 kamer testowana w laboratorium PRz. W tekście do czasu decyzji oznaczenie *.</t>
        </is>
      </c>
      <c r="D7" s="6" t="inlineStr">
        <is>
          <t>OTWARTA*</t>
        </is>
      </c>
      <c r="E7" s="4" t="inlineStr">
        <is>
          <t>Właściciel + dział techniczny</t>
        </is>
      </c>
      <c r="F7" s="4" t="inlineStr">
        <is>
          <t>K3-55, K3-02</t>
        </is>
      </c>
    </row>
    <row r="8">
      <c r="A8" s="4" t="inlineStr">
        <is>
          <t>D07</t>
        </is>
      </c>
      <c r="B8" s="4" t="inlineStr">
        <is>
          <t>Backend/Full-Stack: Z6 (M19-M27) 9 mies. + Z9 (M28-M30) 3 mies.; koszt łączny bez zmian (260 280 zł)</t>
        </is>
      </c>
      <c r="C8" s="4" t="inlineStr">
        <is>
          <t>Zatwierdzona. Wymaga dopisania zakresu w Z9 i usunięcia "utrzymania" i rutynowych integracji z Z6.</t>
        </is>
      </c>
      <c r="D8" s="5" t="inlineStr">
        <is>
          <t>ZATWIERDZONA</t>
        </is>
      </c>
      <c r="E8" s="4" t="inlineStr">
        <is>
          <t>Właściciel</t>
        </is>
      </c>
      <c r="F8" s="4" t="inlineStr">
        <is>
          <t>K3-08, K3-36, K3-37; K5-02</t>
        </is>
      </c>
    </row>
    <row r="9">
      <c r="A9" s="4" t="inlineStr">
        <is>
          <t>D08</t>
        </is>
      </c>
      <c r="B9" s="4" t="inlineStr">
        <is>
          <t>Montaż pozostaje podwykonawstwem B+R (nie zmieniamy kategorii)</t>
        </is>
      </c>
      <c r="C9" s="4" t="inlineStr">
        <is>
          <t>Zatwierdzona. Uzupełnić wymagania minimalne dla niewybranego podwykonawcy.</t>
        </is>
      </c>
      <c r="D9" s="5" t="inlineStr">
        <is>
          <t>ZATWIERDZONA</t>
        </is>
      </c>
      <c r="E9" s="4" t="inlineStr">
        <is>
          <t>Właściciel</t>
        </is>
      </c>
      <c r="F9" s="4" t="inlineStr">
        <is>
          <t>K3-03, K3-44, K3-45; K5-19</t>
        </is>
      </c>
    </row>
    <row r="10">
      <c r="A10" s="4" t="inlineStr">
        <is>
          <t>D09</t>
        </is>
      </c>
      <c r="B10" s="4" t="inlineStr">
        <is>
          <t>Data wdrożenia = start sprzedaży 01/2030</t>
        </is>
      </c>
      <c r="C10" s="4" t="inlineStr">
        <is>
          <t>Zatwierdzona. Ujednolicić we wniosku i modelu finansowym.</t>
        </is>
      </c>
      <c r="D10" s="5" t="inlineStr">
        <is>
          <t>ZATWIERDZONA</t>
        </is>
      </c>
      <c r="E10" s="4" t="inlineStr">
        <is>
          <t>Właściciel</t>
        </is>
      </c>
      <c r="F10" s="4" t="inlineStr">
        <is>
          <t>K2-06, K14-01</t>
        </is>
      </c>
    </row>
    <row r="11">
      <c r="A11" s="4" t="inlineStr">
        <is>
          <t>D10</t>
        </is>
      </c>
      <c r="B11" s="4" t="inlineStr">
        <is>
          <t>Flota własna Everest11: 5 pojazdów w najmie (zestawy ciągnik+naczepa), wzrost do 20</t>
        </is>
      </c>
      <c r="C11" s="4" t="inlineStr">
        <is>
          <t>Zatwierdzona. Aneks do umów podpisany przed wysłaniem poprawki; do wniosku bez załączników, treść umów opisana w tekście (klauzule: arkusz 6). ZASTĄPIONE 02.10.2026: 5 ciągników siodłowych z naczepami na podstawie umowy partnerskiej z Natanek Logistics od 03.2025, z prawem do danych z pojazdów; teksty nie mówią o pojazdach własnych Everest11 w najmie.</t>
        </is>
      </c>
      <c r="D11" s="5" t="inlineStr">
        <is>
          <t>ZATWIERDZONA</t>
        </is>
      </c>
      <c r="E11" s="4" t="inlineStr">
        <is>
          <t>Właściciel</t>
        </is>
      </c>
      <c r="F11" s="4" t="inlineStr">
        <is>
          <t>K2-01, K2-16, K2-04</t>
        </is>
      </c>
    </row>
    <row r="12">
      <c r="A12" s="4" t="inlineStr">
        <is>
          <t>D11</t>
        </is>
      </c>
      <c r="B12" s="4" t="inlineStr">
        <is>
          <t>Model cenowo-kosztowy: dwie klasy produktu (premium &lt;10% sprzedaży, koszt ok. 30 tys. zł; podstawowa), marża łączna 10%</t>
        </is>
      </c>
      <c r="C12" s="4" t="inlineStr">
        <is>
          <t>W TOKU: model w arkuszu 5. Przy domyślnych założeniach (rabat 30% poza Jetsonem) koszt serii wersji podstawowej to ok. 7,6 tys. zł, a cena dla marży łącznej 10% ok. 8,6 tys. zł. Przy cenie 7 500 zł marża łączna 10% wymaga kosztu serii &lt;= ok. 6,6 tys. zł (parametry edytowalne). ROZSTRZYGNIĘCIE 02.10.2026: koszt komponentów w modelu (4 875 zł za zestaw) zostaje bez zmian; do uzupełnienia podstawa kwoty (N57). | 05.10: koszt 4 875 zł zostaje; propozycja podstawy kwoty (9 komponentów) i zespół komercjalizacji w dokumencie K6, część 8 (D53).</t>
        </is>
      </c>
      <c r="D12" s="7" t="inlineStr">
        <is>
          <t>W TOKU</t>
        </is>
      </c>
      <c r="E12" s="4" t="inlineStr">
        <is>
          <t>Claude + właściciel</t>
        </is>
      </c>
      <c r="F12" s="4" t="inlineStr">
        <is>
          <t>K2-12, K2-13, K2-14, K2-15</t>
        </is>
      </c>
    </row>
    <row r="13">
      <c r="A13" s="4" t="inlineStr">
        <is>
          <t>D12</t>
        </is>
      </c>
      <c r="B13" s="4" t="inlineStr">
        <is>
          <t>Kamera ToF PRz typ 2: 10 000 zł</t>
        </is>
      </c>
      <c r="C13" s="4" t="inlineStr">
        <is>
          <t>Zatwierdzona przez właściciela. Uwaga: ceny katalogowe przemysłowych ToF (Basler blaze 1 579 EUR, Lucid Helios2+ 1 800 EUR) to ok. 6,9-7,9 tys. zł za kamerę; 10 000 zł jest spójne tylko jako ZESTAW (kamera + zasilanie/PoE + obudowa/uchwyt + kable). Opis pozycji musi mówić "zestaw", a pozycja "Akcesoria typ 2" nie może dublować tych elementów.</t>
        </is>
      </c>
      <c r="D13" s="5" t="inlineStr">
        <is>
          <t>ZATWIERDZONA</t>
        </is>
      </c>
      <c r="E13" s="4" t="inlineStr">
        <is>
          <t>Właściciel</t>
        </is>
      </c>
      <c r="F13" s="4" t="inlineStr">
        <is>
          <t>K3-50</t>
        </is>
      </c>
    </row>
    <row r="14">
      <c r="A14" s="4" t="inlineStr">
        <is>
          <t>D13</t>
        </is>
      </c>
      <c r="B14" s="4" t="inlineStr">
        <is>
          <t>Dokument "Badanie stanu techniki" nie jest udostępniany - poza zakresem poprawek</t>
        </is>
      </c>
      <c r="C14" s="4" t="inlineStr">
        <is>
          <t>Zatwierdzona. Uwaga: K2-09/K1-01 dotyczą treści pól w LSI ("Opis uzyskanych wyników"), więc przykłady z baz trzeba wpisać w LSI.</t>
        </is>
      </c>
      <c r="D14" s="5" t="inlineStr">
        <is>
          <t>ZATWIERDZONA</t>
        </is>
      </c>
      <c r="E14" s="4" t="inlineStr">
        <is>
          <t>Właściciel</t>
        </is>
      </c>
      <c r="F14" s="4" t="inlineStr">
        <is>
          <t>K2-09, K1-01</t>
        </is>
      </c>
    </row>
    <row r="15">
      <c r="A15" s="4" t="inlineStr">
        <is>
          <t>D14</t>
        </is>
      </c>
      <c r="B15" s="4" t="inlineStr">
        <is>
          <t>Edge AI w Z2: ceny z cenników publicznych (nie oferty)</t>
        </is>
      </c>
      <c r="C15" s="4" t="inlineStr">
        <is>
          <t>W TOKU: arkusz 4 (Jetson Orin Nano 8 GB moduł ok. 1 400-1 520 zł). Liczba kompletów i klasa dysku zależą od D06.</t>
        </is>
      </c>
      <c r="D15" s="7" t="inlineStr">
        <is>
          <t>W TOKU</t>
        </is>
      </c>
      <c r="E15" s="4" t="inlineStr">
        <is>
          <t>Claude</t>
        </is>
      </c>
      <c r="F15" s="4" t="inlineStr">
        <is>
          <t>K3-48, K3-49</t>
        </is>
      </c>
    </row>
    <row r="16">
      <c r="A16" s="4" t="inlineStr">
        <is>
          <t>D15</t>
        </is>
      </c>
      <c r="B16" s="4" t="inlineStr">
        <is>
          <t>Pkt 5.6: pracownik Everest11 jako ground truth (rozwiązanie proceduralne z D05)</t>
        </is>
      </c>
      <c r="C16" s="4" t="inlineStr">
        <is>
          <t>Zatwierdzona.</t>
        </is>
      </c>
      <c r="D16" s="5" t="inlineStr">
        <is>
          <t>ZATWIERDZONA</t>
        </is>
      </c>
      <c r="E16" s="4" t="inlineStr">
        <is>
          <t>Właściciel</t>
        </is>
      </c>
      <c r="F16" s="4" t="inlineStr">
        <is>
          <t>K3-11</t>
        </is>
      </c>
    </row>
    <row r="17">
      <c r="A17" s="4" t="inlineStr">
        <is>
          <t>D16</t>
        </is>
      </c>
      <c r="B17" s="4" t="inlineStr">
        <is>
          <t>Wskaźnik AUC: baza = metoda referencyjna (progowy alarm EN 12195-1) zmierzona w KM-Z4</t>
        </is>
      </c>
      <c r="C17" s="4" t="inlineStr">
        <is>
          <t>Zatwierdzona do próby: baza = detektor progowy wg EN 12195-1 zmierzony na tym samym teście w Z4 (opis w Z4 i KM-Z4). Właściciel: "spróbuj taką jak rekomendujesz, najwyżej zmienisz".</t>
        </is>
      </c>
      <c r="D17" s="5" t="inlineStr">
        <is>
          <t>ZATWIERDZONA</t>
        </is>
      </c>
      <c r="E17" s="4" t="inlineStr">
        <is>
          <t>Właściciel</t>
        </is>
      </c>
      <c r="F17" s="4" t="inlineStr">
        <is>
          <t>K1-03</t>
        </is>
      </c>
    </row>
    <row r="18">
      <c r="A18" s="4" t="inlineStr">
        <is>
          <t>D17</t>
        </is>
      </c>
      <c r="B18" s="4" t="inlineStr">
        <is>
          <t>6R: REFUSE -&gt; REDUCE (uwaga eksperta K13-02: REFUSE wymaga 100%)</t>
        </is>
      </c>
      <c r="C18" s="4" t="inlineStr">
        <is>
          <t>Zatwierdzona (TAK): REDUCE ze wskaźnikiem ograniczenia dokumentów papierowych (WP12).</t>
        </is>
      </c>
      <c r="D18" s="5" t="inlineStr">
        <is>
          <t>ZATWIERDZONA</t>
        </is>
      </c>
      <c r="E18" s="4" t="inlineStr">
        <is>
          <t>Właściciel</t>
        </is>
      </c>
      <c r="F18" s="4" t="inlineStr">
        <is>
          <t>K13-02, K13-03</t>
        </is>
      </c>
    </row>
    <row r="19">
      <c r="A19" s="4" t="inlineStr">
        <is>
          <t>D18</t>
        </is>
      </c>
      <c r="B19" s="4" t="inlineStr">
        <is>
          <t>Parametry KM w jednostkach SI (g -&gt; m/s^2; TOPS jako wyjątek z uzasadnieniem)</t>
        </is>
      </c>
      <c r="C19" s="4" t="inlineStr">
        <is>
          <t>Zatwierdzona (zasada użytkownika).</t>
        </is>
      </c>
      <c r="D19" s="5" t="inlineStr">
        <is>
          <t>ZATWIERDZONA</t>
        </is>
      </c>
      <c r="E19" s="4" t="inlineStr">
        <is>
          <t>Właściciel</t>
        </is>
      </c>
      <c r="F19" s="4" t="inlineStr">
        <is>
          <t>K3-14..22</t>
        </is>
      </c>
    </row>
    <row r="20">
      <c r="A20" s="4" t="inlineStr">
        <is>
          <t>D19</t>
        </is>
      </c>
      <c r="B20" s="4" t="inlineStr">
        <is>
          <t>Kordos i Chrzanowski: wynagrodzenie w kosztach pośrednich; oświadczenie, że nie pełnią funkcji zarządczych na PRz</t>
        </is>
      </c>
      <c r="C20" s="4" t="inlineStr">
        <is>
          <t>Zatwierdzona. Biografia Chrzanowskiego: funkcje "koordynatora wydziałowego" opisać jako przeszłe.</t>
        </is>
      </c>
      <c r="D20" s="5" t="inlineStr">
        <is>
          <t>ZATWIERDZONA</t>
        </is>
      </c>
      <c r="E20" s="4" t="inlineStr">
        <is>
          <t>Właściciel</t>
        </is>
      </c>
      <c r="F20" s="4" t="inlineStr">
        <is>
          <t>K3-33, K5-08, K5-09</t>
        </is>
      </c>
    </row>
    <row r="21">
      <c r="A21" s="4" t="inlineStr">
        <is>
          <t>D20</t>
        </is>
      </c>
      <c r="B21" s="4" t="inlineStr">
        <is>
          <t>Źródła rynkowe (liczba naczep, liczba firm)</t>
        </is>
      </c>
      <c r="C21" s="4" t="inlineStr">
        <is>
          <t>ZAMKNIĘTE (06.10.2026): źródła są w pliku CargoDT_LSI_do_wklejenia.docx: Eurostat road_eqs_semit 2023 (544,97 tys. naczep), GITD (43 280 licencji, 07.2026), PZPM (72%), Frost &amp; Sullivan (86%), TLP/SpotData (76 tys. firm), GUS (12 tys. spedytorów). SAM 200 tys. ma wyliczenie (ok. 337 tys. naczep, przyjęto 200 tys.). Zostaje do poprawy zdanie o CEE (N91).</t>
        </is>
      </c>
      <c r="D21" s="7" t="inlineStr">
        <is>
          <t>ZAMKNIĘTE</t>
        </is>
      </c>
      <c r="E21" s="4" t="inlineStr">
        <is>
          <t>Claude + właściciel</t>
        </is>
      </c>
      <c r="F21" s="4" t="inlineStr">
        <is>
          <t>K2-05, K2-11, K1-05</t>
        </is>
      </c>
    </row>
    <row r="22">
      <c r="A22" s="2" t="inlineStr">
        <is>
          <t>D21</t>
        </is>
      </c>
      <c r="B22" s="2" t="inlineStr">
        <is>
          <t>K3-05: drugi anotator próby κ</t>
        </is>
      </c>
      <c r="C22" s="2" t="inlineStr">
        <is>
          <t>ZASTĄPIONA (06.10.2026): rozbieżności między anotatorami rozstrzyga AI Senior Engineer (autor specyfikacji anotacji) według binarnych kryteriów taksonomii z Z3; specjalista TSL dostarcza tylko protokoły inspekcji (zgodnie z plikiem LSI i uwagą K3-11). Wcześniejsza wersja: konsensus ze specjalistą TSL. Trzech anotatorów Everest11; PRz tylko odbiera dataset (zakaz wzajemnego zlecania zadań, Instrukcja i Przewodnik).</t>
        </is>
      </c>
      <c r="D22" s="12" t="inlineStr">
        <is>
          <t>ZASTĄPIONA (do potwierdzenia przez właścicielkę)</t>
        </is>
      </c>
      <c r="E22" s="2" t="inlineStr">
        <is>
          <t>Właściciel</t>
        </is>
      </c>
      <c r="F22" s="2" t="inlineStr">
        <is>
          <t>K3-05</t>
        </is>
      </c>
    </row>
    <row r="23">
      <c r="A23" s="2" t="inlineStr">
        <is>
          <t>D22</t>
        </is>
      </c>
      <c r="B23" s="2" t="inlineStr">
        <is>
          <t>Spójność mAP z AUC</t>
        </is>
      </c>
      <c r="C23" s="2" t="inlineStr">
        <is>
          <t>KM-Z9: mAP po kompresji ≥ 0,72 (0,75 minus 3 pp); wskaźnik innowacyjności 0,75 dotyczy FP32.</t>
        </is>
      </c>
      <c r="D23" s="12" t="inlineStr">
        <is>
          <t>DO POTWIERDZENIA</t>
        </is>
      </c>
      <c r="E23" s="2" t="inlineStr">
        <is>
          <t>Właściciel + dział techniczny</t>
        </is>
      </c>
      <c r="F23" s="2" t="inlineStr">
        <is>
          <t>K3-15, K3-19</t>
        </is>
      </c>
    </row>
    <row r="24">
      <c r="A24" s="2" t="inlineStr">
        <is>
          <t>D23</t>
        </is>
      </c>
      <c r="B24" s="2" t="inlineStr">
        <is>
          <t>Jeden KM na zadanie</t>
        </is>
      </c>
      <c r="C24" s="2" t="inlineStr">
        <is>
          <t>Punkt kontrolny M10 jest elementem KM-Z3 (bez KM-Z3b).</t>
        </is>
      </c>
      <c r="D24" s="13" t="inlineStr">
        <is>
          <t>ZATWIERDZONA</t>
        </is>
      </c>
      <c r="E24" s="2" t="inlineStr">
        <is>
          <t>Claude</t>
        </is>
      </c>
      <c r="F24" s="2" t="inlineStr">
        <is>
          <t>K3-22</t>
        </is>
      </c>
    </row>
    <row r="25">
      <c r="A25" s="2" t="inlineStr">
        <is>
          <t>D24</t>
        </is>
      </c>
      <c r="B25" s="2" t="inlineStr">
        <is>
          <t>Zakres B+R w Z6: integracje (API TMS, Trans.eu, TimoCom, e-CMR) zostają jako czynności techniczne i pomocnicze w środowisku testowym, w zakresie niezbędnym do testów i walidacji</t>
        </is>
      </c>
      <c r="C25" s="2" t="inlineStr">
        <is>
          <t>Zmiana po uwadze właściciela: Przewodnik (3.3.1) zalicza do personelu projektu także pracowników technicznych i pomocniczych, a Kryteria wykluczają prace rutynowe „niezwiązane” z B+R; ekspert (uwaga 38) dopuszcza je w zakresie niezbędnym do testowania i walidacji prototypu. Poza zakresem: wdrożenie produkcyjne, produkcyjny dashboard, utrzymanie. Wykonują IT Specialist (API, integracje testowe) i Backend (wsparcie, potok, test eFTI). Nakład do uzasadnienia proporcją względem prac badawczych w Z6.</t>
        </is>
      </c>
      <c r="D25" s="16" t="inlineStr">
        <is>
          <t>ZATWIERDZONA</t>
        </is>
      </c>
      <c r="E25" s="2" t="inlineStr">
        <is>
          <t>Właściciel</t>
        </is>
      </c>
      <c r="F25" s="2" t="inlineStr">
        <is>
          <t>K3-08</t>
        </is>
      </c>
    </row>
    <row r="26">
      <c r="A26" s="2" t="inlineStr">
        <is>
          <t>D25</t>
        </is>
      </c>
      <c r="B26" s="2" t="inlineStr">
        <is>
          <t>Niezależność Z9</t>
        </is>
      </c>
      <c r="C26" s="2" t="inlineStr">
        <is>
          <t>Ścieżka audytu zastępuje decyzję "PRz ocenia Z9" (kolizja z zasadą jednego konsorcjanta).</t>
        </is>
      </c>
      <c r="D26" s="13" t="inlineStr">
        <is>
          <t>ZATWIERDZONA</t>
        </is>
      </c>
      <c r="E26" s="2" t="inlineStr">
        <is>
          <t>Właściciel</t>
        </is>
      </c>
      <c r="F26" s="2" t="inlineStr">
        <is>
          <t>K3-11, K3-12</t>
        </is>
      </c>
    </row>
    <row r="27">
      <c r="A27" s="2" t="inlineStr">
        <is>
          <t>D26</t>
        </is>
      </c>
      <c r="B27" s="2" t="inlineStr">
        <is>
          <t>Progi no-go i wartości do potwierdzenia</t>
        </is>
      </c>
      <c r="C27" s="2" t="inlineStr">
        <is>
          <t>61 wartości liczbowych w dokumencie Poprawki_do_wklejenia_WP01-WP03.docx (podświetlone) do potwierdzenia przez zespół techniczny przed wklejeniem. Odwołuje się do Rady Konsorcjum z § 9 umowy konsorcjum (D27).</t>
        </is>
      </c>
      <c r="D27" s="14" t="inlineStr">
        <is>
          <t>OTWARTA*</t>
        </is>
      </c>
      <c r="E27" s="2" t="inlineStr">
        <is>
          <t>Dział techniczny</t>
        </is>
      </c>
      <c r="F27" s="2" t="inlineStr">
        <is>
          <t>K3-14..32</t>
        </is>
      </c>
    </row>
    <row r="28">
      <c r="A28" s="2" t="inlineStr">
        <is>
          <t>D27</t>
        </is>
      </c>
      <c r="B28" s="2" t="inlineStr">
        <is>
          <t>Rada Konsorcjum (§ 9 umowy konsorcjum) jako organ oceniający kamienie i rekomendujący go/no-go</t>
        </is>
      </c>
      <c r="C28" s="2" t="inlineStr">
        <is>
          <t>Opisy KM i ryzyk odwołują się do Rady Konsorcjum z § 9 umowy konsorcjum: po jednym przedstawicielu każdego członka, przewodniczy kierownik zarządzający Maciej Chrzanowski, posiedzenia co najmniej raz na 6 miesięcy, protokoły, ocena merytoryczna i formalna realizacji zadań na wniosek kierownika zarządzającego, rekomendowanie zmian w harmonogramie i wniosku. Rada jest organem doradczym, więc decyzję o zmianie zakresu podejmuje kierownik zarządzający, a zmiany w harmonogramie zgłasza do instytucji. We wniosku stosujemy wyłącznie nazwę „kierownik zarządzający” (wymóg konkursu); nazwa „Kierownik Projektu” z umowy konsorcjum nie pojawia się. Skład osobowy Rady zostanie ustalony po otrzymaniu dofinansowania i nie jest wpisywany do wniosku.</t>
        </is>
      </c>
      <c r="D28" s="11" t="inlineStr">
        <is>
          <t>ZATWIERDZONA</t>
        </is>
      </c>
      <c r="E28" s="2" t="inlineStr">
        <is>
          <t>Właściciel</t>
        </is>
      </c>
      <c r="F28" s="2" t="inlineStr">
        <is>
          <t>K5-05, K3-21</t>
        </is>
      </c>
    </row>
    <row r="29">
      <c r="A29" s="2" t="inlineStr">
        <is>
          <t>D28</t>
        </is>
      </c>
      <c r="B29" s="2" t="inlineStr">
        <is>
          <t>Niezależna weryfikacja KM zadań PRz przez AI Lead Everest11 (przeliczenie metryk na zamrożonym zbiorze)</t>
        </is>
      </c>
      <c r="C29" s="2" t="inlineStr">
        <is>
          <t>Sposób zapewnienia niezależnego nadzoru nad zadaniami PRz, skoro obaj kierownicy są pracownikami PRz (K5-09). Wpisane w polu weryfikacji KM-Z1, Z3, Z4, Z5, Z7, Z8.</t>
        </is>
      </c>
      <c r="D29" s="11" t="inlineStr">
        <is>
          <t>DO POTWIERDZENIA</t>
        </is>
      </c>
      <c r="E29" s="2" t="inlineStr">
        <is>
          <t>Właściciel</t>
        </is>
      </c>
      <c r="F29" s="2" t="inlineStr">
        <is>
          <t>K5-09, K3-12</t>
        </is>
      </c>
    </row>
    <row r="30">
      <c r="A30" s="2" t="inlineStr">
        <is>
          <t>D29</t>
        </is>
      </c>
      <c r="B30" s="2" t="inlineStr">
        <is>
          <t>Podział etatów 6 stanowisk Everest11 między Z6, Z7 i Z9</t>
        </is>
      </c>
      <c r="C30" s="2" t="inlineStr">
        <is>
          <t>Wariant właściciela: M19-M21 40% Z6 i 60% Z7 (wszyscy); M22-M27 po 1/3 (AI Lead, AI Senior, IT) oraz 20/40/40 (IoT, cyber) i 20/30/50 (TSL) w Z6/Z7/Z9; M28-M30 100% Z9. Koszt łączny bez zmian. Nowe koszty personelu Everest11 z Backendem (Z6 195 210 zł, Z9 65 070 zł): Z6 434 041,00 zł, Z7 308 871,62 zł, Z9 477 149,88 zł; razem 1 220 062,50 zł. Dofinansowanie bez zmian (60%). Wymaga potwierdzenia przez zespół techniczny i wpisania udziałów w zakresy czynności.</t>
        </is>
      </c>
      <c r="D30" s="11" t="inlineStr">
        <is>
          <t>DO POTWIERDZENIA</t>
        </is>
      </c>
      <c r="E30" s="2" t="inlineStr">
        <is>
          <t>Claude + właściciel</t>
        </is>
      </c>
      <c r="F30" s="2" t="inlineStr">
        <is>
          <t>K3-36, K3-37</t>
        </is>
      </c>
    </row>
    <row r="31">
      <c r="A31" s="2" t="inlineStr">
        <is>
          <t>D30</t>
        </is>
      </c>
      <c r="B31" s="2" t="inlineStr">
        <is>
          <t>Dokumentacja AI Act, RODO i patentowa poza kosztami B+R w Z2, Z6, Z9; patent tylko w Z11</t>
        </is>
      </c>
      <c r="C31" s="2" t="inlineStr">
        <is>
          <t>Dostosować 6.1 (Kosterna: dokumentacja patentowa; Hajduk: ocena trafności alertów) do opisów zadań.</t>
        </is>
      </c>
      <c r="D31" s="11" t="inlineStr">
        <is>
          <t>DO POTWIERDZENIA</t>
        </is>
      </c>
      <c r="E31" s="2" t="inlineStr">
        <is>
          <t>Właściciel</t>
        </is>
      </c>
      <c r="F31" s="2" t="inlineStr">
        <is>
          <t>K3-38, K3-40, K3-11, K3-66</t>
        </is>
      </c>
    </row>
    <row r="32">
      <c r="A32" s="2" t="inlineStr">
        <is>
          <t>D31</t>
        </is>
      </c>
      <c r="B32" s="2" t="inlineStr">
        <is>
          <t>Nazwa zadania Z6 zmieniona na „Pipeline PoL/PoC i zgodność z eFTI (Z6)”</t>
        </is>
      </c>
      <c r="C32" s="2" t="inlineStr">
        <is>
          <t>Nazwa obejmuje integracje, które opis Z6 wyłącza z prac B+R. Rekomendacja: zmiana nazwy na „Pipeline PoL/PoC i zgodność z eFTI (Z6)”. Nazwa wpisywana jest raz w 3.1.1 i pobierana automatycznie przez pozycje kosztowe, więc zmiana jest jednorazowa (do sprawdzenia w LSI).</t>
        </is>
      </c>
      <c r="D32" s="16" t="inlineStr">
        <is>
          <t>ZATWIERDZONA</t>
        </is>
      </c>
      <c r="E32" s="2" t="inlineStr">
        <is>
          <t>Właściciel</t>
        </is>
      </c>
      <c r="F32" s="2" t="inlineStr">
        <is>
          <t>K3-08, N01</t>
        </is>
      </c>
    </row>
    <row r="33">
      <c r="A33" s="2" t="inlineStr">
        <is>
          <t>D32</t>
        </is>
      </c>
      <c r="B33" s="2" t="inlineStr">
        <is>
          <t>Tytuł „AI Senior Engineer” zostaje, stawka 16 500 zł (pasmo Mid) z wyjaśnieniem</t>
        </is>
      </c>
      <c r="C33" s="2" t="inlineStr">
        <is>
          <t>Decyzja właściciela: tytuł zostaje; w metodzie szacowania wyjaśnienie, że stawka została wynegocjowana przy podpisaniu umowy warunkowej z 08.06.2026 i mieści się w widełkach Mid. Wszystkie osoby Everest11 nie są pracownikami Everest11 i podpisały umowy warunkowe 08.06.2026 (warunek: dofinansowanie).</t>
        </is>
      </c>
      <c r="D33" s="16" t="inlineStr">
        <is>
          <t>ZATWIERDZONA</t>
        </is>
      </c>
      <c r="E33" s="2" t="inlineStr">
        <is>
          <t>Właściciel</t>
        </is>
      </c>
      <c r="F33" s="2" t="inlineStr">
        <is>
          <t>K3-35, K5-10</t>
        </is>
      </c>
    </row>
    <row r="34">
      <c r="A34" s="2" t="inlineStr">
        <is>
          <t>D33</t>
        </is>
      </c>
      <c r="B34" s="2" t="inlineStr">
        <is>
          <t>Wskaźniki innowacyjności 1.2 i 1.4: nowy zestaw (W1-W5, I1-I3) i usunięcie fill rate</t>
        </is>
      </c>
      <c r="C34" s="2" t="inlineStr">
        <is>
          <t>Bazy: detektor progowy (AUC, D16), ogólny detektor (mAP), 0 Hz w ruchu (model 3D), brak alertu lokalnego; PoC tylko czas, eFTI osobno w 1.4; „liczba warstw ICT” zastąpiona liczbą funkcji AI lokalnie; cena jako roczny koszt posiadania z bazą z ofert; fill rate usunięty. Wartości zakładane: AUC bazy ≤0,70, mAP bazy ≤0,40, błąd względny 0,03/0,05 m.</t>
        </is>
      </c>
      <c r="D34" s="16" t="inlineStr">
        <is>
          <t>DO POTWIERDZENIA</t>
        </is>
      </c>
      <c r="E34" s="2" t="inlineStr">
        <is>
          <t>Właściciel</t>
        </is>
      </c>
      <c r="F34" s="2" t="inlineStr">
        <is>
          <t>K1-01 do K1-06, K3-48</t>
        </is>
      </c>
    </row>
    <row r="35">
      <c r="A35" s="2" t="inlineStr">
        <is>
          <t>D34</t>
        </is>
      </c>
      <c r="B35" s="2" t="inlineStr">
        <is>
          <t>Pkt 1.3 i ceny: nowa podstawa rynku i opis wartości dla klienta</t>
        </is>
      </c>
      <c r="C35" s="2" t="inlineStr">
        <is>
          <t>TAM 544,97 tys. naczep (Eurostat 2023), SAM 200 000 jako założenie z metodą do uzupełnienia, prognoza tylko dla Polski. eFTI opisane jako obowiązek organów i dobrowolne dla przewoźników. Wartość CMR przeliczona kursem SDR NBP 5,0954 (04.09.2026): 8 489-21 222 PLN. Usunięte: ROI dodatni od 1. roku, 5 500 PLN, 43% pustych, 5 mln USD. Flota odniesienia 10 naczep (12 168 PLN w 1. roku, 4 668 PLN potem).</t>
        </is>
      </c>
      <c r="D35" s="16" t="inlineStr">
        <is>
          <t>DO POTWIERDZENIA</t>
        </is>
      </c>
      <c r="E35" s="2" t="inlineStr">
        <is>
          <t>Właściciel</t>
        </is>
      </c>
      <c r="F35" s="2" t="inlineStr">
        <is>
          <t>K2-05, K2-06, K2-11, K2-14, K2-15, K2-17</t>
        </is>
      </c>
    </row>
    <row r="36">
      <c r="A36" s="2" t="inlineStr">
        <is>
          <t>D35</t>
        </is>
      </c>
      <c r="B36" s="2" t="inlineStr">
        <is>
          <t>Wdrożenie na 50 pojazdach u klientów zewnętrznych, bez floty własnej Everest11 w liczbie wdrożeń</t>
        </is>
      </c>
      <c r="C36" s="2" t="inlineStr">
        <is>
          <t>Decyzja właściciela: wdrożenie opisane jako 50 pojazdów w sumie (trzej operatorzy z listami intencyjnymi na łącznie 50 naczep, ponownie podpisanymi). Model finansowy bez zmian liczbowych. Usuwa pytanie o pochodzenie 20 naczep (K2-01). Flota testowa Z9 (D10, min. 3 pojazdy) jest odrębna. Zmiany: 1.3, 2.1 Etap 1, komentarz w modelu.</t>
        </is>
      </c>
      <c r="D36" s="16" t="inlineStr">
        <is>
          <t>ZATWIERDZONA</t>
        </is>
      </c>
      <c r="E36" s="2" t="inlineStr">
        <is>
          <t>Właściciel</t>
        </is>
      </c>
      <c r="F36" s="2" t="inlineStr">
        <is>
          <t>K2-01, K6</t>
        </is>
      </c>
    </row>
    <row r="37">
      <c r="A37" s="2" t="inlineStr">
        <is>
          <t>D36</t>
        </is>
      </c>
      <c r="B37" s="2" t="inlineStr">
        <is>
          <t>Prawa PRz w chwili wdrożenia (K2-02): mechanizm z § 11 umowy konsorcjum, bez zmian w umowie</t>
        </is>
      </c>
      <c r="C37" s="2" t="inlineStr">
        <is>
          <t>Umowa konsorcjum (§ 11 ust. 7-11): prawo pierwszeństwa Lidera do przeniesienia praw PRz, oświadczenie w ciągu 120 dni od wyników i końca projektu (do 28.08.2029), wycena niezależnego eksperta nadzorowana przez Radę, 7 dni na zastrzeżenia PRz, drugi ekspert i średnia przy sporze. Umowa nie narzuca terminu przeniesienia. We wniosku plan: przeniesienie do 30.11.2029 i zapis, że do czasu przeniesienia Everest11 nie sprzedaje produktu opartego na wynikach PRz. Wariant A (zmiana umowy) i B (licencja) odrzucone.</t>
        </is>
      </c>
      <c r="D37" s="16" t="inlineStr">
        <is>
          <t>ZATWIERDZONA (harmonogram do potwierdzenia z PRz)</t>
        </is>
      </c>
      <c r="E37" s="2" t="inlineStr">
        <is>
          <t>Właściciel</t>
        </is>
      </c>
      <c r="F37" s="2" t="inlineStr">
        <is>
          <t>K2-02</t>
        </is>
      </c>
    </row>
    <row r="38">
      <c r="A38" s="2" t="inlineStr">
        <is>
          <t>D37</t>
        </is>
      </c>
      <c r="B38" s="2" t="inlineStr">
        <is>
          <t>Sekcja 6.1: statusy i dostępność zespołu (K5-01, K5-08, K5-09)</t>
        </is>
      </c>
      <c r="C38" s="2" t="inlineStr">
        <is>
          <t>Założenia (do potwierdzenia przez właścicielkę): Kordos, Chrzanowski i Retajczyk na umowie zlecenia z Everest11 (0,4 etatu, 67 h), pozostałe osoby Everest11 na umowie o pracę (warunkowe z 08.06.2026); start 01.11.2026; godziny przy 168 h na etat; Kordos i Chrzanowski mają etat w PRz (razem 235 h), Hajduk etat w Natanek Logistics (252 h), Kosterna 269 h i Wojdat 210 h do 28.02.2027; Natanek Logistics jest partnerem testowym, nie podwykonawcą; funkcja koordynatora wydziałowego Chrzanowskiego zakończona w 2022 r.</t>
        </is>
      </c>
      <c r="D38" s="16" t="inlineStr">
        <is>
          <t>DO POTWIERDZENIA</t>
        </is>
      </c>
      <c r="E38" s="2" t="inlineStr">
        <is>
          <t>Właścicielka</t>
        </is>
      </c>
      <c r="F38" s="2" t="inlineStr">
        <is>
          <t>K5-01, K5-07, K5-08, K5-09</t>
        </is>
      </c>
    </row>
    <row r="39">
      <c r="A39" s="2" t="inlineStr">
        <is>
          <t>D38</t>
        </is>
      </c>
      <c r="B39" s="2" t="inlineStr">
        <is>
          <t>6R: wariant B (reduce) z dwoma wskaźnikami mierzonymi w trakcie projektu</t>
        </is>
      </c>
      <c r="C39" s="2" t="inlineStr">
        <is>
          <t>Zasada reduce, wskaźnik 1: papier, 500 stron A4 do nie więcej niż 50 w 250 kursach testowych (Z6 50 cykli, Z9 200); wskaźnik 2: dane do chmury, 100% do nie więcej niż 5% surowego strumienia (Z7, Z9). Wypełnienie naczep 65% do 80% usunięte. Rozwija D17. Rola PRz: dobór lekkich architektur Z3 i Z8 i niezależne przeliczenie wolumenu.</t>
        </is>
      </c>
      <c r="D39" s="16" t="inlineStr">
        <is>
          <t>DO POTWIERDZENIA</t>
        </is>
      </c>
      <c r="E39" s="2" t="inlineStr">
        <is>
          <t>Właścicielka, dział techniczny</t>
        </is>
      </c>
      <c r="F39" s="2" t="inlineStr">
        <is>
          <t>K13-01..06</t>
        </is>
      </c>
    </row>
    <row r="40">
      <c r="A40" s="2" t="inlineStr">
        <is>
          <t>D39</t>
        </is>
      </c>
      <c r="B40" s="2" t="inlineStr">
        <is>
          <t>Zestaw CargoDT w tabeli dostępności: pozytywny, nie neutralny</t>
        </is>
      </c>
      <c r="C40" s="2" t="inlineStr">
        <is>
          <t>Kierowca jest użytkownikiem (panel HMI i buzzer 100 dB, alert w 3 poziomach), więc neutralność nie spełnia definicji z Instrukcji. API i aparatura badawcza pozostają neutralne.</t>
        </is>
      </c>
      <c r="D40" s="16" t="inlineStr">
        <is>
          <t>ZATWIERDZONA (propozycja, brak sprzeciwu)</t>
        </is>
      </c>
      <c r="E40" s="2" t="inlineStr">
        <is>
          <t>Właścicielka</t>
        </is>
      </c>
      <c r="F40" s="2" t="inlineStr">
        <is>
          <t>K10-05</t>
        </is>
      </c>
    </row>
    <row r="41">
      <c r="A41" s="2" t="inlineStr">
        <is>
          <t>D40</t>
        </is>
      </c>
      <c r="B41" s="2" t="inlineStr">
        <is>
          <t>Wskaźnik przychodów poza RP (FENGR-001): 0 zł w 2030 r.</t>
        </is>
      </c>
      <c r="C41" s="2" t="inlineStr">
        <is>
          <t>Wartość 0 zł w 2030 r. (pierwszy rok sprzedaży tylko w Polsce, brak licencji za granicą); pierwsze przychody poza RP wg modelu od 2032-2033. Model bez zmian. Zatwierdzona przez właścicielkę 02.10.2026.</t>
        </is>
      </c>
      <c r="D41" s="16" t="inlineStr">
        <is>
          <t>ZATWIERDZONA</t>
        </is>
      </c>
      <c r="E41" s="2" t="inlineStr">
        <is>
          <t>Właścicielka</t>
        </is>
      </c>
      <c r="F41" s="2" t="inlineStr">
        <is>
          <t>K14-01</t>
        </is>
      </c>
    </row>
    <row r="42">
      <c r="A42" s="2" t="inlineStr">
        <is>
          <t>D41</t>
        </is>
      </c>
      <c r="B42" s="2" t="inlineStr">
        <is>
          <t>Internacjonalizacja: przebudowa budżetu bez zmiany sumy i dofinansowania</t>
        </is>
      </c>
      <c r="C42" s="2" t="inlineStr">
        <is>
          <t>Suma kwalifikowalna 86 871,00 zł i dofinansowanie 43 435,50 zł bez zmian względem poprzedniej wersji (ogółem 101 273,37 zł zamiast 104 075,78 zł wyłącznie z powodu poprawy VAT: stawki podróży netto=brutto, tłumaczenia z VAT). TRANSLOG 23 919 zł wg cennika historycznego: powierzchnia 9 m² (285 EUR/m²) + opłata podstawowa 350 EUR = 13 735 zł (de minimis 5.3.8); energia 130 EUR, zabudowa 199 EUR/m², meble 240 EUR = 10 184 zł (art. 19, 5.3.2); kurs NBP 4,2836, waloryzacja ok. 10%. Doradztwo 14 dni x 8 h x 125 zł = 14 000 zł; rzecznik 8 000 zł (de minimis) + 15 500 zł (dokumentacja, zgłoszenie, tłumaczenia, art. 28); EPO 7 785 zł; element dekoracyjny stoiska 1 200 zł; podróże 3 x 5 489 zł. Zatwierdzona 02.10.2026.</t>
        </is>
      </c>
      <c r="D42" s="16" t="inlineStr">
        <is>
          <t>ZATWIERDZONA</t>
        </is>
      </c>
      <c r="E42" s="2" t="inlineStr">
        <is>
          <t>Właścicielka</t>
        </is>
      </c>
      <c r="F42" s="2" t="inlineStr">
        <is>
          <t>K3-24, K3-59..66</t>
        </is>
      </c>
    </row>
    <row r="43">
      <c r="A43" s="2" t="inlineStr">
        <is>
          <t>D42</t>
        </is>
      </c>
      <c r="B43" s="2" t="inlineStr">
        <is>
          <t>Amortyzacja: przesunięcia cen przy niezmienionej sumie (Everest11 57 100 zł, PRz 147 700 zł)</t>
        </is>
      </c>
      <c r="C43" s="2" t="inlineStr">
        <is>
          <t>PRz Z1: ToF typ 2 zestaw 10 000 zł, EO typ 2 4 500 zł, radar typ 2 3 500 zł (K3-50). Everest11 Z2: kamera ToF Orbbec Femto Bolt 2 100 zł + akcesoria 400 zł (zamiast OAK-D Pro W, active stereo); platforma edge AI: jednostka 1 400 zł, dysk 400 zł, router 1 200 zł za komplet 3 000 zł (zamiast 500/1 000/1 500). Odpis jednorazowy, likwidacja po M30 (D01).</t>
        </is>
      </c>
      <c r="D43" s="16" t="inlineStr">
        <is>
          <t>DO POTWIERDZENIA</t>
        </is>
      </c>
      <c r="E43" s="2" t="inlineStr">
        <is>
          <t>Właścicielka, dział techniczny</t>
        </is>
      </c>
      <c r="F43" s="2" t="inlineStr">
        <is>
          <t>K3-48..58</t>
        </is>
      </c>
    </row>
    <row r="44">
      <c r="A44" s="2" t="inlineStr">
        <is>
          <t>D43</t>
        </is>
      </c>
      <c r="B44" s="2" t="inlineStr">
        <is>
          <t>PRz Z8: godziny obniżone do stawek z Z1-Z5, budżet bez zmian</t>
        </is>
      </c>
      <c r="C44" s="2" t="inlineStr">
        <is>
          <t>Decyzja właścicielki: stawki godzinowe w Z8 mają być takie same jak w Z1, Z3, Z4, Z5 (x1,08 względem dotychczasowych liczb w Z8), a godziny są obniżone (np. główny specjalista 301 zamiast 325). Godziny Z8: 301, 301, 111, 102, 224, 185, 189, 185; suma Z8 113 076,00 zł (było 113 084,00); suma pozycji osobowych PRz 679 464,72 zł (było 679 472,72). Z1, Z3, Z4, Z5 bez zmian (zgodne z plikiem PRz).</t>
        </is>
      </c>
      <c r="D44" s="16" t="inlineStr">
        <is>
          <t>ZATWIERDZONA (właścicielka)</t>
        </is>
      </c>
      <c r="E44" s="2" t="inlineStr">
        <is>
          <t>Właścicielka, PRz</t>
        </is>
      </c>
      <c r="F44" s="2" t="inlineStr">
        <is>
          <t>K3-41, K3-42</t>
        </is>
      </c>
    </row>
    <row r="45">
      <c r="A45" s="2" t="inlineStr">
        <is>
          <t>D44</t>
        </is>
      </c>
      <c r="B45" s="2" t="inlineStr">
        <is>
          <t>Podwykonawstwo Z2/Z9: średnia z 3 ofert, rozdział zakresu, R8</t>
        </is>
      </c>
      <c r="C45" s="2" t="inlineStr">
        <is>
          <t>Z2 150 000 zł: montaż toru (M7-M8) i demontaż po kampanii (M18), 600 godz. x 250 zł (50 000 zł za pojazd). Z9 70 000 zł: montaż zestawów prototypowych (M22) i demontaż (M30), ok. 280 godz. x 250 zł (ok. 23 333 zł za pojazd). Kwoty to średnia 3 ofert (Cadway-Automotive, RLE VESOFTX, BEISSBARTH EQUIPMENT); rozkład godzin to kalkulacja Everest11 dobrana do ofert. Stawka 250 zł/h w zakresie 200-300 zł (kb.pl, Interia, cenauslug.pl; do sprawdzenia w przeglądarce). Wybór wykonawcy z zachowaniem zasady konkurencyjności. Nazwa Z9 wg N29. R8 przepisane. WERSJA OSTATECZNA: plik Sekcja_3.1_podwykonawstwo_i_stawki_PRz.docx z poprawkami właścicielki (usunięto zdanie „Podwykonawca nie wykona prac badawczych”, atrybucję godzin do IoT Specialist i odwołanie do pkt 6.4 w wyborze wykonawcy).</t>
        </is>
      </c>
      <c r="D45" s="16" t="inlineStr">
        <is>
          <t>ZATWIERDZONA (D08), szczegóły do potwierdzenia T37</t>
        </is>
      </c>
      <c r="E45" s="2" t="inlineStr">
        <is>
          <t>Właścicielka</t>
        </is>
      </c>
      <c r="F45" s="2" t="inlineStr">
        <is>
          <t>K3-43..47, K5-19</t>
        </is>
      </c>
    </row>
    <row r="46">
      <c r="A46" s="2" t="inlineStr">
        <is>
          <t>D45</t>
        </is>
      </c>
      <c r="B46" s="2" t="inlineStr">
        <is>
          <t>K6-07: dane za II kwartał 2026 w modelu Everest11 i prognoza dotychczasowej działalności z I półrocza x 2</t>
        </is>
      </c>
      <c r="C46" s="2" t="inlineStr">
        <is>
          <t>Do modelu wpisane: data sprawozdania 30.06.2026 (Założenia C14), bilans i RZiS (Sprawozdania finansowe, kol. F) oraz prognoza dotychczasowej działalności z wyniku I półrocza razy 2 (Przychody w. 27: 19 526,84; Koszty w. 15, 24, 43, 65). Wpływ: zysk netto łącznie 2026 996 -&gt; 962 tys. zł, środki na koniec 2026 2 648 -&gt; 2 564 tys. zł, wskaźniki bez istotnych zmian, opłacalność bez zmian. Dwie komórki (F82, F195) z zaokrągleniem o 0,11 i 0,02 tys. zł, by bilans się zgadzał.</t>
        </is>
      </c>
      <c r="D46" s="16" t="inlineStr">
        <is>
          <t>DO POTWIERDZENIA</t>
        </is>
      </c>
      <c r="E46" s="2" t="inlineStr">
        <is>
          <t>Właścicielka</t>
        </is>
      </c>
      <c r="F46" s="2" t="inlineStr">
        <is>
          <t>K6-07, K6-06, K6-09</t>
        </is>
      </c>
    </row>
    <row r="47">
      <c r="A47" s="2" t="inlineStr">
        <is>
          <t>D46</t>
        </is>
      </c>
      <c r="B47" s="2" t="inlineStr">
        <is>
          <t>Rotacje dotychczasowej działalności: poziom z I półrocza 2026 (należności 37 dni, zobowiązania 29 dni) zamiast średniej 2023-2025</t>
        </is>
      </c>
      <c r="C47" s="2" t="inlineStr">
        <is>
          <t>Model: średnia 2023-2025 (96-133 dni). Rzeczywiste: 59 dni (31.03.2026), 29 dni (30.06.2026). Wrażliwość: przy 60 dniach środki na koniec 2026 760 tys. zł, przy 29 dniach -793 tys. zł. Rekomendacja: wariant A i wyjaśnienie księgowej (T40), albo wariant B (60 dni).</t>
        </is>
      </c>
      <c r="D47" s="16" t="inlineStr">
        <is>
          <t>WPROWADZONA W MODELU (do potwierdzenia przez właścicielkę)</t>
        </is>
      </c>
      <c r="E47" s="2" t="inlineStr">
        <is>
          <t>Właścicielka, księgowa</t>
        </is>
      </c>
      <c r="F47" s="2" t="inlineStr">
        <is>
          <t>K6-04, K6-08</t>
        </is>
      </c>
    </row>
    <row r="48">
      <c r="A48" s="2" t="inlineStr">
        <is>
          <t>D47</t>
        </is>
      </c>
      <c r="B48" s="2" t="inlineStr">
        <is>
          <t>Zakupy od Natanek Logistics (ok. 95% usług obcych) opisujemy wprost; Natanek Logistics nie jest „niezależnym klientem”</t>
        </is>
      </c>
      <c r="C48" s="2" t="inlineStr">
        <is>
          <t>Decyzja właścicielki 05.10.2026: piszemy wprost o skali (ok. 13,4 mln zł w 2025, ok. 8,4 mln zł w I półroczu 2026). Zmiany: ryzyko R12 (Opisy zadań, Poprawki), opis Z9 (niezależność walidacji), pkt 1.3 (Natanek Logistics powiązany z Inwestorem), komentarz Sprawozdania w modelu.</t>
        </is>
      </c>
      <c r="D48" s="16" t="inlineStr">
        <is>
          <t>ZATWIERDZONA</t>
        </is>
      </c>
      <c r="E48" s="2" t="inlineStr">
        <is>
          <t>Właścicielka</t>
        </is>
      </c>
      <c r="F48" s="2" t="inlineStr">
        <is>
          <t>K3-32, K3-11, K6-16</t>
        </is>
      </c>
    </row>
    <row r="49">
      <c r="A49" s="2" t="inlineStr">
        <is>
          <t>D48</t>
        </is>
      </c>
      <c r="B49" s="2" t="inlineStr">
        <is>
          <t>Dotychczasowa działalność: jeden odbiorca (Amazon, umowa); usunięte „ponad 50 aktywnych kontrahentów”</t>
        </is>
      </c>
      <c r="C49" s="2" t="inlineStr">
        <is>
          <t>Decyzja właścicielki 05.10.2026: Amazon to jedyny aktywny odbiorca w 2026 (95% w 2025, 5% Nara Motors). Usunięte sformułowania o bazie 50+ w pkt 1.3 (3 miejsca), komentarzach modelu (Przychody, Koszty, Opłacalność) i planie zastępczym R11. Kanał sprzedaży CargoDT: trzej operatorzy z LOI na 50 naczep, sprzedaż bezpośrednia, 15 rozmów (III-V 2026). ZMIANA 06.10.2026 (D59): baza „ponad 50 kontrahentów” zostaje we wniosku, ale bez słowa „aktywnych” i bez „bieżącej współpracy”.</t>
        </is>
      </c>
      <c r="D49" s="16" t="inlineStr">
        <is>
          <t>ZATWIERDZONA</t>
        </is>
      </c>
      <c r="E49" s="2" t="inlineStr">
        <is>
          <t>Właścicielka</t>
        </is>
      </c>
      <c r="F49" s="2" t="inlineStr">
        <is>
          <t>K2-01, K2-16, K6-05</t>
        </is>
      </c>
    </row>
    <row r="50">
      <c r="A50" s="2" t="inlineStr">
        <is>
          <t>D49</t>
        </is>
      </c>
      <c r="B50" s="2" t="inlineStr">
        <is>
          <t>K6-12: struktura udziałów po dokapitalizowaniu</t>
        </is>
      </c>
      <c r="C50" s="2" t="inlineStr">
        <is>
          <t>Jedyny wspólnik: Wojciech Chrzanowski (KRS: wpis 02.06.2025, 100 udziałów, 5 000 zł). Po przyznaniu dofinansowania wycena spółki, Z. Natanek obejmie udziały zgodnie z wyceną, nie więcej niż 20%. Przy wkładzie 1 253 358 zł 20% to wycena po podwyższeniu ok. 6,3 mln zł. Komentarz w arkuszu Finansowanie.</t>
        </is>
      </c>
      <c r="D50" s="16" t="inlineStr">
        <is>
          <t>ZATWIERDZONA</t>
        </is>
      </c>
      <c r="E50" s="2" t="inlineStr">
        <is>
          <t>Właścicielka</t>
        </is>
      </c>
      <c r="F50" s="2" t="inlineStr">
        <is>
          <t>K6-12</t>
        </is>
      </c>
    </row>
    <row r="51">
      <c r="A51" s="2" t="inlineStr">
        <is>
          <t>D50</t>
        </is>
      </c>
      <c r="B51" s="2" t="inlineStr">
        <is>
          <t>Zasada organizacyjna: korygujemy tylko model Everest11, dokument K6 i rejestr; pozostałe pliki są zamknięte</t>
        </is>
      </c>
      <c r="C51" s="2" t="inlineStr">
        <is>
          <t>Decyzja właścicielki 05.10.2026: Sekcja_1.3_i_ceny.docx, Poprawki_do_wklejenia_WP01-WP03.docx, Opisy_zadan_z_kamieniami_milowymi.docx nie są zmieniane. Wszystkie zmiany do nich opisuje odrębne zestawienie Zmiany_do_wprowadzenia_w_plikach_zamknietych.docx. Trzy pliki przywrócone do wersji sprzed zmian z 05.10.</t>
        </is>
      </c>
      <c r="D51" s="16" t="inlineStr">
        <is>
          <t>ZATWIERDZONA</t>
        </is>
      </c>
      <c r="E51" s="2" t="inlineStr">
        <is>
          <t>Właścicielka</t>
        </is>
      </c>
      <c r="F51" s="2" t="inlineStr">
        <is>
          <t>D47, D48, N83</t>
        </is>
      </c>
    </row>
    <row r="52">
      <c r="A52" s="2" t="inlineStr">
        <is>
          <t>D51</t>
        </is>
      </c>
      <c r="B52" s="2" t="inlineStr">
        <is>
          <t>K6-12: kapitał zakładowy rośnie tylko o wartość nominalną, wkład inwestora to głównie nadwyżka na kapitał zapasowy</t>
        </is>
      </c>
      <c r="C52" s="2" t="inlineStr">
        <is>
          <t>Zastępuje zdanie o wycenie 6,3 mln zł. Inwestor obejmuje wszystkie nowe udziały, dotychczasowy wspólnik niczego nie wnosi (25 udziałów po 50 zł = 1 250 zł nominalnie przy 20%). Wycena po przyznaniu dofinansowania określa liczbę udziałów i cenę emisyjną. Uwaga: przy wkładzie 1 253 358 zł i limicie 20% wycena po podwyższeniu musi wynieść co najmniej ok. 6,3 mln zł (przed ok. 5,0 mln zł).</t>
        </is>
      </c>
      <c r="D52" s="16" t="inlineStr">
        <is>
          <t>ZATWIERDZONA (tekst), ryzyko wyceny do świadomości właścicielki</t>
        </is>
      </c>
      <c r="E52" s="2" t="inlineStr">
        <is>
          <t>Właścicielka</t>
        </is>
      </c>
      <c r="F52" s="2" t="inlineStr">
        <is>
          <t>K6-12</t>
        </is>
      </c>
    </row>
    <row r="53">
      <c r="A53" s="2" t="inlineStr">
        <is>
          <t>D52</t>
        </is>
      </c>
      <c r="B53" s="2" t="inlineStr">
        <is>
          <t>K6-14: harmonogram płatności skorygowany (suma zaliczek 89,5% Everest11 i 89,63% konsorcjum)</t>
        </is>
      </c>
      <c r="C53" s="2" t="inlineStr">
        <is>
          <t>Wcześniejsza weryfikacja K6-14 była błędna (zaliczka liczona jako F razy H). Poprawnie suma zaliczek wynosiła 91,63% i 91,21% (limit 90%), refundacja końcowa 8,4% i 8,8%. Przesunięte 63 048,12 zł dofinansowania z II półrocza 2028 do II półrocza 2029 w obu arkuszach (Everest11 i Konsorcjum). Sumy bez zmian. Plik PRz ma 90,0% i 10,0%.</t>
        </is>
      </c>
      <c r="D53" s="16" t="inlineStr">
        <is>
          <t>WPROWADZONA W MODELU</t>
        </is>
      </c>
      <c r="E53" s="2" t="inlineStr">
        <is>
          <t>Claude</t>
        </is>
      </c>
      <c r="F53" s="2" t="inlineStr">
        <is>
          <t>K6-14</t>
        </is>
      </c>
    </row>
    <row r="54">
      <c r="A54" s="2" t="inlineStr">
        <is>
          <t>D53</t>
        </is>
      </c>
      <c r="B54" s="2" t="inlineStr">
        <is>
          <t>K2-13 i N58: koszt docelowy zestawu 4 875 zł (9 komponentów) i zespół komercjalizacji 1,5-4,5 etatu przy 19,2 tys. zł/etat</t>
        </is>
      </c>
      <c r="C54" s="2" t="inlineStr">
        <is>
          <t>Propozycja Claude na prośbę właścicielki („wiarygodnie i spójnie”). Tylko cena Jetson (399 USD, 1KU+) pochodzi z cennika; pozostałe ceny to założenia klasy OEM do potwierdzenia ofertami w Z7. Etaty wynikają dokładnie z kwot w modelu; widełki płac z Hays Salary Guide 2026 (13 000-19 000 zł brutto). Wrażliwość: koszt +1 000 zł obniża marżę brutto z 35% do 22%. ZATWIERDZONA 06.10.2026 przez właścicielkę (4 875 zł jako koszt docelowy; montaż opisany jako koszt zespołu wdrożeniowego). K2-13: dopisany akapit z jednostkowym kosztem produktów w komentarzu Koszty operacyjne (Komentarze_model_finansowy_Everest.docx, 4.4).</t>
        </is>
      </c>
      <c r="D54" s="16" t="inlineStr">
        <is>
          <t>ZATWIERDZONA</t>
        </is>
      </c>
      <c r="E54" s="2" t="inlineStr">
        <is>
          <t>Dział techniczny, właścicielka</t>
        </is>
      </c>
      <c r="F54" s="2" t="inlineStr">
        <is>
          <t>K2-12, K2-13, N58</t>
        </is>
      </c>
    </row>
    <row r="55">
      <c r="A55" s="2" t="inlineStr">
        <is>
          <t>D54</t>
        </is>
      </c>
      <c r="B55" s="2" t="inlineStr">
        <is>
          <t>Korekta o 1 grosz w budżecie (wersja C wniosku)</t>
        </is>
      </c>
      <c r="C55" s="2" t="inlineStr">
        <is>
          <t>Dofinansowanie Everest11 w LSI 2 964 296,11 zł (konsorcjum 3 998 262,01 zł), wkład własny 1 253 357,99 zł ogółem i 1 172 420,21 zł kwalifikowalnie. Powód: LSI obcina dofinansowanie do pełnych groszy w pozycjach AI Senior Engineer Z9 i podwykonawstwo Z9. Model dopasowany: kolumna F w obu arkuszach Zaliczka-refundacja obcięta do groszy.</t>
        </is>
      </c>
      <c r="D55" s="16" t="inlineStr">
        <is>
          <t>WPROWADZONA W MODELU</t>
        </is>
      </c>
      <c r="E55" s="2" t="inlineStr">
        <is>
          <t>Właścicielka, Claude</t>
        </is>
      </c>
      <c r="F55" s="2" t="inlineStr">
        <is>
          <t>K6-12, K6-14</t>
        </is>
      </c>
    </row>
    <row r="56">
      <c r="A56" s="2" t="inlineStr">
        <is>
          <t>D55</t>
        </is>
      </c>
      <c r="B56" s="2" t="inlineStr">
        <is>
          <t>Szczegółowe komentarze do 11 arkuszy modelu (zarzut „zbyt ogólne”)</t>
        </is>
      </c>
      <c r="C56" s="2" t="inlineStr">
        <is>
          <t>Nowe teksty w Sekcja_K6, część 9 (limit 10 000 znaków, Instrukcja pkt 16), do wklejenia przez właścicielkę w komórki: Założenia B79, Sprawozdania B203, Przychody B255, Koszty B645, Środki trwałe B873, Rozliczenie dotacji B327, Kapitał pracujący B133, Finansowanie B179, Opłacalność B106, Ocena B444, Opłacalność - Konsorcjum B101. Zastępują komentarze z części 4.</t>
        </is>
      </c>
      <c r="D56" s="16" t="inlineStr">
        <is>
          <t>TEKST GOTOWY (do wklejenia w model)</t>
        </is>
      </c>
      <c r="E56" s="2" t="inlineStr">
        <is>
          <t>Właścicielka, Claude</t>
        </is>
      </c>
      <c r="F56" s="2" t="inlineStr">
        <is>
          <t>K6-01 do K6-17 (ogólność komentarzy)</t>
        </is>
      </c>
    </row>
    <row r="57">
      <c r="A57" s="2" t="inlineStr">
        <is>
          <t>D56</t>
        </is>
      </c>
      <c r="B57" s="2" t="inlineStr">
        <is>
          <t>Przegląd pliku CargoDT_LSI_do_wklejenia.docx (opisy po weryfikacji technicznej)</t>
        </is>
      </c>
      <c r="C57" s="2" t="inlineStr">
        <is>
          <t>Plik odpowiada na większość uwag technicznych (K1, K3 zadania i KM, R1 do R5, R9), progi spójne we wszystkich polach. Nie wolno go wklejać bez poprawek: 5 problemów wysokiej wagi (baza ponad 50 kontrahentów, R11 i R12 niezgodne z D47 i D48, brak pól K3-33 i K3-39, zamiany ZNAJDŹ nieistniejące w wersji C, K14-01). Szczegóły i teksty zamienne: Zmiany_do_wprowadzenia_w_plikach_zamknietych.docx, część 7.</t>
        </is>
      </c>
      <c r="D57" s="16" t="inlineStr">
        <is>
          <t>WYNIK GOTOWY (część 7), DECYZJE DO PODJĘCIA</t>
        </is>
      </c>
      <c r="E57" s="2" t="inlineStr">
        <is>
          <t>Właścicielka, dział techniczny, Claude</t>
        </is>
      </c>
      <c r="F57" s="2" t="inlineStr">
        <is>
          <t>K1-01 do K3-66, K5-12/13, K14-01</t>
        </is>
      </c>
    </row>
    <row r="58">
      <c r="A58" s="2" t="inlineStr">
        <is>
          <t>D57</t>
        </is>
      </c>
      <c r="B58" s="2" t="inlineStr">
        <is>
          <t>R10 kontra 2.2 i Z11: czy sprzedaż może ruszyć przed przeniesieniem praw PRz</t>
        </is>
      </c>
      <c r="C58" s="2" t="inlineStr">
        <is>
          <t>Propozycja Claude: sprzedaż po przeniesieniu (do 30.11.2029), pilotaż 11.2029 na podstawie umowy o wykonywaniu wspólnych praw (§ 11 ust. 5); usunąć z R10 zdanie „Brak przeniesienia nie wstrzymuje wdrożenia”.</t>
        </is>
      </c>
      <c r="D58" s="16" t="inlineStr">
        <is>
          <t>DO ZATWIERDZENIA</t>
        </is>
      </c>
      <c r="E58" s="2" t="inlineStr">
        <is>
          <t>Właścicielka (po konsultacji z PRz)</t>
        </is>
      </c>
      <c r="F58" s="2" t="inlineStr">
        <is>
          <t>K2-02, K3-25</t>
        </is>
      </c>
    </row>
    <row r="59">
      <c r="A59" s="2" t="inlineStr">
        <is>
          <t>D58</t>
        </is>
      </c>
      <c r="B59" s="2" t="inlineStr">
        <is>
          <t>K14-01: wskaźnik „Przychody ze sprzedaży poza RP” (wartość 0 zł w 2030 r.)</t>
        </is>
      </c>
      <c r="C59" s="2" t="inlineStr">
        <is>
          <t>ZASTĘPUJE wcześniejszą propozycję z 06.10 (pierwsza licencja CEE w 2030). Obowiązuje D40: wartość 0 zł w 2030 r., ryzyko komentarza eksperta zaakceptowane. Do zrobienia: wkleić pole 8.2 z Sekcja_3.2 część 6 i zamienić zdanie „wynikają z modelu od 2032-2033” na „przychodów poza RP nie zakładamy w prognozie”, bo model nie ma sprzedaży zagranicznej.</t>
        </is>
      </c>
      <c r="D59" s="16" t="inlineStr">
        <is>
          <t>ZAMKNIĘTA (D40), do wklejenia</t>
        </is>
      </c>
      <c r="E59" s="2" t="inlineStr">
        <is>
          <t>Właścicielka</t>
        </is>
      </c>
      <c r="F59" s="2" t="inlineStr">
        <is>
          <t>K14-01, K3-24, K2-05</t>
        </is>
      </c>
    </row>
    <row r="60">
      <c r="A60" s="2" t="inlineStr">
        <is>
          <t>D59</t>
        </is>
      </c>
      <c r="B60" s="2" t="inlineStr">
        <is>
          <t>Baza „ponad 50 kontrahentów” zostaje we wniosku (zmienia D48)</t>
        </is>
      </c>
      <c r="C60" s="2" t="inlineStr">
        <is>
          <t>Decyzja właścicielki 06.10.2026: kontrahenci istnieją, ale nie są aktywni. Sformułowania: „baza ponad 50 kontrahentów Everest11, z którymi spółka współpracowała, także obecnie nieaktywnych”; bez „aktywnych” i „bieżącej współpracy”. Ryzyko: uwaga K2-01 prosi o strukturę bazy; potrzebny wyciąg z TMS (T55). Komentarze w modelu (Przychody, Koszty, Opłacalność) nie wymagają zmian, bo już nie powołują się na bazę.</t>
        </is>
      </c>
      <c r="D60" s="16" t="inlineStr">
        <is>
          <t>ZATWIERDZONA (sformułowania do potwierdzenia)</t>
        </is>
      </c>
      <c r="E60" s="2" t="inlineStr">
        <is>
          <t>Właścicielka</t>
        </is>
      </c>
      <c r="F60" s="2" t="inlineStr">
        <is>
          <t>K2-01, K2-16, K6-05</t>
        </is>
      </c>
    </row>
    <row r="61">
      <c r="A61" s="2" t="inlineStr">
        <is>
          <t>D60</t>
        </is>
      </c>
      <c r="B61" s="2" t="inlineStr">
        <is>
          <t>Model PRz po wniosku wersja C (2) z 06.10.2026: budżet bez zmian, poprawione błędy techniczne</t>
        </is>
      </c>
      <c r="C61" s="2" t="inlineStr">
        <is>
          <t>Wniosek: PRz wydatki ogółem 1 067 936,90 zł, kwalifikowalne i dofinansowanie 1 033 965,90 zł (100%), środki własne 33 971 zł (VAT od aparatury). Model PRz (Zaliczka-refundacja: razem 1 067 936,90 / 1 033 965,90 / 1 033 965,90) zgodny; kategorie (amortyzacja 147,7 tys., koszty pośrednie 206,8 tys., personel 679,5 tys.) zgodne w zaokrągleniu do tys. Zaliczki 90,00% dofinansowania, max transza 22,3%, pierwsza 5,5%. Poprawiono tylko błędy techniczne: zbłąkane formuły (#VALUE!, #DIV/0!) w arkuszach Zaliczka-refundacja i Zaliczka-refundacja Konsorcjum (35 komórek) oraz 42 komórki z #N/A i #VALUE! w ukrytych wierszach szablonu (Środki trwałe 40, Koszty operacyjne 1, Założenia J134), z zachowaniem kontroli błędnych danych. Przeliczenie w LibreOffice: poza usuniętymi błędami żadna wartość w modelu się nie zmieniła. Te same 42 komórki są w modelu Everest i poprawię je w kroku Everest. Plik: Model_finansowy_CargoDT_PRz.xlsm. Następny krok: model Everest. ZMIANA 06.10 (liczby): harmonogram Zaliczka-refundacja PRz przebudowany wg harmonogramu kosztów z wniosku (zadania Z1 M1-M9, Z3 M6-M18, Z4/Z5 M19-M27, Z8 M22-M30, aparatura i VAT 33 971 zł w I półr. 2027): II/2026 56 868,12; I/2027 308 392,89 (wydatki ogółem 342 363,89 z VAT); II/2027 152 773,06; I/2028 136 613,86; II/2028 198 564,77; I/2029 76 322,64; II/2029 refundacja 104 430,56. Suma bez zmian (1 067 936,90 / 1 033 965,90). Zaliczki 89,90% (było 90,00%), pierwsza 5,50%, największa 29,8%. Koszty odtworzone z wniosku sumują się co do grosza do 1 033 965,90 zł. Komentarze PRz: w drugiej kolejności.</t>
        </is>
      </c>
      <c r="D61" s="16" t="inlineStr">
        <is>
          <t>WPROWADZONA W MODELU PRz</t>
        </is>
      </c>
      <c r="E61" s="2" t="inlineStr">
        <is>
          <t>Claude, właścicielka</t>
        </is>
      </c>
      <c r="F61" s="2" t="inlineStr">
        <is>
          <t>K6-14</t>
        </is>
      </c>
    </row>
    <row r="62">
      <c r="A62" s="2" t="inlineStr">
        <is>
          <t>D61</t>
        </is>
      </c>
      <c r="B62" s="2" t="inlineStr">
        <is>
          <t>Komentarze do modelu PRz i decyzje o modelu (06.10.2026): wykonane</t>
        </is>
      </c>
      <c r="C62" s="2" t="inlineStr">
        <is>
          <t>Decyzje właścicielki: (1) bez danych PRz za 2023-2024 (uproszczona sprawozdawczość organizacji badawczej; ryzyko pkt 5b Instrukcji zostaje, komentarze podają 2024 jako porównanie); (2) koszty pośrednie przeniesione w modelu PRz do Pozostałych kosztów rodzajowych (Projekt), kwoty bez zmian; (3) stawka amortyzacji prac rozwojowych 0% (C195/C196), bez zmiany liczb; (4) dane PRz dostarczone (sprawozdanie 2025 MSiG 86/2026 poz. 21407, plan 2026 zarządzenie 20/2026, zestawienie amortyzacji): użyte w komentarzach; amortyzacji nie wyodrębniono w modelu, bo brak podziału na grupy i lat 2027-2029 oraz nakładów (plan 2026: 60 152,2 tys. zł). Z dokumentów: zmiana stanu produktów jest pozycją stałą (2024: -11 912; 2025: -16 520 tys. zł) i nie jest zmianą zapasów (produkty w toku wzrosły), więc wcześniejszy opis mechanizmu K6-17 był błędny (E36); plan 2026 nie obejmuje kosztów finansowych 160 i podatku 25 w modelu (zysk modelu 1 909 vs plan 1 724,9). Dokument: Komentarze_model_finansowy_PRz.docx.</t>
        </is>
      </c>
      <c r="D62" s="16" t="inlineStr">
        <is>
          <t>WPROWADZONA W MODELU PRz; komentarze gotowe</t>
        </is>
      </c>
      <c r="E62" s="2" t="inlineStr">
        <is>
          <t>Claude, właścicielka, PRz (kwestor)</t>
        </is>
      </c>
      <c r="F62" s="2" t="inlineStr">
        <is>
          <t>K6-01, K6-14, K6-17</t>
        </is>
      </c>
    </row>
    <row r="63">
      <c r="A63" s="2" t="inlineStr">
        <is>
          <t>D62</t>
        </is>
      </c>
      <c r="B63" s="2" t="inlineStr">
        <is>
          <t>Model Everest po wniosku wersja C (2) z 06.10.2026: liczby wprowadzone (komentarze w następnym kroku)</t>
        </is>
      </c>
      <c r="C63" s="2" t="inlineStr">
        <is>
          <t>Zmiany w liczbach: (1) Zaliczka-refundacja Everest: wydatki ogółem 4 217 654,10 -&gt; 4 214 851,69 zł (VAT 80 937,78 -&gt; 78 135,37; rozłożone proporcjonalnie jak dotąd, kwalifikowalne i dofinansowanie bez zmian: 4 136 716,32 / 2 964 296,11); (2) Zaliczka-refundacja Konsorcjum przeliczona jako suma Everest + PRz wg nowego harmonogramu PRz: ogółem 5 282 788,59, kwalifikowalne 5 170 682,22, dofinansowanie 3 998 262,01; zaliczki 89,60%, pierwsza 7,01%, największa 28,97%; (3) Internacjonalizacja Z10+Z11 w Koszty operacyjne: 2028 33,285 -&gt; 58,097 tys. zł, 2029 53,586 -&gt; 28,774 tys. zł (suma kwalifikowalna 86 871 bez zmian) wg dat z wniosku D: kongres XI 2028, doradztwo przed kongresem, orzeczenie rzecznika XI-XII 2028, dokumentacja i opłaty EPO do 30.04.2029, misja do Czech I-IV 2029 (ZAŁOŻENIE DO POTWIERDZENIA: podział doradztwa i orzeczenia na 2028); (4) aparatura 57,1 tys. zł: usunięta z tabeli Środki trwałe i ujęta jak w PRz jako amortyzacja jednorazowa (oddanie do używania M7 = 05.2027) w Koszty operacyjne, pozycja Zużycie materiałów (Projekt), 2027, badania przemysłowe, dofinansowanie 80%; (5) 40 komórek #N/A w ukrytych wierszach Środki trwałe naprawionych jak w PRz. Wyniki: NPV z dotacją 2034 1 444 tys. zł (było 1 445), IRR 19,9% w 2034 i 40,5% w 2039; wkład własny w komentarzu 1 250 555,58 (kwalifikowalny 1 172 420,21 bez zmian), VAT 78 135,37. Przeliczenie w LibreOffice bez błędów.</t>
        </is>
      </c>
      <c r="D63" s="16" t="inlineStr">
        <is>
          <t>ZATWIERDZONA (06.10); komentarze gotowe: Komentarze_model_finansowy_Everest.docx</t>
        </is>
      </c>
      <c r="E63" s="2" t="inlineStr">
        <is>
          <t>Claude, właścicielka</t>
        </is>
      </c>
      <c r="F63" s="2" t="inlineStr">
        <is>
          <t>K6-14, K6-03, K6-12</t>
        </is>
      </c>
    </row>
    <row r="64">
      <c r="A64" s="2" t="inlineStr">
        <is>
          <t>D63</t>
        </is>
      </c>
      <c r="B64" s="2" t="inlineStr">
        <is>
          <t>Zmiana wkładu własnego Everest11: 1 253 357,99 -&gt; 1 250 555,58 zł (minus 2 802,41 zł, tylko VAT od Z10/Z11); umowa inwestycyjna ma starą kwotę</t>
        </is>
      </c>
      <c r="C64" s="2" t="inlineStr">
        <is>
          <t>Opisane w komentarzu Finansowanie (akapit „Zmiana kwoty wkładu własnego”) i w polu LSI „Opis dokapitalizowania” (Zmiany, poz. 4.1, kwota 1 250 556 zł). Zobowiązanie inwestora (1 253 357,99) pokrywa cały wkład. Rekomendacja: oświadczenie inwestora lub aneks do umowy z datą; do uzgodnienia z inwestorem i kancelarią.</t>
        </is>
      </c>
      <c r="D64" s="16" t="inlineStr">
        <is>
          <t>DO UZGODNIENIA (oświadczenie/aneks)</t>
        </is>
      </c>
      <c r="E64" s="2" t="inlineStr">
        <is>
          <t>Właścicielka, inwestor</t>
        </is>
      </c>
      <c r="F64" s="2" t="inlineStr">
        <is>
          <t>K6-03, K6-12, K6-14</t>
        </is>
      </c>
    </row>
    <row r="65">
      <c r="A65" s="2" t="inlineStr">
        <is>
          <t>D64</t>
        </is>
      </c>
      <c r="B65" s="2" t="inlineStr">
        <is>
          <t>Wdrożenie w 12.2029, przychody wskaźnika PLRR033 liczone za 2030 (rok docelowy 2030, wartość 489 300 zł) zamiast daty wdrożenia 01.2030 i sumy 2030-2031</t>
        </is>
      </c>
      <c r="C65" s="2" t="inlineStr">
        <is>
          <t>Decyzja właścicielki 06.10.2026 (odpowiedź na uwagę o PLRR033 w wersji C: rok 2031 przy wartości 489 300). Przewidywana data wdrożenia 12.2029 (po przeniesieniu praw PRz do 30.11.2029 i po zakończeniu prac wdrożeniowych: CE, pierwsza seria, pilotaż od 11.2029); sprzedaż od 01.2030 (D09). Wskaźniki z rokiem wdrożenia (PLRR028, PLRR029, PLRR006) rok 2029; PLRR033 i przychody z innowacji procesowej rok 2030 (rok następujący po roku wdrożenia; suma od wdrożenia: 2029 = 0, 2030 = 489 300). Zastępuje instrukcje z CargoDT_LSI_do_wklejenia.docx (2.1 data 01.2030, PLRR033 rok 2031, PLRR006 rok 2030) oraz Zmiany/Sekcja_1.3 (data wdrożenia 01.2030) do aktualizacji. Domyka K2-02 i K2-06.</t>
        </is>
      </c>
      <c r="D65" s="16" t="inlineStr">
        <is>
          <t>DO WPROWADZENIA W LSI</t>
        </is>
      </c>
      <c r="E65" s="2" t="inlineStr">
        <is>
          <t>Właścicielka</t>
        </is>
      </c>
      <c r="F65" s="2" t="inlineStr">
        <is>
          <t>K2-02, K2-06, uwaga do pkt 1.2 (PLRR033)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0" customWidth="1" min="3" max="3"/>
    <col width="22" customWidth="1" min="4" max="4"/>
    <col width="14" customWidth="1" min="5" max="5"/>
    <col width="28" customWidth="1" min="6" max="6"/>
    <col width="12" customWidth="1" min="7" max="7"/>
  </cols>
  <sheetData>
    <row r="1">
      <c r="A1" s="3" t="inlineStr">
        <is>
          <t>ID</t>
        </is>
      </c>
      <c r="B1" s="3" t="inlineStr">
        <is>
          <t>Zadanie</t>
        </is>
      </c>
      <c r="C1" s="3" t="inlineStr">
        <is>
          <t>Opis</t>
        </is>
      </c>
      <c r="D1" s="3" t="inlineStr">
        <is>
          <t>Kto</t>
        </is>
      </c>
      <c r="E1" s="3" t="inlineStr">
        <is>
          <t>Termin</t>
        </is>
      </c>
      <c r="F1" s="3" t="inlineStr">
        <is>
          <t>Blokuje / dotyczy</t>
        </is>
      </c>
      <c r="G1" s="3" t="inlineStr">
        <is>
          <t>Status</t>
        </is>
      </c>
    </row>
    <row r="2">
      <c r="A2" s="4" t="inlineStr">
        <is>
          <t>T01</t>
        </is>
      </c>
      <c r="B2" s="4" t="inlineStr">
        <is>
          <t>Konsultacja z działem technicznym (pytania w kolumnie "Opis")</t>
        </is>
      </c>
      <c r="C2" s="4" t="inlineStr">
        <is>
          <t>Pytania: (1) czy w Z2 wystarczy 1 ToF + 1 EO na naczepę; (2) czy w Z1 4 kamery ToF tego samego typu na stanowisku PRz do badań MCI; (3) czy kamery z Z2 mają być prawdziwym ToF (Femto Bolt / Helios2) zamiast OAK-D Pro W (active stereo); (4) dysk NVMe: konsumencki 0-70 C w obudowie z ogrzewaniem czy przemysłowy -40/+85 C (ok. 10x droższy); (5) 3 komplety edge AI zamiast 4 (deweloperski = pierwszy komplet przed montażem).</t>
        </is>
      </c>
      <c r="D2" s="4" t="inlineStr">
        <is>
          <t>Właściciel</t>
        </is>
      </c>
      <c r="E2" s="4" t="inlineStr">
        <is>
          <t>02.10 rano</t>
        </is>
      </c>
      <c r="F2" s="4" t="inlineStr">
        <is>
          <t>Blokuje: K3-55, K3-48/49, D06</t>
        </is>
      </c>
      <c r="G2" s="4" t="inlineStr">
        <is>
          <t>OTWARTE</t>
        </is>
      </c>
    </row>
    <row r="3">
      <c r="A3" s="4" t="inlineStr">
        <is>
          <t>T02</t>
        </is>
      </c>
      <c r="B3" s="4" t="inlineStr">
        <is>
          <t>Aneks do umów najmu: klauzule w arkuszu 6; podpisać przed wysłaniem poprawki</t>
        </is>
      </c>
      <c r="C3" s="4" t="inlineStr">
        <is>
          <t>Zakres: liczba pojazdów 5 -&gt; 20 wg harmonogramu, zgoda na montaż/demontaż, dostęp do danych, okres, ubezpieczenie.</t>
        </is>
      </c>
      <c r="D3" s="4" t="inlineStr">
        <is>
          <t>Właściciel</t>
        </is>
      </c>
      <c r="E3" s="4" t="inlineStr">
        <is>
          <t>05.10</t>
        </is>
      </c>
      <c r="F3" s="4" t="inlineStr">
        <is>
          <t>K2-01, K2-04, K2-16</t>
        </is>
      </c>
      <c r="G3" s="4" t="inlineStr">
        <is>
          <t>OTWARTE</t>
        </is>
      </c>
    </row>
    <row r="4">
      <c r="A4" s="4" t="inlineStr">
        <is>
          <t>T03</t>
        </is>
      </c>
      <c r="B4" s="4" t="inlineStr">
        <is>
          <t>Dane księgowej: 2Q2026, skład udziałów Inwestora i Natanek Logistics, polityka rachunkowości i amortyzacja</t>
        </is>
      </c>
      <c r="C4" s="4" t="inlineStr">
        <is>
          <t>Potrzebne do K6-07, K6-12, K3-32, K6-16 oraz opisu amortyzacji jednorazowej (D01).</t>
        </is>
      </c>
      <c r="D4" s="4" t="inlineStr">
        <is>
          <t>Właściciel (księgowa)</t>
        </is>
      </c>
      <c r="E4" s="4" t="inlineStr">
        <is>
          <t>05.10</t>
        </is>
      </c>
      <c r="F4" s="4" t="inlineStr">
        <is>
          <t>Blokuje WP11</t>
        </is>
      </c>
      <c r="G4" s="4" t="inlineStr">
        <is>
          <t>ZROBIONE 05.10 (sprawozdanie II kw., księgowa, KRS, polityka rachunkowości); zob. T44</t>
        </is>
      </c>
    </row>
    <row r="5">
      <c r="A5" s="4" t="inlineStr">
        <is>
          <t>T04</t>
        </is>
      </c>
      <c r="B5" s="4" t="inlineStr">
        <is>
          <t>Dane do K3-04: liczba przesyłek na kurs, liczba kursów, częstość zdarzeń (Natanek/Everest11)</t>
        </is>
      </c>
      <c r="C5" s="4" t="inlineStr">
        <is>
          <t>Bez tego tekst K3-04 użyje założeń oznaczonych jako ZAŁOŻENIE.</t>
        </is>
      </c>
      <c r="D5" s="4" t="inlineStr">
        <is>
          <t>Właściciel</t>
        </is>
      </c>
      <c r="E5" s="4" t="inlineStr">
        <is>
          <t>02.10</t>
        </is>
      </c>
      <c r="F5" s="4" t="inlineStr">
        <is>
          <t>K3-04, K3-15, K3-18</t>
        </is>
      </c>
      <c r="G5" s="4" t="inlineStr">
        <is>
          <t>OTWARTE</t>
        </is>
      </c>
    </row>
    <row r="6">
      <c r="A6" s="4" t="inlineStr">
        <is>
          <t>T05</t>
        </is>
      </c>
      <c r="B6" s="4" t="inlineStr">
        <is>
          <t>Pobranie wartości Eurostat road_eqs_semit (PL, 2024) i danych GITD z datą</t>
        </is>
      </c>
      <c r="C6" s="4" t="inlineStr">
        <is>
          <t>Claude nie ma dostępu do ec.europa.eu.</t>
        </is>
      </c>
      <c r="D6" s="4" t="inlineStr">
        <is>
          <t>Właściciel</t>
        </is>
      </c>
      <c r="E6" s="4" t="inlineStr">
        <is>
          <t>02.10</t>
        </is>
      </c>
      <c r="F6" s="4" t="inlineStr">
        <is>
          <t>K2-05</t>
        </is>
      </c>
      <c r="G6" s="4" t="inlineStr">
        <is>
          <t>OTWARTE</t>
        </is>
      </c>
    </row>
    <row r="7">
      <c r="A7" s="4" t="inlineStr">
        <is>
          <t>T06</t>
        </is>
      </c>
      <c r="B7" s="4" t="inlineStr">
        <is>
          <t>Lista ponad 50 kontrahentów Everest11 (struktura, liczba naczep, kto realnie może zakupić) i treść dokumentów zainteresowania</t>
        </is>
      </c>
      <c r="C7" s="4" t="inlineStr">
        <is>
          <t>K2-01 wymaga opisu struktury bazy klientów.</t>
        </is>
      </c>
      <c r="D7" s="4" t="inlineStr">
        <is>
          <t>Właściciel</t>
        </is>
      </c>
      <c r="E7" s="4" t="inlineStr">
        <is>
          <t>05.10</t>
        </is>
      </c>
      <c r="F7" s="4" t="inlineStr">
        <is>
          <t>K2-01, K2-16</t>
        </is>
      </c>
      <c r="G7" s="4" t="inlineStr">
        <is>
          <t>WYCOFANE (D48): brak bazy 50+ aktywnych kontrahentów</t>
        </is>
      </c>
    </row>
    <row r="8">
      <c r="A8" s="4" t="inlineStr">
        <is>
          <t>T07</t>
        </is>
      </c>
      <c r="B8" s="4" t="inlineStr">
        <is>
          <t>Potwierdzenie z PRz: konfiguracja kamer, sprzęt po M30 (likwidacja), zgoda na zapisy w opisach</t>
        </is>
      </c>
      <c r="C8" s="4" t="inlineStr">
        <is>
          <t>Wymagane dla D01, D06.</t>
        </is>
      </c>
      <c r="D8" s="4" t="inlineStr">
        <is>
          <t>Właściciel</t>
        </is>
      </c>
      <c r="E8" s="4" t="inlineStr">
        <is>
          <t>02.10</t>
        </is>
      </c>
      <c r="F8" s="4" t="inlineStr">
        <is>
          <t>K3-55, K3-56</t>
        </is>
      </c>
      <c r="G8" s="4" t="inlineStr">
        <is>
          <t>OTWARTE</t>
        </is>
      </c>
    </row>
    <row r="9">
      <c r="A9" s="4" t="inlineStr">
        <is>
          <t>T08</t>
        </is>
      </c>
      <c r="B9" s="4" t="inlineStr">
        <is>
          <t>Dane do modelu marży: koszt serii wersji podstawowej i premium (BOM) - dział techniczny + zakupy</t>
        </is>
      </c>
      <c r="C9" s="4" t="inlineStr">
        <is>
          <t>Arkusz 5 ma założenia oznaczone; docelowo potrzebne oferty lub cenniki.</t>
        </is>
      </c>
      <c r="D9" s="4" t="inlineStr">
        <is>
          <t>Właściciel + Claude</t>
        </is>
      </c>
      <c r="E9" s="4" t="inlineStr">
        <is>
          <t>05.10</t>
        </is>
      </c>
      <c r="F9" s="4" t="inlineStr">
        <is>
          <t>K2-13</t>
        </is>
      </c>
      <c r="G9" s="4" t="inlineStr">
        <is>
          <t>PROPOZYCJA GOTOWA (D53); czeka na dział techniczny (T46)</t>
        </is>
      </c>
    </row>
    <row r="10">
      <c r="A10" s="4" t="inlineStr">
        <is>
          <t>T09</t>
        </is>
      </c>
      <c r="B10" s="4" t="inlineStr">
        <is>
          <t>Wklejanie tekstów do LSI na bieżąco (po każdym zatwierdzonym polu)</t>
        </is>
      </c>
      <c r="C10" s="4" t="inlineStr">
        <is>
          <t>Zmniejsza ryzyko pracy w ostatnim dniu.</t>
        </is>
      </c>
      <c r="D10" s="4" t="inlineStr">
        <is>
          <t>Właściciel</t>
        </is>
      </c>
      <c r="E10" s="4" t="inlineStr">
        <is>
          <t>od 02.10</t>
        </is>
      </c>
      <c r="F10" s="4" t="inlineStr">
        <is>
          <t>Wszystkie</t>
        </is>
      </c>
      <c r="G10" s="4" t="inlineStr">
        <is>
          <t>OTWARTE</t>
        </is>
      </c>
    </row>
    <row r="11">
      <c r="A11" s="4" t="inlineStr">
        <is>
          <t>T10</t>
        </is>
      </c>
      <c r="B11" s="4" t="inlineStr">
        <is>
          <t>Oferty cenowe dla wskaźnika I1 (1.4): zapytania do co najmniej 3 dostawców rozwiązań o zbliżonej funkcji (monitoring warunków + obraz lub zajętość przestrzeni ładunkowej, subskrypcja i zestaw na 5 lat), z datami zapytań</t>
        </is>
      </c>
      <c r="C11" s="4" t="inlineStr">
        <is>
          <t>Publicznych cen nie znaleziono. Bez ofert wskaźnik I1 nie ma wiarygodnej wartości bazowej i zostanie zastąpiony innym wskaźnikiem 1.4.</t>
        </is>
      </c>
      <c r="D11" s="4" t="inlineStr">
        <is>
          <t>Właściciel</t>
        </is>
      </c>
      <c r="E11" s="4" t="inlineStr">
        <is>
          <t>05.10</t>
        </is>
      </c>
      <c r="F11" s="4" t="inlineStr">
        <is>
          <t>K1-05, N39, D33</t>
        </is>
      </c>
      <c r="G11" s="4" t="inlineStr">
        <is>
          <t>OTWARTE</t>
        </is>
      </c>
    </row>
    <row r="12">
      <c r="A12" s="4" t="inlineStr">
        <is>
          <t>T11</t>
        </is>
      </c>
      <c r="B12" s="4" t="inlineStr">
        <is>
          <t>Potwierdzenie technicznie wartości zakładanych w D33: baza AUC detektora progowego ≤0,70, baza mAP ≤0,40, błąd przemieszczenia względnego 0,03 m / 0,05 m, zdarzenie inicjujące PoL i PoC</t>
        </is>
      </c>
      <c r="C12" s="4" t="inlineStr">
        <is>
          <t>Wartości zastąpią pomiary z Z4, Z5 i Z8; oznaczone na żółto w pliku Wskazniki_innowacyjnosci_1.2_i_1.4.docx.</t>
        </is>
      </c>
      <c r="D12" s="4" t="inlineStr">
        <is>
          <t>Właściciel (dział techniczny)</t>
        </is>
      </c>
      <c r="E12" s="4" t="inlineStr">
        <is>
          <t>05.10</t>
        </is>
      </c>
      <c r="F12" s="4" t="inlineStr">
        <is>
          <t>K1-02 do K1-04, D33</t>
        </is>
      </c>
      <c r="G12" s="4" t="inlineStr">
        <is>
          <t>OTWARTE</t>
        </is>
      </c>
    </row>
    <row r="13">
      <c r="A13" s="4" t="inlineStr">
        <is>
          <t>T12</t>
        </is>
      </c>
      <c r="B13" s="4" t="inlineStr">
        <is>
          <t>Sprawdzenie źródeł i kart katalogowych konkurencji (Blickfeld, Ouster, SkyBitz, Schmitz, Tive, Arviem, Nexxiot), nazwy produktów, Hosmer-Lemeshow, prEN 17321, EN 13382, akty do rozporządzenia 2020/1056, oryginał badania PITD</t>
        </is>
      </c>
      <c r="C13" s="4" t="inlineStr">
        <is>
          <t>Dane w pliku z wyszukiwarki z 02.10.2026, przed wpisaniem do LSI pobrać karty i dopisać adresy oraz daty dostępu. Nazwy: Nexxiot Globehopper (nie Globe+), Blickfeld Qb2/QbVolume (nie QbScan).</t>
        </is>
      </c>
      <c r="D13" s="4" t="inlineStr">
        <is>
          <t>Właściciel + Claude</t>
        </is>
      </c>
      <c r="E13" s="4" t="inlineStr">
        <is>
          <t>05.10</t>
        </is>
      </c>
      <c r="F13" s="4" t="inlineStr">
        <is>
          <t>K1-01, N37</t>
        </is>
      </c>
      <c r="G13" s="4" t="inlineStr">
        <is>
          <t>OTWARTE</t>
        </is>
      </c>
    </row>
    <row r="14">
      <c r="A14" s="4" t="inlineStr">
        <is>
          <t>T13</t>
        </is>
      </c>
      <c r="B14" s="4" t="inlineStr">
        <is>
          <t>Sprawdzenie w Espacenet i Google Patents dokumentów wskazanych przez wyszukiwarkę (US 11,151,506 B2, US 11,685,400 B2, US 2013/0342653 A1, US 7,468,660 B2, US 9,965,939 B1, EP 3103072 i rodzina UPS, US 10,769,576 B2, US 11,370,348 B2)</t>
        </is>
      </c>
      <c r="C14" s="4" t="inlineStr">
        <is>
          <t>Dane z wyszukiwarki były sprzeczne i niezweryfikowane. Najpierw potwierdzenie, potem ewentualna zmiana wniosku.</t>
        </is>
      </c>
      <c r="D14" s="4" t="inlineStr">
        <is>
          <t>Właściciel (rzecznik patentowy) + Claude</t>
        </is>
      </c>
      <c r="E14" s="4" t="inlineStr">
        <is>
          <t>06.10</t>
        </is>
      </c>
      <c r="F14" s="4" t="inlineStr">
        <is>
          <t>K2-03, N38</t>
        </is>
      </c>
      <c r="G14" s="4" t="inlineStr">
        <is>
          <t>OTWARTE</t>
        </is>
      </c>
    </row>
    <row r="15">
      <c r="A15" s="4" t="inlineStr">
        <is>
          <t>T14</t>
        </is>
      </c>
      <c r="B15" s="4" t="inlineStr">
        <is>
          <t>Metoda SAM 200 000: udział nadwozi zamkniętych i kurtynowych oraz naczep bez telematyki fabrycznej w 544,97 tys. naczep (CEPiK/PZPM albo własna analiza)</t>
        </is>
      </c>
      <c r="C15" s="4" t="inlineStr">
        <is>
          <t>Metoda SAM opracowana z danych publicznych (Aneks A pliku Sekcja_1.3_i_ceny.docx). Do zrobienia: sprawdzenie liczb PZPM i nowszych danych o telematyce naczep.</t>
        </is>
      </c>
      <c r="D15" s="4" t="inlineStr">
        <is>
          <t>Właściciel + Claude</t>
        </is>
      </c>
      <c r="E15" s="4" t="inlineStr">
        <is>
          <t>06.10</t>
        </is>
      </c>
      <c r="F15" s="4" t="inlineStr">
        <is>
          <t>K2-05, N40</t>
        </is>
      </c>
      <c r="G15" s="4" t="inlineStr">
        <is>
          <t>CZĘŚCIOWO</t>
        </is>
      </c>
    </row>
    <row r="16">
      <c r="A16" s="4" t="inlineStr">
        <is>
          <t>T15</t>
        </is>
      </c>
      <c r="B16" s="4" t="inlineStr">
        <is>
          <t>Dane z rozmów z klientami i listów intencyjnych: liczba rozmów, treść LOI (liczba naczep, warunki, termin), struktura bazy 50+ kontrahentów, stan rozmów z ubezpieczycielem, nazwy targów z Z10</t>
        </is>
      </c>
      <c r="C16" s="4" t="inlineStr">
        <is>
          <t>Podane: 15 rozmów z potencjalnymi klientami (marzec-maj 2026), stan rozmów z ubezpieczycielem bez zmian, targi z wniosku, LOI. Pozostaje opcjonalnie struktura bazy 50+ (Aneks C).</t>
        </is>
      </c>
      <c r="D16" s="4" t="inlineStr">
        <is>
          <t>Właściciel</t>
        </is>
      </c>
      <c r="E16" s="4" t="inlineStr">
        <is>
          <t>05.10</t>
        </is>
      </c>
      <c r="F16" s="4" t="inlineStr">
        <is>
          <t>K2-01, K2-10, K2-11</t>
        </is>
      </c>
      <c r="G16" s="4" t="inlineStr">
        <is>
          <t>CZĘŚCIOWO</t>
        </is>
      </c>
    </row>
    <row r="17">
      <c r="A17" s="4" t="inlineStr">
        <is>
          <t>T16</t>
        </is>
      </c>
      <c r="B17" s="4" t="inlineStr">
        <is>
          <t>Koszt serii zestawu (BOM), koszt montażu, koszt obsługi subskrypcji na pojazd</t>
        </is>
      </c>
      <c r="C17" s="4" t="inlineStr">
        <is>
          <t>Wymagane do uzasadnienia cen (K2-06) i decyzji D11. Po decyzji o 4 875 zł potrzebna tylko podstawa tej kwoty (konfiguracja zestawu produkcyjnego, źródła cen) i koszt obsługi subskrypcji (hosting 50 zł już w modelu).</t>
        </is>
      </c>
      <c r="D17" s="4" t="inlineStr">
        <is>
          <t>Właściciel (dział techniczny) + Claude</t>
        </is>
      </c>
      <c r="E17" s="4" t="inlineStr">
        <is>
          <t>05.10</t>
        </is>
      </c>
      <c r="F17" s="4" t="inlineStr">
        <is>
          <t>K2-06, K2-12, K2-13, D11</t>
        </is>
      </c>
      <c r="G17" s="4" t="inlineStr">
        <is>
          <t>PROPOZYCJA GOTOWA (D53); czeka na dział techniczny (T46)</t>
        </is>
      </c>
    </row>
    <row r="18">
      <c r="A18" s="4" t="inlineStr">
        <is>
          <t>T17</t>
        </is>
      </c>
      <c r="B18" s="4" t="inlineStr">
        <is>
          <t>Ponowne podpisanie listów intencyjnych trzech operatorów (łącznie 50 naczep) z elementami z Aneksu B (profil operatora, liczba naczep, warunki cenowe, kryteria zakupu, dane o szkodach, ważność do 31.12.2030, zgoda na wskazanie z nazwy)</t>
        </is>
      </c>
      <c r="C18" s="4" t="inlineStr">
        <is>
          <t>Listy podpisane ponownie z wszystkimi elementami z Aneksu B (potwierdzenie właścicielki 02.10.2026): 20, 20 i 10 naczep, łącznie 50.</t>
        </is>
      </c>
      <c r="D18" s="4" t="inlineStr">
        <is>
          <t>Właściciel</t>
        </is>
      </c>
      <c r="E18" s="4" t="inlineStr">
        <is>
          <t>05.10</t>
        </is>
      </c>
      <c r="F18" s="4" t="inlineStr">
        <is>
          <t>K2-01, K2-06, D35</t>
        </is>
      </c>
      <c r="G18" s="4" t="inlineStr">
        <is>
          <t>ZROBIONE</t>
        </is>
      </c>
    </row>
    <row r="19">
      <c r="A19" s="4" t="inlineStr">
        <is>
          <t>T18</t>
        </is>
      </c>
      <c r="B19" s="4" t="inlineStr">
        <is>
          <t>Wypełnienie tabeli struktury bazy 50+ kontrahentów z CRM i karty rozmowy dla 15 rozmów (Aneks C)</t>
        </is>
      </c>
      <c r="C19" s="4" t="inlineStr">
        <is>
          <t>Daje sumy do tekstu 1.3 i 2.1.</t>
        </is>
      </c>
      <c r="D19" s="4" t="inlineStr">
        <is>
          <t>Właściciel</t>
        </is>
      </c>
      <c r="E19" s="4" t="inlineStr">
        <is>
          <t>05.10</t>
        </is>
      </c>
      <c r="F19" s="4" t="inlineStr">
        <is>
          <t>K2-01, K2-11</t>
        </is>
      </c>
      <c r="G19" s="4" t="inlineStr">
        <is>
          <t>WYCOFANE (D48): brak bazy 50+ aktywnych kontrahentów</t>
        </is>
      </c>
    </row>
    <row r="20">
      <c r="A20" s="4" t="inlineStr">
        <is>
          <t>T19</t>
        </is>
      </c>
      <c r="B20" s="4" t="inlineStr">
        <is>
          <t>Pobranie z Eurostatu liczby naczep w Czechach, Słowacji, na Węgrzech i w Rumunii (road_eqs_semit) albo usunięcie wielkości rynku CEE z 1.3, 2.1 (Segment 3) i Z10 (3.2.2)</t>
        </is>
      </c>
      <c r="C20" s="4" t="inlineStr">
        <is>
          <t>Obecne „400 000-600 000 naczep” nie ma źródła.</t>
        </is>
      </c>
      <c r="D20" s="4" t="inlineStr">
        <is>
          <t>Właściciel + Claude</t>
        </is>
      </c>
      <c r="E20" s="4" t="inlineStr">
        <is>
          <t>06.10</t>
        </is>
      </c>
      <c r="F20" s="4" t="inlineStr">
        <is>
          <t>K2-05, N47</t>
        </is>
      </c>
      <c r="G20" s="4" t="inlineStr">
        <is>
          <t>OTWARTE</t>
        </is>
      </c>
    </row>
    <row r="21">
      <c r="A21" s="4" t="inlineStr">
        <is>
          <t>T20</t>
        </is>
      </c>
      <c r="B21" s="4" t="inlineStr">
        <is>
          <t>Ocena rzecznika patentowego (jeśli zlecona): zastrzeżenia US 11,151,506 B2 i ewentualnie rodziny UPS EP 3103072; sprawdzenie rodzin w Espacenet</t>
        </is>
      </c>
      <c r="C21" s="4" t="inlineStr">
        <is>
          <t>Bez zwiększenia budżetu projektu (środki własne Everest11).</t>
        </is>
      </c>
      <c r="D21" s="4" t="inlineStr">
        <is>
          <t>Właściciel</t>
        </is>
      </c>
      <c r="E21" s="4" t="inlineStr">
        <is>
          <t>05.10</t>
        </is>
      </c>
      <c r="F21" s="4" t="inlineStr">
        <is>
          <t>K2-03, N51</t>
        </is>
      </c>
      <c r="G21" s="4" t="inlineStr">
        <is>
          <t>ANULOWANE (decyzja: bez rzecznika)</t>
        </is>
      </c>
    </row>
    <row r="22">
      <c r="A22" s="4" t="inlineStr">
        <is>
          <t>T21</t>
        </is>
      </c>
      <c r="B22" s="4" t="inlineStr">
        <is>
          <t>Trzy proste decyzje o produkcji zestawów: (1) kto kompletuje: własny zespół czy firma zewnętrzna, (2) kto robi badania CE: laboratorium wybrane w zapytaniu ofertowym, (3) skąd środki na badania i pierwszą serię: kapitał własny Lidera; plus akceptacja założeń zasobów (3 h montażu, 0,3 h wsparcia, parametry chmury)</t>
        </is>
      </c>
      <c r="C22" s="4" t="inlineStr">
        <is>
          <t>Zatwierdzone 02.10.2026: kompletacja pierwszej serii własnym zespołem, od 2032 firma zewnętrzna z zapytania ofertowego; badania CE w laboratorium z zapytania; finansowanie z kapitału własnego Lidera; założenia 3 h montażu, 0,3 h wsparcia i parametry chmury przyjęte. Teksty 2.5 bez nazw i kwot.</t>
        </is>
      </c>
      <c r="D22" s="4" t="inlineStr">
        <is>
          <t>Właściciel (Kozioł, Ruciński)</t>
        </is>
      </c>
      <c r="E22" s="4" t="inlineStr">
        <is>
          <t>05.10</t>
        </is>
      </c>
      <c r="F22" s="4" t="inlineStr">
        <is>
          <t>K2-04, K2-07</t>
        </is>
      </c>
      <c r="G22" s="4" t="inlineStr">
        <is>
          <t>ZROBIONE</t>
        </is>
      </c>
    </row>
    <row r="23">
      <c r="A23" s="4" t="inlineStr">
        <is>
          <t>T22</t>
        </is>
      </c>
      <c r="B23" s="4" t="inlineStr">
        <is>
          <t>Brzmienie zapisu umowy konsorcjum o terminie przeniesienia praw PRz (do decyzji D36)</t>
        </is>
      </c>
      <c r="C23" s="4" t="inlineStr">
        <is>
          <t>Potrzebne do wyboru wariantu A lub B.</t>
        </is>
      </c>
      <c r="D23" s="4" t="inlineStr">
        <is>
          <t>Właściciel</t>
        </is>
      </c>
      <c r="E23" s="4" t="inlineStr">
        <is>
          <t>03.10</t>
        </is>
      </c>
      <c r="F23" s="4" t="inlineStr">
        <is>
          <t>K2-02, D36</t>
        </is>
      </c>
      <c r="G23" s="4" t="inlineStr">
        <is>
          <t>ZROBIONE (§ 11 przekazany 02.10.2026)</t>
        </is>
      </c>
    </row>
    <row r="24">
      <c r="A24" s="4" t="inlineStr">
        <is>
          <t>T23</t>
        </is>
      </c>
      <c r="B24" s="4" t="inlineStr">
        <is>
          <t>Potwierdzenie założeń sekcji 6.1 (D37): formy umów, etaty poza projektem (PRz, Natanek Logistics), brak funkcji zarządczych w PRz, Natanek jako partner a nie podwykonawca, umowa o poufności</t>
        </is>
      </c>
      <c r="C24" s="4" t="inlineStr">
        <is>
          <t>Teksty 6.1 są napisane przy tych założeniach; jeśli któreś jest inne, zmieni się zdanie w polach „Sposób zarządzania”, „Status współpracy” i dopiskach do doświadczenia.</t>
        </is>
      </c>
      <c r="D24" s="4" t="inlineStr">
        <is>
          <t>Właścicielka</t>
        </is>
      </c>
      <c r="E24" s="4" t="inlineStr">
        <is>
          <t>03.10</t>
        </is>
      </c>
      <c r="F24" s="4" t="inlineStr">
        <is>
          <t>K5-01, K5-07, K5-08, K5-09</t>
        </is>
      </c>
      <c r="G24" s="4" t="inlineStr">
        <is>
          <t>OTWARTE</t>
        </is>
      </c>
    </row>
    <row r="25">
      <c r="A25" s="4" t="inlineStr">
        <is>
          <t>T24</t>
        </is>
      </c>
      <c r="B25" s="4" t="inlineStr">
        <is>
          <t>Dane do sekcji 6.2-6.4 (K5-12 do K5-19): biuro (adres, tytuł prawny, powierzchnia, stanowiska), flota Natanek (liczba i typy pojazdów, okres, podstawa, odpłatność, prawo do danych), sprzęt IT i WNiP Everest11, infrastruktura PRz (EMC, fotogrametria, GPU)</t>
        </is>
      </c>
      <c r="C25" s="4" t="inlineStr">
        <is>
          <t>Dane podane 02.10.2026: biuro (Książkowa 51F, najem na czas nieokreślony, ok. 60 m2), flota (5 zestawów, umowa od 03.2025, prawo do danych), PRz posiada EMC, fotogrametrię i GPU. Pozostaje T25 i T26.</t>
        </is>
      </c>
      <c r="D25" s="4" t="inlineStr">
        <is>
          <t>Właścicielka (Everest11, PRz)</t>
        </is>
      </c>
      <c r="E25" s="4" t="inlineStr">
        <is>
          <t>03.10</t>
        </is>
      </c>
      <c r="F25" s="4" t="inlineStr">
        <is>
          <t>K5-12 do K5-19</t>
        </is>
      </c>
      <c r="G25" s="4" t="inlineStr">
        <is>
          <t>ZROBIONE</t>
        </is>
      </c>
    </row>
    <row r="26">
      <c r="A26" s="4" t="inlineStr">
        <is>
          <t>T25</t>
        </is>
      </c>
      <c r="B26" s="4" t="inlineStr">
        <is>
          <t>PRz: karta aparatury EMC (model i zakresy), system fotogrametryczny (typ i niepewność), zasoby GPU (liczba, typ, pamięć)</t>
        </is>
      </c>
      <c r="C26" s="4" t="inlineStr">
        <is>
          <t>Trzy żółte pola w sekcji 6.2 (PRz).</t>
        </is>
      </c>
      <c r="D26" s="4" t="inlineStr">
        <is>
          <t>Właścicielka (PRz)</t>
        </is>
      </c>
      <c r="E26" s="4" t="inlineStr">
        <is>
          <t>04.10</t>
        </is>
      </c>
      <c r="F26" s="4" t="inlineStr">
        <is>
          <t>K5-16</t>
        </is>
      </c>
      <c r="G26" s="4" t="inlineStr">
        <is>
          <t>OTWARTE</t>
        </is>
      </c>
    </row>
    <row r="27">
      <c r="A27" s="4" t="inlineStr">
        <is>
          <t>T26</t>
        </is>
      </c>
      <c r="B27" s="4" t="inlineStr">
        <is>
          <t>Everest11: liczba stanowisk w biurze, liczba i dostawca stanowisk komputerowych, narzędzia i repozytoria, prawa do TMS i API, wykaz licencji oprogramowania</t>
        </is>
      </c>
      <c r="C27" s="4" t="inlineStr">
        <is>
          <t>Pola żółte w 6.2 i 6.3 (Everest11).</t>
        </is>
      </c>
      <c r="D27" s="4" t="inlineStr">
        <is>
          <t>Właścicielka (Everest11)</t>
        </is>
      </c>
      <c r="E27" s="4" t="inlineStr">
        <is>
          <t>04.10</t>
        </is>
      </c>
      <c r="F27" s="4" t="inlineStr">
        <is>
          <t>K5-14, K5-15, K5-17</t>
        </is>
      </c>
      <c r="G27" s="4" t="inlineStr">
        <is>
          <t>OTWARTE</t>
        </is>
      </c>
    </row>
    <row r="28">
      <c r="A28" s="4" t="inlineStr">
        <is>
          <t>T27</t>
        </is>
      </c>
      <c r="B28" s="4" t="inlineStr">
        <is>
          <t>Zarząd Everest11: przyjąć 4 dokumenty równościowe do 31.10.2026</t>
        </is>
      </c>
      <c r="C28" s="4" t="inlineStr">
        <is>
          <t>Polityka równego traktowania, procedura rekrutacji i wynagradzania, polityka godzenia pracy z życiem prywatnym, polityka danych osobowych. Tekst 7.1 mówi o przyjęciu przed startem.</t>
        </is>
      </c>
      <c r="D28" s="4" t="inlineStr">
        <is>
          <t>Właścicielka (Everest11)</t>
        </is>
      </c>
      <c r="E28" s="4" t="inlineStr">
        <is>
          <t>31.10</t>
        </is>
      </c>
      <c r="F28" s="4" t="inlineStr">
        <is>
          <t>K10-01</t>
        </is>
      </c>
      <c r="G28" s="4" t="inlineStr">
        <is>
          <t>OTWARTE</t>
        </is>
      </c>
    </row>
    <row r="29">
      <c r="A29" s="4" t="inlineStr">
        <is>
          <t>T28</t>
        </is>
      </c>
      <c r="B29" s="4" t="inlineStr">
        <is>
          <t>PRz: potwierdzić Plan Równości Płci po 2025, regulamin pracy, kodeks etyki, regulacje antymobbingowe; potwierdzić rolę PRz w 6R</t>
        </is>
      </c>
      <c r="C29" s="4" t="inlineStr">
        <is>
          <t>Źródło: zarządzenie Rektora nr 91/2022 (plan na lata 2022-2025). Rola PRz: dobór lekkich architektur Z3 i Z8 i przeliczenie wolumenu danych.</t>
        </is>
      </c>
      <c r="D29" s="4" t="inlineStr">
        <is>
          <t>Właścicielka (PRz)</t>
        </is>
      </c>
      <c r="E29" s="4" t="inlineStr">
        <is>
          <t>04.10</t>
        </is>
      </c>
      <c r="F29" s="4" t="inlineStr">
        <is>
          <t>K10-01, K13-05</t>
        </is>
      </c>
      <c r="G29" s="4" t="inlineStr">
        <is>
          <t>OTWARTE</t>
        </is>
      </c>
    </row>
    <row r="30">
      <c r="A30" s="4" t="inlineStr">
        <is>
          <t>T29</t>
        </is>
      </c>
      <c r="B30" s="4" t="inlineStr">
        <is>
          <t>Dział techniczny: potwierdzić rozmywanie wizerunków w zbiorze, cel 5% danych do chmury, listę kontrolną dostępności w Z9, pomiar papieru</t>
        </is>
      </c>
      <c r="C30" s="4" t="inlineStr">
        <is>
          <t>Teksty 7.2 i 7.4 zawierają te zobowiązania. Zob. część 8 pliku Sekcja_7_zasady_horyzontalne_6R.docx.</t>
        </is>
      </c>
      <c r="D30" s="4" t="inlineStr">
        <is>
          <t>Dział techniczny</t>
        </is>
      </c>
      <c r="E30" s="4" t="inlineStr">
        <is>
          <t>05.10</t>
        </is>
      </c>
      <c r="F30" s="4" t="inlineStr">
        <is>
          <t>K11-01, K13-01..04</t>
        </is>
      </c>
      <c r="G30" s="4" t="inlineStr">
        <is>
          <t>OTWARTE</t>
        </is>
      </c>
    </row>
    <row r="31">
      <c r="A31" s="4" t="inlineStr">
        <is>
          <t>T30</t>
        </is>
      </c>
      <c r="B31" s="4" t="inlineStr">
        <is>
          <t>(zamknięte) TRANSLOG: podział pakietu wg cennika historycznego od właścicielki</t>
        </is>
      </c>
      <c r="C31" s="4" t="inlineStr">
        <is>
          <t>Podział 24 000 zł jest oszacowaniem (16 000 + 8 000); tekst powołuje się na korespondencję.</t>
        </is>
      </c>
      <c r="D31" s="4" t="inlineStr">
        <is>
          <t>Właścicielka</t>
        </is>
      </c>
      <c r="E31" s="4" t="inlineStr">
        <is>
          <t>05.10</t>
        </is>
      </c>
      <c r="F31" s="4" t="inlineStr">
        <is>
          <t>K3-64</t>
        </is>
      </c>
      <c r="G31" s="4" t="inlineStr">
        <is>
          <t>ZROBIONE</t>
        </is>
      </c>
    </row>
    <row r="32">
      <c r="A32" s="4" t="inlineStr">
        <is>
          <t>T31</t>
        </is>
      </c>
      <c r="B32" s="4" t="inlineStr">
        <is>
          <t>Kurs NBP z 09.03.2026: 4,2836 PLN/EUR (podany przez właścicielkę)</t>
        </is>
      </c>
      <c r="C32" s="4" t="inlineStr">
        <is>
          <t>Pozycja 11-3 (opłaty EPO).</t>
        </is>
      </c>
      <c r="D32" s="4" t="inlineStr">
        <is>
          <t>Właścicielka</t>
        </is>
      </c>
      <c r="E32" s="4" t="inlineStr">
        <is>
          <t>04.10</t>
        </is>
      </c>
      <c r="F32" s="4" t="inlineStr">
        <is>
          <t>K3-60</t>
        </is>
      </c>
      <c r="G32" s="4" t="inlineStr">
        <is>
          <t>ZROBIONE</t>
        </is>
      </c>
    </row>
    <row r="33">
      <c r="A33" s="4" t="inlineStr">
        <is>
          <t>T32</t>
        </is>
      </c>
      <c r="B33" s="4" t="inlineStr">
        <is>
          <t>Umowa o wykonywaniu wspólnych praw z PRz przed Z11; wniosek o zmianę PKD do 31.03.2027</t>
        </is>
      </c>
      <c r="C33" s="4" t="inlineStr">
        <is>
          <t>Wyjaśnienie celu w części 9 pliku Sekcja_3.2. De minimis: oświadczenie składane przed podpisaniem umowy, nie jest potrzebne we wniosku.</t>
        </is>
      </c>
      <c r="D33" s="4" t="inlineStr">
        <is>
          <t>Właścicielka, PRz, księgowość</t>
        </is>
      </c>
      <c r="E33" s="4" t="inlineStr">
        <is>
          <t>06.10</t>
        </is>
      </c>
      <c r="F33" s="4" t="inlineStr">
        <is>
          <t>K3-23, K3-24, K2-02</t>
        </is>
      </c>
      <c r="G33" s="4" t="inlineStr">
        <is>
          <t>OTWARTE</t>
        </is>
      </c>
    </row>
    <row r="34">
      <c r="A34" s="4" t="inlineStr">
        <is>
          <t>T33</t>
        </is>
      </c>
      <c r="B34" s="4" t="inlineStr">
        <is>
          <t>Zakupy Everest11 i PRz: potwierdzić ceny w 3 źródłach każdej pozycji amortyzacji (tabela w części 6 pliku Sekcja_3.1)</t>
        </is>
      </c>
      <c r="C34" s="4" t="inlineStr">
        <is>
          <t>W metodach wpisano po 3 dostawców; ceny zweryfikowane dla części składników, dla pozostałych (IMU, UPS supercap, LED, minikomputery PRz) do potwierdzenia.</t>
        </is>
      </c>
      <c r="D34" s="4" t="inlineStr">
        <is>
          <t>Właścicielka (Everest11)</t>
        </is>
      </c>
      <c r="E34" s="4" t="inlineStr">
        <is>
          <t>05.10</t>
        </is>
      </c>
      <c r="F34" s="4" t="inlineStr">
        <is>
          <t>K3-49</t>
        </is>
      </c>
      <c r="G34" s="4" t="inlineStr">
        <is>
          <t>OTWARTE</t>
        </is>
      </c>
    </row>
    <row r="35">
      <c r="A35" s="4" t="inlineStr">
        <is>
          <t>T34</t>
        </is>
      </c>
      <c r="B35" s="4" t="inlineStr">
        <is>
          <t>Księgowa: polityka rachunkowości potwierdzona (jednorazowy odpis kompletów do 10 000 zł); symbole KŚT w ewidencji, nie w polach LSI</t>
        </is>
      </c>
      <c r="C35" s="4" t="inlineStr">
        <is>
          <t>Zob. część 6 pliku Sekcja_3.1_sprzet_i_amortyzacja.docx. Łączy się z T03.</t>
        </is>
      </c>
      <c r="D35" s="4" t="inlineStr">
        <is>
          <t>Właścicielka (księgowa), PRz</t>
        </is>
      </c>
      <c r="E35" s="4" t="inlineStr">
        <is>
          <t>05.10</t>
        </is>
      </c>
      <c r="F35" s="4" t="inlineStr">
        <is>
          <t>K3-50, K3-52, K3-56</t>
        </is>
      </c>
      <c r="G35" s="4" t="inlineStr">
        <is>
          <t>ZROBIONE</t>
        </is>
      </c>
    </row>
    <row r="36">
      <c r="A36" s="4" t="inlineStr">
        <is>
          <t>T35</t>
        </is>
      </c>
      <c r="B36" s="4" t="inlineStr">
        <is>
          <t>Dział techniczny: D06 (konfiguracja kamer), klasa dysku NVMe, pasmo i cena radaru</t>
        </is>
      </c>
      <c r="C36" s="4" t="inlineStr">
        <is>
          <t>D06 kamery; klasa dysku NVMe; pasmo i cena radaru; płyta nośna do Jetsona (ok. 1 000 zł na komplet); klasa switcha PoE+. Czekamy na odpowiedź.</t>
        </is>
      </c>
      <c r="D36" s="4" t="inlineStr">
        <is>
          <t>Dział techniczny</t>
        </is>
      </c>
      <c r="E36" s="4" t="inlineStr">
        <is>
          <t>05.10</t>
        </is>
      </c>
      <c r="F36" s="4" t="inlineStr">
        <is>
          <t>K3-55, K3-49, N54</t>
        </is>
      </c>
      <c r="G36" s="4" t="inlineStr">
        <is>
          <t>WYSŁANE (właścicielka potwierdziła 02.10); czekamy na odpowiedzi</t>
        </is>
      </c>
    </row>
    <row r="37">
      <c r="A37" s="4" t="inlineStr">
        <is>
          <t>T36</t>
        </is>
      </c>
      <c r="B37" s="4" t="inlineStr">
        <is>
          <t>Dwie dodatkowe oferty rzecznika patentowego (poza JWP) na orzeczenie, dokumentację i zgłoszenie EPO</t>
        </is>
      </c>
      <c r="C37" s="4" t="inlineStr">
        <is>
          <t>Wymóg: min. 3 dostawców w metodzie szacowania (Instrukcja i uwaga właścicielki). Po ofertach dopiszę metodę w pozycjach 11-1 i 11-2.</t>
        </is>
      </c>
      <c r="D37" s="4" t="inlineStr">
        <is>
          <t>Właścicielka (Everest11)</t>
        </is>
      </c>
      <c r="E37" s="4" t="inlineStr">
        <is>
          <t>05.10</t>
        </is>
      </c>
      <c r="F37" s="4" t="inlineStr">
        <is>
          <t>K3-61, K3-66</t>
        </is>
      </c>
      <c r="G37" s="4" t="inlineStr">
        <is>
          <t>OTWARTE</t>
        </is>
      </c>
    </row>
    <row r="38">
      <c r="A38" s="4" t="inlineStr">
        <is>
          <t>T37</t>
        </is>
      </c>
      <c r="B38" s="4" t="inlineStr">
        <is>
          <t>Opcjonalnie: e-mail do 3 oferentów o rozbicie ofert na godziny i stawki; sprawdzić 3 źródła stawek (kb.pl, Interia, cenauslug.pl)</t>
        </is>
      </c>
      <c r="C38" s="4" t="inlineStr">
        <is>
          <t>Zob. część 9 dokumentu Sekcja_3.1_podwykonawstwo_i_stawki_PRz.docx. Od odpowiedzi zależy zdanie w opisie Z2 i nazwa pozycji Z2.</t>
        </is>
      </c>
      <c r="D38" s="4" t="inlineStr">
        <is>
          <t>Właścicielka (Everest11)</t>
        </is>
      </c>
      <c r="E38" s="4" t="inlineStr">
        <is>
          <t>05.10</t>
        </is>
      </c>
      <c r="F38" s="4" t="inlineStr">
        <is>
          <t>K3-43, K3-44, K3-45</t>
        </is>
      </c>
      <c r="G38" s="4" t="inlineStr">
        <is>
          <t>OTWARTE</t>
        </is>
      </c>
    </row>
    <row r="39">
      <c r="A39" s="4" t="inlineStr">
        <is>
          <t>T38</t>
        </is>
      </c>
      <c r="B39" s="4" t="inlineStr">
        <is>
          <t>PRz: godziny Z8 objęte oddelegowaniami; wyciąg z tabeli stawek Regulaminu (opcjonalnie)</t>
        </is>
      </c>
      <c r="C39" s="4" t="inlineStr">
        <is>
          <t>Zob. część 6.2 dokumentu Sekcja_3.1_podwykonawstwo_i_stawki_PRz.docx. Godziny Z8: 301, 301, 111, 102, 224, 185, 189, 185.</t>
        </is>
      </c>
      <c r="D39" s="4" t="inlineStr">
        <is>
          <t>PRz (przez Właścicielkę)</t>
        </is>
      </c>
      <c r="E39" s="4" t="inlineStr">
        <is>
          <t>05.10</t>
        </is>
      </c>
      <c r="F39" s="4" t="inlineStr">
        <is>
          <t>K3-41, K3-42</t>
        </is>
      </c>
      <c r="G39" s="4" t="inlineStr">
        <is>
          <t>OTWARTE</t>
        </is>
      </c>
    </row>
    <row r="40">
      <c r="A40" s="4" t="inlineStr">
        <is>
          <t>T39</t>
        </is>
      </c>
      <c r="B40" s="4" t="inlineStr">
        <is>
          <t>Księgowa Everest11: struktura wiekowa należności i zobowiązań na 30.06.2026 (do 30, 31-60, 61-90, &gt;90 dni), zaliczki i przedpłaty od odbiorców</t>
        </is>
      </c>
      <c r="C40" s="4" t="inlineStr">
        <is>
          <t>Bilans pokazuje zaliczki 0 i zapasy 0. Bez tych danych K6-08 nie jest w pełni zamknięte; nie wolno ich zgadywać.</t>
        </is>
      </c>
      <c r="D40" s="4" t="inlineStr">
        <is>
          <t>Właścicielka (Everest11)</t>
        </is>
      </c>
      <c r="E40" s="4" t="inlineStr">
        <is>
          <t>05.10</t>
        </is>
      </c>
      <c r="F40" s="4" t="inlineStr">
        <is>
          <t>K6-08</t>
        </is>
      </c>
      <c r="G40" s="4" t="inlineStr">
        <is>
          <t>ZROBIONE: całość sald do 30 dni, brak zaliczek i zapasów (05.10); do doprecyzowania T44</t>
        </is>
      </c>
    </row>
    <row r="41">
      <c r="A41" s="4" t="inlineStr">
        <is>
          <t>T40</t>
        </is>
      </c>
      <c r="B41" s="4" t="inlineStr">
        <is>
          <t>Księgowa Everest11: wyjaśnić spadek zobowiązań handlowych (7,5 mln zł 31.12.2025 -&gt; 1,4 mln zł 30.06.2026) i należności (4,9 -&gt; 2,0 mln zł)</t>
        </is>
      </c>
      <c r="C41" s="4" t="inlineStr">
        <is>
          <t>Podstawa wyboru wariantu A lub B w D46 i odpowiedzi na K6-04.</t>
        </is>
      </c>
      <c r="D41" s="4" t="inlineStr">
        <is>
          <t>Właścicielka (Everest11)</t>
        </is>
      </c>
      <c r="E41" s="4" t="inlineStr">
        <is>
          <t>05.10</t>
        </is>
      </c>
      <c r="F41" s="4" t="inlineStr">
        <is>
          <t>K6-04, D46</t>
        </is>
      </c>
      <c r="G41" s="4" t="inlineStr">
        <is>
          <t>ZROBIONE: regularne płatności, wcześniej przeterminowania, poziom 2026 utrzymany (05.10)</t>
        </is>
      </c>
    </row>
    <row r="42">
      <c r="A42" s="4" t="inlineStr">
        <is>
          <t>T41</t>
        </is>
      </c>
      <c r="B42" s="4" t="inlineStr">
        <is>
          <t>LSI: załączyć podpisane sprawozdania za II kwartał 2026 (bilans, RZiS na 30.06.2026), usunąć załączniki za I kwartał; wpisać zmiany w modelu wg dokumentu K6</t>
        </is>
      </c>
      <c r="C42" s="4" t="inlineStr">
        <is>
          <t>Zob. Sekcja_K6_sprawozdanie_2Q2026_model.docx, części 2 i 6. Pliki PDF od Everest11 podpisane 02.10.2026. Gotowy plik modelu: Model_finansowy_CargoDT_Everest_II_kwartal_2026.xlsm (zmiany z dokumentu K6 już wprowadzone, wariant A rotacji zobowiązań). | 05.10: właścicielka potwierdziła, że ma podpisane sprawozdania II kwartału, PIT Inwestora i zaświadczenie bankowe; pozostaje załączenie w LSI.</t>
        </is>
      </c>
      <c r="D42" s="4" t="inlineStr">
        <is>
          <t>Właścicielka</t>
        </is>
      </c>
      <c r="E42" s="4" t="inlineStr">
        <is>
          <t>06.10</t>
        </is>
      </c>
      <c r="F42" s="4" t="inlineStr">
        <is>
          <t>K6-07</t>
        </is>
      </c>
      <c r="G42" s="4" t="inlineStr">
        <is>
          <t>DOKUMENTY GOTOWE, do załączenia w LSI</t>
        </is>
      </c>
    </row>
    <row r="43">
      <c r="A43" s="4" t="inlineStr">
        <is>
          <t>T42</t>
        </is>
      </c>
      <c r="B43" s="4" t="inlineStr">
        <is>
          <t>Dopisek do maila do księgowej: stawka CIT (19% czy 9%), udział usług obcych od podmiotów powiązanych z Inwestorem (Z. Natanek) w 2025 i I poł. 2026 (K6-16)</t>
        </is>
      </c>
      <c r="C43" s="4" t="inlineStr">
        <is>
          <t>Zob. dokument K6, część 7.1.</t>
        </is>
      </c>
      <c r="D43" s="4" t="inlineStr">
        <is>
          <t>Właścicielka (księgowa)</t>
        </is>
      </c>
      <c r="E43" s="4" t="inlineStr">
        <is>
          <t>05.10</t>
        </is>
      </c>
      <c r="F43" s="4" t="inlineStr">
        <is>
          <t>K6-02, K6-16</t>
        </is>
      </c>
      <c r="G43" s="4" t="inlineStr">
        <is>
          <t>ZROBIONE: CIT 19%; ok. 95% zakupów usług od Natanek Logistics, ok. 5% inni dostawcy (05.10); kwoty do doprecyzowania T44</t>
        </is>
      </c>
    </row>
    <row r="44">
      <c r="A44" s="4" t="inlineStr">
        <is>
          <t>T43</t>
        </is>
      </c>
      <c r="B44" s="4" t="inlineStr">
        <is>
          <t>Dział techniczny i właścicielka: zatwierdzić tabele 8.1 i 8.2 z dokumentu K6 (koszt zestawu 4 875 zł i zespół komercjalizacji)</t>
        </is>
      </c>
      <c r="C44" s="4" t="inlineStr">
        <is>
          <t>Zob. dokument K6, część 7.2.</t>
        </is>
      </c>
      <c r="D44" s="4" t="inlineStr">
        <is>
          <t>Właścicielka</t>
        </is>
      </c>
      <c r="E44" s="4" t="inlineStr">
        <is>
          <t>05.10</t>
        </is>
      </c>
      <c r="F44" s="4" t="inlineStr">
        <is>
          <t>K6-12, K2-12, K2-13, N58, K6-10, K6-11</t>
        </is>
      </c>
      <c r="G44" s="4" t="inlineStr">
        <is>
          <t>OTWARTE</t>
        </is>
      </c>
    </row>
    <row r="45">
      <c r="A45" s="4" t="inlineStr">
        <is>
          <t>T44</t>
        </is>
      </c>
      <c r="B45" s="4" t="inlineStr">
        <is>
          <t>Opcjonalnie: kwoty (nie procenty) zakupów od Natanek Logistics w 2025 i I poł. 2026</t>
        </is>
      </c>
      <c r="C45" s="4" t="inlineStr">
        <is>
          <t>Zob. dokument K6, część 6. Przybliżenia w komentarzu: ok. 13,4 mln zł i ok. 8,4 mln zł.</t>
        </is>
      </c>
      <c r="D45" s="4" t="inlineStr">
        <is>
          <t>Właścicielka (księgowa)</t>
        </is>
      </c>
      <c r="E45" s="4" t="inlineStr">
        <is>
          <t>06.10</t>
        </is>
      </c>
      <c r="F45" s="4" t="inlineStr">
        <is>
          <t>K6-08, K6-16</t>
        </is>
      </c>
      <c r="G45" s="4" t="inlineStr">
        <is>
          <t>OTWARTE</t>
        </is>
      </c>
    </row>
    <row r="46">
      <c r="A46" s="4" t="inlineStr">
        <is>
          <t>T45</t>
        </is>
      </c>
      <c r="B46" s="4" t="inlineStr">
        <is>
          <t>Odpowiedzi właścicielki 05.10: kancelaria adwokacka potwierdzona (słowo „niezależnych” usunięte), brak pokrewieństwa z M. Chrzanowskim, dwaj pozostali operatorzy niepowiązani, umowa z Amazon objęta tajemnicą</t>
        </is>
      </c>
      <c r="C46" s="4" t="inlineStr">
        <is>
          <t>Zob. dokument K6, część 5.2.</t>
        </is>
      </c>
      <c r="D46" s="4" t="inlineStr">
        <is>
          <t>Właścicielka</t>
        </is>
      </c>
      <c r="E46" s="4" t="inlineStr">
        <is>
          <t>06.10</t>
        </is>
      </c>
      <c r="F46" s="4" t="inlineStr">
        <is>
          <t>K6-05, K6-16, K3-32, K2-01</t>
        </is>
      </c>
      <c r="G46" s="4" t="inlineStr">
        <is>
          <t>OTWARTE</t>
        </is>
      </c>
    </row>
    <row r="47">
      <c r="A47" s="4" t="inlineStr">
        <is>
          <t>T46</t>
        </is>
      </c>
      <c r="B47" s="4" t="inlineStr">
        <is>
          <t>Dział techniczny: ocena założeń cenowych komponentów zestawu retrofit (tabela 8.1 w dokumencie K6) i plan zapytań ofertowych w Z7</t>
        </is>
      </c>
      <c r="C47" s="4" t="inlineStr">
        <is>
          <t>Bez tego komentarz w modelu mówi tylko, że ceny to założenia do potwierdzenia.</t>
        </is>
      </c>
      <c r="D47" s="4" t="inlineStr">
        <is>
          <t>Właścicielka (dział techniczny)</t>
        </is>
      </c>
      <c r="E47" s="4" t="inlineStr">
        <is>
          <t>06.10</t>
        </is>
      </c>
      <c r="F47" s="4" t="inlineStr">
        <is>
          <t>K2-13, D53</t>
        </is>
      </c>
      <c r="G47" s="4" t="inlineStr">
        <is>
          <t>OTWARTE</t>
        </is>
      </c>
    </row>
    <row r="48">
      <c r="A48" s="4" t="inlineStr">
        <is>
          <t>T47</t>
        </is>
      </c>
      <c r="B48" s="4" t="inlineStr">
        <is>
          <t>PRz: sprawdzić własny arkusz Zaliczka-refundacja (90,0% zaliczek i 10,0% refundacji, na granicy limitu); opcjonalnie przesunąć ok. 1% do refundacji końcowej</t>
        </is>
      </c>
      <c r="C48" s="4" t="inlineStr">
        <is>
          <t>Plik modelu PRz nie jest edytowany przez Claude.</t>
        </is>
      </c>
      <c r="D48" s="4" t="inlineStr">
        <is>
          <t>PRz (przez właścicielkę)</t>
        </is>
      </c>
      <c r="E48" s="4" t="inlineStr">
        <is>
          <t>06.10</t>
        </is>
      </c>
      <c r="F48" s="4" t="inlineStr">
        <is>
          <t>K6-14</t>
        </is>
      </c>
      <c r="G48" s="4" t="inlineStr">
        <is>
          <t>OPCJONALNE</t>
        </is>
      </c>
    </row>
    <row r="49">
      <c r="A49" s="4" t="inlineStr">
        <is>
          <t>T48</t>
        </is>
      </c>
      <c r="B49" s="4" t="inlineStr">
        <is>
          <t>Wprowadzić zmiany z dokumentu Zmiany_do_wprowadzenia_w_plikach_zamknietych.docx w odpowiednich polach LSI (pkt 1.3, ryzyka R11 i R12, opis Z9, opis dokapitalizowania)</t>
        </is>
      </c>
      <c r="C49" s="4" t="inlineStr">
        <is>
          <t>Pliki źródłowe są zamknięte, zmiany tylko w LSI.</t>
        </is>
      </c>
      <c r="D49" s="4" t="inlineStr">
        <is>
          <t>Właścicielka</t>
        </is>
      </c>
      <c r="E49" s="4" t="inlineStr">
        <is>
          <t>06.10</t>
        </is>
      </c>
      <c r="F49" s="4" t="inlineStr">
        <is>
          <t>D47, D48, N83</t>
        </is>
      </c>
      <c r="G49" s="4" t="inlineStr">
        <is>
          <t>OTWARTE</t>
        </is>
      </c>
    </row>
    <row r="50">
      <c r="A50" s="4" t="inlineStr">
        <is>
          <t>T49</t>
        </is>
      </c>
      <c r="B50" s="4" t="inlineStr">
        <is>
          <t>Zgodność godzin anotatorów (3 x 10 mc x 168 h = 5 040 h) z szacunkiem nakładu w opisie Z2</t>
        </is>
      </c>
      <c r="C50" s="4" t="inlineStr">
        <is>
          <t>Opis Z2 podaje 2 750-3 000 h na anotację 15 000 klatek (11-12 min na klatkę), a reszta ma pokryć próbę zgodności, reanotację, pilotaż i kontrolę. Dział techniczny ma potwierdzić podział ok. 5 040 h, żeby wniosek nie pozostawił niewyjaśnionej różnicy (uwaga K3-39 i K5-03).</t>
        </is>
      </c>
      <c r="D50" s="4" t="inlineStr">
        <is>
          <t>Dział techniczny + Claude</t>
        </is>
      </c>
      <c r="E50" s="4" t="inlineStr">
        <is>
          <t>06.10</t>
        </is>
      </c>
      <c r="F50" s="4" t="inlineStr">
        <is>
          <t>K3-39, K5-03, N12</t>
        </is>
      </c>
      <c r="G50" s="4" t="inlineStr">
        <is>
          <t>OTWARTE</t>
        </is>
      </c>
    </row>
    <row r="51">
      <c r="A51" s="4" t="inlineStr">
        <is>
          <t>T50</t>
        </is>
      </c>
      <c r="B51" s="4" t="inlineStr">
        <is>
          <t>Włoch: wniosek opisuje go jako kierownika Zakładu PRz (K3-33); deklaracje dla Batsch, Nowak, Kusy, Król i potwierdzenie dla AI Lead</t>
        </is>
      </c>
      <c r="C51" s="4" t="inlineStr">
        <is>
          <t>Przewodnik 3.3.1 i 3.3.9: osoba zarządzająca, nadzorująca lub koordynująca u konsorcjanta jest rozliczana wyłącznie w kosztach pośrednich. Biografia Włocha w LSI mówi o funkcji kierownika Zakładu. Trzeba od PRz pisemnie: czy funkcję pełni. Wariant A: wyłączenie 81 793,80 zł (z narzutem 102 242,25 zł) z Personelu PRz; wariant B: korekta biografii tylko jeśli opis jest nieprawdziwy. Od właścicielki: potwierdzenie dla Jakuba Kosterny. Teksty: Zmiany_do_wprowadzenia, poz. 5.1-5.4.</t>
        </is>
      </c>
      <c r="D51" s="4" t="inlineStr">
        <is>
          <t>Właścicielka + PRz</t>
        </is>
      </c>
      <c r="E51" s="4" t="inlineStr">
        <is>
          <t>06.10</t>
        </is>
      </c>
      <c r="F51" s="4" t="inlineStr">
        <is>
          <t>K3-33, D19, T23, N86</t>
        </is>
      </c>
      <c r="G51" s="4" t="inlineStr">
        <is>
          <t>OTWARTE</t>
        </is>
      </c>
    </row>
    <row r="52">
      <c r="A52" s="4" t="inlineStr">
        <is>
          <t>T51</t>
        </is>
      </c>
      <c r="B52" s="4" t="inlineStr">
        <is>
          <t>Uzupełnić żółte pola w komentarzu Finansowanie i potwierdzić D53 oraz sprzedaż zestawów po 2034 r.</t>
        </is>
      </c>
      <c r="C52" s="4" t="inlineStr">
        <is>
          <t>Dane: data Warunkowej Umowy Inwestycyjnej, bank, data i kwota zaświadczenia, źródło sfinansowania nabycia praw PRz; sprawdzić w LSI, że umowa i zaświadczenie są załączone; decyzja o sprzedaży zestawów po 2034 r. (Sekcja_K6, 9.13).</t>
        </is>
      </c>
      <c r="D52" s="4" t="inlineStr">
        <is>
          <t>Właścicielka</t>
        </is>
      </c>
      <c r="E52" s="4" t="inlineStr">
        <is>
          <t>06.10</t>
        </is>
      </c>
      <c r="F52" s="4" t="inlineStr">
        <is>
          <t>D55, D53, K6-12</t>
        </is>
      </c>
      <c r="G52" s="4" t="inlineStr">
        <is>
          <t>OTWARTE</t>
        </is>
      </c>
    </row>
    <row r="53">
      <c r="A53" s="4" t="inlineStr">
        <is>
          <t>T52</t>
        </is>
      </c>
      <c r="B53" s="4" t="inlineStr">
        <is>
          <t>Pliki źródłowe a LSI: poprawić Sekcja_7_zasady_horyzontalne_6R, Sekcja_3.1_sprzet_i_amortyzacja, Sekcja_3.1_podwykonawstwo_i_stawki_PRz (cicha notyfikacja zamiast alarmu dźwiękowego, 30 miesięcy, stawki PRz) albo wkleić pola w całości z pliku LSI</t>
        </is>
      </c>
      <c r="C53" s="4" t="inlineStr">
        <is>
          <t>Zamiany ZNAJDŹ/ZAMIEŃ z części B pliku LSI nie znajdą tekstu w wersji C, bo tych plików jeszcze nie wklejono. Decyzja: poprawiamy pliki (wtedy Claude je przebuduje) albo wklejasz pola w całości z pliku LSI.</t>
        </is>
      </c>
      <c r="D53" s="4" t="inlineStr">
        <is>
          <t>Właścicielka (decyzja), Claude (poprawki)</t>
        </is>
      </c>
      <c r="E53" s="4" t="inlineStr">
        <is>
          <t>06.10</t>
        </is>
      </c>
      <c r="F53" s="4" t="inlineStr">
        <is>
          <t>N92, D49</t>
        </is>
      </c>
      <c r="G53" s="4" t="inlineStr">
        <is>
          <t>OTWARTE</t>
        </is>
      </c>
    </row>
    <row r="54">
      <c r="A54" s="4" t="inlineStr">
        <is>
          <t>T53</t>
        </is>
      </c>
      <c r="B54" s="4" t="inlineStr">
        <is>
          <t>Godziny reanotacji w Z8 (specjaliści danych PRz: 225 i 184 h) wystarczające do reanotacji klas po zmianie taksonomii 2.0? Dopisać wykonawcę reanotacji w Z8</t>
        </is>
      </c>
      <c r="C54" s="4" t="inlineStr">
        <is>
          <t>Anotatorzy Z2 kończą w M18, a reanotacja w M22 do M26.</t>
        </is>
      </c>
      <c r="D54" s="4" t="inlineStr">
        <is>
          <t>Dział techniczny + PRz</t>
        </is>
      </c>
      <c r="E54" s="4" t="inlineStr">
        <is>
          <t>06.10</t>
        </is>
      </c>
      <c r="F54" s="4" t="inlineStr">
        <is>
          <t>N97, K3-09</t>
        </is>
      </c>
      <c r="G54" s="4" t="inlineStr">
        <is>
          <t>OTWARTE</t>
        </is>
      </c>
    </row>
    <row r="55">
      <c r="A55" s="4" t="inlineStr">
        <is>
          <t>T54</t>
        </is>
      </c>
      <c r="B55" s="4" t="inlineStr">
        <is>
          <t>Potwierdzić fakty z pliku LSI bez dokumentów: umowa z Natanek od 03.2025, 5 ciągników i 3 pojazdy, ok. 60 m2 biura, PKD 62.10.B i 63.10.D i termin 31.03.2027, patent Delphi wygasa 2027, kurs NBP 5,0954 z 04.09.2026, rozmowy z ubezpieczycielem, 15 rozmów z klientami</t>
        </is>
      </c>
      <c r="C55" s="4" t="inlineStr">
        <is>
          <t>Zdania w pliku LSI nie mają w repozytorium dokumentu źródłowego; dopisać lub usunąć.</t>
        </is>
      </c>
      <c r="D55" s="4" t="inlineStr">
        <is>
          <t>Właścicielka</t>
        </is>
      </c>
      <c r="E55" s="4" t="inlineStr">
        <is>
          <t>06.10</t>
        </is>
      </c>
      <c r="F55" s="4" t="inlineStr">
        <is>
          <t>Zmiany 7.4</t>
        </is>
      </c>
      <c r="G55" s="4" t="inlineStr">
        <is>
          <t>OTWARTE</t>
        </is>
      </c>
    </row>
    <row r="56">
      <c r="A56" s="4" t="inlineStr">
        <is>
          <t>T55</t>
        </is>
      </c>
      <c r="B56" s="4" t="inlineStr">
        <is>
          <t>Wyciąg z TMS o strukturze kontrahentów (liczba z obrotem w 12 mies., przewoźnicy z flotą 5 do 50 naczep) albo ostateczne usunięcie „bazy ponad 50”</t>
        </is>
      </c>
      <c r="C56" s="4" t="inlineStr">
        <is>
          <t>Uwaga K2-01 wymaga struktury; bez wyciągu zostają teksty z Zmiany 1.1 do 1.4.</t>
        </is>
      </c>
      <c r="D56" s="4" t="inlineStr">
        <is>
          <t>Właścicielka</t>
        </is>
      </c>
      <c r="E56" s="4" t="inlineStr">
        <is>
          <t>06.10</t>
        </is>
      </c>
      <c r="F56" s="4" t="inlineStr">
        <is>
          <t>N88, D47, K2-01</t>
        </is>
      </c>
      <c r="G56" s="4" t="inlineStr">
        <is>
          <t>OTWARTE</t>
        </is>
      </c>
    </row>
    <row r="57">
      <c r="A57" s="4" t="inlineStr">
        <is>
          <t>T56</t>
        </is>
      </c>
      <c r="B57" s="4" t="inlineStr">
        <is>
          <t>Wkleić pola docelowe z Zmiany część 8: R11 (opis i zapobieganie), R12 (3.1 i 3.2 plus po jednym zdaniu), budżet 3.2.3 i 3.2.5 z Sekcja_3.2, pole 8.2 z poprawionym zdaniem</t>
        </is>
      </c>
      <c r="C57" s="4" t="inlineStr">
        <is>
          <t>Teksty gotowe w części 8 dokumentu „Zmiany”. Brakuje tylko dwóch ofert rzecznika dla 11-1 i 11-2 (T36) i decyzji o delegacie na kongres.</t>
        </is>
      </c>
      <c r="D57" s="4" t="inlineStr">
        <is>
          <t>Właścicielka</t>
        </is>
      </c>
      <c r="E57" s="4" t="inlineStr">
        <is>
          <t>06.10</t>
        </is>
      </c>
      <c r="F57" s="4" t="inlineStr">
        <is>
          <t>N89, N98, N101, N102</t>
        </is>
      </c>
      <c r="G57" s="4" t="inlineStr">
        <is>
          <t>OTWARTE</t>
        </is>
      </c>
    </row>
    <row r="58">
      <c r="A58" s="4" t="inlineStr">
        <is>
          <t>T57</t>
        </is>
      </c>
      <c r="B58" s="4" t="inlineStr">
        <is>
          <t>Model Everest po wniosku wersja C (2): wkład własny ogółem 1 253 357,99 -&gt; 1 250 555,58 zł (-2 802,41), wydatki ogółem Everest 4 217 654,10 -&gt; 4 214 851,69 zł, VAT niekwalifikowalny 80 937,78 -&gt; 78 135,37 zł; zaktualizować komentarze (Finansowanie) i Sekcja_K6; sprawdzić Środki trwałe</t>
        </is>
      </c>
      <c r="C58" s="4" t="inlineStr">
        <is>
          <t>Dopiero po zatwierdzeniu modelu PRz przez właścicielkę (kolejność: PRz, potem Everest). Konsorcjum: harmonogram PRz w arkuszu Zaliczka-refundacja Konsorcjum (F = Everest + PRz) przeliczyć wg nowego harmonogramu PRz (D60).</t>
        </is>
      </c>
      <c r="D58" s="4" t="inlineStr">
        <is>
          <t>Claude</t>
        </is>
      </c>
      <c r="E58" s="4" t="inlineStr">
        <is>
          <t>po akceptacji PRz</t>
        </is>
      </c>
      <c r="F58" s="4" t="inlineStr">
        <is>
          <t>D60, D54</t>
        </is>
      </c>
      <c r="G58" s="4" t="inlineStr">
        <is>
          <t>LICZBY WYKONANE 06.10 (D62); komentarze Everest po akceptacji liczb</t>
        </is>
      </c>
    </row>
    <row r="59">
      <c r="A59" s="4" t="inlineStr">
        <is>
          <t>T58</t>
        </is>
      </c>
      <c r="B59" s="4" t="inlineStr">
        <is>
          <t>Wkleić komentarze PRz do modelu PRz (Komentarze_model_finansowy_PRz.docx, część 4) i usunąć żółte warianty</t>
        </is>
      </c>
      <c r="C59" s="4" t="inlineStr">
        <is>
          <t>Teksty mają trzy potwierdzenia PRz na żółto: mechanizm zmiany stanu produktów 2024-2025 (K6-17, najważniejsze), inne przychody operacyjne 2024 (23 988 tys. zł), podstawa zwolnienia z CIT, tryb odzyskania VAT 33 971 zł i składki w stawkach godzinowych.</t>
        </is>
      </c>
      <c r="D59" s="4" t="inlineStr">
        <is>
          <t>Właścicielka</t>
        </is>
      </c>
      <c r="E59" s="4" t="inlineStr">
        <is>
          <t>06.10</t>
        </is>
      </c>
      <c r="F59" s="4" t="inlineStr">
        <is>
          <t>K6-01, K6-14, K6-17; D61</t>
        </is>
      </c>
      <c r="G59" s="4" t="inlineStr">
        <is>
          <t>OTWARTE</t>
        </is>
      </c>
    </row>
    <row r="60">
      <c r="A60" s="4" t="inlineStr">
        <is>
          <t>T59</t>
        </is>
      </c>
      <c r="B60" s="4" t="inlineStr">
        <is>
          <t>ANULOWANE (decyzja właścicielki 06.10): dane PRz za 2023 i 2024 r. nie będą wprowadzane</t>
        </is>
      </c>
      <c r="C60" s="4" t="inlineStr">
        <is>
          <t>Uproszczona sprawozdawczość organizacji badawczej. Ryzyko: pkt 5b Instrukcji wymienia trzy lata historyczne. Dane 2024 są w komentarzu Sprawozdania; sprawozdanie 2025 z danymi porównawczymi 2024 jest w dokumentach PRz.</t>
        </is>
      </c>
      <c r="D60" s="4" t="inlineStr">
        <is>
          <t>Właścicielka (PRz) + Claude</t>
        </is>
      </c>
      <c r="E60" s="4" t="inlineStr">
        <is>
          <t>06.10</t>
        </is>
      </c>
      <c r="F60" s="4" t="inlineStr">
        <is>
          <t>D61 pkt 1</t>
        </is>
      </c>
      <c r="G60" s="4" t="inlineStr">
        <is>
          <t>ANULOWANE</t>
        </is>
      </c>
    </row>
    <row r="61">
      <c r="A61" s="4" t="inlineStr">
        <is>
          <t>T60</t>
        </is>
      </c>
      <c r="B61" s="4" t="inlineStr">
        <is>
          <t>Komentarze do modelu Everest (11 arkuszy): zaktualizować Sekcja_K6 (kwoty 1 250 555,58, VAT 78 135,37, aparatura jednorazowo, harmonogram konsorcjum, struktura jak w PRz: wymagania Instrukcji, odpowiedzi na uwagi)</t>
        </is>
      </c>
      <c r="C61" s="4" t="inlineStr">
        <is>
          <t>Po akceptacji liczb Everest (D62). Zawartość: dane z II kwartału 2026 już są; do aktualizacji: Finansowanie, Środki trwałe, Koszty operacyjne (internacjonalizacja, aparatura), Opłacalność (IRR 19,9%), Opłacalność - Konsorcjum, Rozliczenie dotacji.</t>
        </is>
      </c>
      <c r="D61" s="4" t="inlineStr">
        <is>
          <t>Claude</t>
        </is>
      </c>
      <c r="E61" s="4" t="inlineStr">
        <is>
          <t>po akceptacji D62</t>
        </is>
      </c>
      <c r="F61" s="4" t="inlineStr">
        <is>
          <t>D62</t>
        </is>
      </c>
      <c r="G61" s="4" t="inlineStr">
        <is>
          <t>KOMENTARZE GOTOWE 06.10 (Komentarze_model_finansowy_Everest.docx); do wklejenia po uzupełnieniu żółtych pól</t>
        </is>
      </c>
    </row>
    <row r="62">
      <c r="A62" s="4" t="inlineStr">
        <is>
          <t>T61</t>
        </is>
      </c>
      <c r="B62" s="4" t="inlineStr">
        <is>
          <t>Oświadczenie inwestora lub aneks do Warunkowej Umowy Inwestycyjnej (wkład 1 250 555,58 zamiast 1 253 357,99 zł); uzupełnić żółte pola w Finansowaniu (umowa, bank, zaświadczenie, źródło sfinansowania praw PRz); stawka składki wypadkowej; daty doradztwa i orzeczenia rzecznika (Z10/Z11)</t>
        </is>
      </c>
      <c r="C62" s="4" t="inlineStr">
        <is>
          <t>Patrz Komentarze_model_finansowy_Everest.docx, część 6. Załączniki K6-07, K6-10, K6-11 i data w pkt 1.3 (K6-18) bez zmian.</t>
        </is>
      </c>
      <c r="D62" s="4" t="inlineStr">
        <is>
          <t>Właścicielka</t>
        </is>
      </c>
      <c r="E62" s="4" t="inlineStr">
        <is>
          <t>07.10</t>
        </is>
      </c>
      <c r="F62" s="4" t="inlineStr">
        <is>
          <t>D63; K6-03, K6-12</t>
        </is>
      </c>
      <c r="G62" s="4" t="inlineStr">
        <is>
          <t>OTWARTE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1" customWidth="1" min="3" max="3"/>
    <col width="11" customWidth="1" min="4" max="4"/>
    <col width="90" customWidth="1" min="5" max="5"/>
    <col width="9" customWidth="1" min="6" max="6"/>
    <col width="9" customWidth="1" min="7" max="7"/>
    <col width="9" customWidth="1" min="8" max="8"/>
    <col width="12" customWidth="1" min="9" max="9"/>
    <col width="45" customWidth="1" min="10" max="10"/>
  </cols>
  <sheetData>
    <row r="1">
      <c r="A1" s="3" t="inlineStr">
        <is>
          <t>Pakiet (pole/sekcja LSI)</t>
        </is>
      </c>
      <c r="B1" s="3" t="inlineStr">
        <is>
          <t>Priorytet</t>
        </is>
      </c>
      <c r="C1" s="3" t="inlineStr">
        <is>
          <t>Termin</t>
        </is>
      </c>
      <c r="D1" s="3" t="inlineStr">
        <is>
          <t>Liczba uwag</t>
        </is>
      </c>
      <c r="E1" s="3" t="inlineStr">
        <is>
          <t>ID uwag z Rejestru</t>
        </is>
      </c>
      <c r="F1" s="3" t="inlineStr">
        <is>
          <t>Nierozp. (stan 05.10)</t>
        </is>
      </c>
      <c r="G1" s="3" t="inlineStr">
        <is>
          <t>W trakcie (stan 05.10)</t>
        </is>
      </c>
      <c r="H1" s="3" t="inlineStr">
        <is>
          <t>Tekst gotowy, do weryf. (stan 05.10)</t>
        </is>
      </c>
      <c r="I1" s="3" t="inlineStr">
        <is>
          <t>Zweryf. (stan 05.10)</t>
        </is>
      </c>
      <c r="J1" s="3" t="inlineStr">
        <is>
          <t>Status pakietu / uwagi</t>
        </is>
      </c>
    </row>
    <row r="2">
      <c r="A2" s="4" t="inlineStr">
        <is>
          <t>WP01 Opisy zadań B+R</t>
        </is>
      </c>
      <c r="B2" s="4" t="inlineStr">
        <is>
          <t>P1</t>
        </is>
      </c>
      <c r="C2" s="4" t="inlineStr">
        <is>
          <t>pt 02.10</t>
        </is>
      </c>
      <c r="D2" s="4" t="n">
        <v>13</v>
      </c>
      <c r="E2" s="4" t="inlineStr">
        <is>
          <t>K3-01, K3-02, K3-03, K3-04, K3-05, K3-06, K3-07, K3-08, K3-09, K3-10, K3-11, K3-12, K3-13</t>
        </is>
      </c>
      <c r="F2" s="4" t="n">
        <v>0</v>
      </c>
      <c r="G2" s="4" t="n">
        <v>1</v>
      </c>
      <c r="H2" s="4" t="n">
        <v>9</v>
      </c>
      <c r="I2" s="4" t="n">
        <v>3</v>
      </c>
      <c r="J2" s="4" t="inlineStr">
        <is>
          <t>Opisy zadań: wersja 2 w pliku Opisy_zadan (zamknięty); godziny Z8 zaktualizowane; 62 żółte wartości czekają na dział techniczny (T11, T29, T35); zmiana opisu Z9 (D47) tylko w LSI wg zestawienia.</t>
        </is>
      </c>
    </row>
    <row r="3">
      <c r="A3" s="4" t="inlineStr">
        <is>
          <t>WP02 Kamienie milowe</t>
        </is>
      </c>
      <c r="B3" s="4" t="inlineStr">
        <is>
          <t>P1</t>
        </is>
      </c>
      <c r="C3" s="4" t="inlineStr">
        <is>
          <t>pt 02.10</t>
        </is>
      </c>
      <c r="D3" s="4" t="n">
        <v>9</v>
      </c>
      <c r="E3" s="4" t="inlineStr">
        <is>
          <t>K3-14, K3-15, K3-16, K3-17, K3-18, K3-19, K3-20, K3-21, K3-22</t>
        </is>
      </c>
      <c r="F3" s="4" t="n">
        <v>0</v>
      </c>
      <c r="G3" s="4" t="n">
        <v>0</v>
      </c>
      <c r="H3" s="4" t="n">
        <v>9</v>
      </c>
      <c r="I3" s="4" t="n">
        <v>0</v>
      </c>
      <c r="J3" s="4" t="inlineStr">
        <is>
          <t>Kamienie milowe: wersja 2 w pliku Opisy_zadan (zamknięty); żółte progi: T11, T35.</t>
        </is>
      </c>
    </row>
    <row r="4">
      <c r="A4" s="4" t="inlineStr">
        <is>
          <t>WP03 Ryzyka</t>
        </is>
      </c>
      <c r="B4" s="4" t="inlineStr">
        <is>
          <t>P1</t>
        </is>
      </c>
      <c r="C4" s="4" t="inlineStr">
        <is>
          <t>pt 02.10</t>
        </is>
      </c>
      <c r="D4" s="4" t="n">
        <v>8</v>
      </c>
      <c r="E4" s="4" t="inlineStr">
        <is>
          <t>K3-25, K3-26, K3-27, K3-28, K3-29, K3-30, K3-31, K3-32</t>
        </is>
      </c>
      <c r="F4" s="4" t="n">
        <v>0</v>
      </c>
      <c r="G4" s="4" t="n">
        <v>0</v>
      </c>
      <c r="H4" s="4" t="n">
        <v>8</v>
      </c>
      <c r="I4" s="4" t="n">
        <v>0</v>
      </c>
      <c r="J4" s="4" t="inlineStr">
        <is>
          <t>Ryzyka: wersja 2 w plikach Opisy_zadan i Poprawki (zamknięte); R12 (K3-32) i plan zastępczy R11 do zmiany w LSI wg zestawienia (D47, D48); R8 (K3-46) w Sekcja_3.1_podwykonawstwo.</t>
        </is>
      </c>
    </row>
    <row r="5">
      <c r="A5" s="4" t="inlineStr">
        <is>
          <t>WP04 Innowacyjność i wskaźniki</t>
        </is>
      </c>
      <c r="B5" s="4" t="inlineStr">
        <is>
          <t>P1</t>
        </is>
      </c>
      <c r="C5" s="4" t="inlineStr">
        <is>
          <t>pon 05.10</t>
        </is>
      </c>
      <c r="D5" s="4" t="n">
        <v>7</v>
      </c>
      <c r="E5" s="4" t="inlineStr">
        <is>
          <t>K1-01, K1-02, K1-03, K1-04, K1-05, K1-06, K14-01</t>
        </is>
      </c>
      <c r="F5" s="4" t="n">
        <v>0</v>
      </c>
      <c r="G5" s="4" t="n">
        <v>0</v>
      </c>
      <c r="H5" s="4" t="n">
        <v>7</v>
      </c>
      <c r="I5" s="4" t="n">
        <v>0</v>
      </c>
      <c r="J5" s="4" t="inlineStr">
        <is>
          <t>Sekcja Wskazniki_innowacyjnosci_1.2_i_1.4.docx gotowa; 6 żółtych parametrów (T11), oferty dla I1 (T10), karty konkurencji (T12).</t>
        </is>
      </c>
    </row>
    <row r="6">
      <c r="A6" s="4" t="inlineStr">
        <is>
          <t>WP05 Wdrożenie, rynek, ceny</t>
        </is>
      </c>
      <c r="B6" s="4" t="inlineStr">
        <is>
          <t>P1</t>
        </is>
      </c>
      <c r="C6" s="4" t="inlineStr">
        <is>
          <t>pon 05.10</t>
        </is>
      </c>
      <c r="D6" s="4" t="n">
        <v>9</v>
      </c>
      <c r="E6" s="4" t="inlineStr">
        <is>
          <t>K2-01, K2-04, K2-05, K2-06, K2-09, K2-10, K2-11, K2-15, K2-17</t>
        </is>
      </c>
      <c r="F6" s="4" t="n">
        <v>0</v>
      </c>
      <c r="G6" s="4" t="n">
        <v>0</v>
      </c>
      <c r="H6" s="4" t="n">
        <v>9</v>
      </c>
      <c r="I6" s="4" t="n">
        <v>0</v>
      </c>
      <c r="J6" s="4" t="inlineStr">
        <is>
          <t>Sekcja_1.3_i_ceny.docx gotowa (zamknięta); zmiany po D47 i D48 (usunięte „ponad 50 aktywnych kontrahentów”, powiązanie Natanek Logistics) tylko w LSI wg zestawienia; ceny: T10, T14, T19.</t>
        </is>
      </c>
    </row>
    <row r="7">
      <c r="A7" s="4" t="inlineStr">
        <is>
          <t>WP06 Personel (budżet i opis)</t>
        </is>
      </c>
      <c r="B7" s="4" t="inlineStr">
        <is>
          <t>P1</t>
        </is>
      </c>
      <c r="C7" s="4" t="inlineStr">
        <is>
          <t>pt 02.10</t>
        </is>
      </c>
      <c r="D7" s="4" t="n">
        <v>21</v>
      </c>
      <c r="E7" s="4" t="inlineStr">
        <is>
          <t>K3-33, K3-34, K3-35, K3-36, K3-37, K3-38, K3-39, K3-40, K3-41, K3-42, K5-01, K5-02, K5-03, K5-04, K5-05, K5-06, K5-07, K5-08, K5-09, K5-10, K5-11</t>
        </is>
      </c>
      <c r="F7" s="4" t="n">
        <v>0</v>
      </c>
      <c r="G7" s="4" t="n">
        <v>0</v>
      </c>
      <c r="H7" s="4" t="n">
        <v>20</v>
      </c>
      <c r="I7" s="4" t="n">
        <v>1</v>
      </c>
      <c r="J7" s="4" t="inlineStr">
        <is>
          <t>Sekcja_6.1 gotowa (założenia D37: T23); Sekcja_6.2-6.4 z 7 żółtymi polami (T25, T26); K3-41 i K3-42 w Sekcja_3.1_podwykonawstwo_i_stawki_PRz.docx (stawki PRz, godziny Z8 zgodnie z D43).</t>
        </is>
      </c>
    </row>
    <row r="8">
      <c r="A8" s="4" t="inlineStr">
        <is>
          <t>WP07 Podwykonawcy i montaż</t>
        </is>
      </c>
      <c r="B8" s="4" t="inlineStr">
        <is>
          <t>P1</t>
        </is>
      </c>
      <c r="C8" s="4" t="inlineStr">
        <is>
          <t>pt 02.10</t>
        </is>
      </c>
      <c r="D8" s="4" t="n">
        <v>6</v>
      </c>
      <c r="E8" s="4" t="inlineStr">
        <is>
          <t>K3-43, K3-44, K3-45, K3-46, K3-47, K5-19</t>
        </is>
      </c>
      <c r="F8" s="4" t="n">
        <v>0</v>
      </c>
      <c r="G8" s="4" t="n">
        <v>0</v>
      </c>
      <c r="H8" s="4" t="n">
        <v>4</v>
      </c>
      <c r="I8" s="4" t="n">
        <v>2</v>
      </c>
      <c r="J8" s="4" t="inlineStr">
        <is>
          <t>Sekcja_3.1_podwykonawstwo_i_stawki_PRz.docx: wersja ostateczna z poprawkami właścicielki; opcjonalnie T37.</t>
        </is>
      </c>
    </row>
    <row r="9">
      <c r="A9" s="4" t="inlineStr">
        <is>
          <t>WP08 Sprzęt i amortyzacja</t>
        </is>
      </c>
      <c r="B9" s="4" t="inlineStr">
        <is>
          <t>P1</t>
        </is>
      </c>
      <c r="C9" s="4" t="inlineStr">
        <is>
          <t>pt 02.10</t>
        </is>
      </c>
      <c r="D9" s="4" t="n">
        <v>11</v>
      </c>
      <c r="E9" s="4" t="inlineStr">
        <is>
          <t>K3-48, K3-49, K3-50, K3-51, K3-52, K3-53, K3-54, K3-55, K3-56, K3-57, K3-58</t>
        </is>
      </c>
      <c r="F9" s="4" t="n">
        <v>0</v>
      </c>
      <c r="G9" s="4" t="n">
        <v>0</v>
      </c>
      <c r="H9" s="4" t="n">
        <v>5</v>
      </c>
      <c r="I9" s="4" t="n">
        <v>6</v>
      </c>
      <c r="J9" s="4" t="inlineStr">
        <is>
          <t>Sekcja_3.1_sprzet_i_amortyzacja.docx gotowa (14 pozycji); czeka: T33 (ceny), T35 (dział techniczny).</t>
        </is>
      </c>
    </row>
    <row r="10">
      <c r="A10" s="4" t="inlineStr">
        <is>
          <t>WP09 Internacjonalizacja i patent</t>
        </is>
      </c>
      <c r="B10" s="4" t="inlineStr">
        <is>
          <t>P1</t>
        </is>
      </c>
      <c r="C10" s="4" t="inlineStr">
        <is>
          <t>pt 02.10</t>
        </is>
      </c>
      <c r="D10" s="4" t="n">
        <v>10</v>
      </c>
      <c r="E10" s="4" t="inlineStr">
        <is>
          <t>K3-23, K3-24, K3-59, K3-60, K3-61, K3-62, K3-63, K3-64, K3-65, K3-66</t>
        </is>
      </c>
      <c r="F10" s="4" t="n">
        <v>0</v>
      </c>
      <c r="G10" s="4" t="n">
        <v>1</v>
      </c>
      <c r="H10" s="4" t="n">
        <v>7</v>
      </c>
      <c r="I10" s="4" t="n">
        <v>2</v>
      </c>
      <c r="J10" s="4" t="inlineStr">
        <is>
          <t>Sekcja_3.2_internacjonalizacja_Z10_Z11.docx gotowa; czeka: T32, T36.</t>
        </is>
      </c>
    </row>
    <row r="11">
      <c r="A11" s="4" t="inlineStr">
        <is>
          <t>WP10 Zasoby, IP, WNiP</t>
        </is>
      </c>
      <c r="B11" s="4" t="inlineStr">
        <is>
          <t>P1</t>
        </is>
      </c>
      <c r="C11" s="4" t="inlineStr">
        <is>
          <t>pon 05.10</t>
        </is>
      </c>
      <c r="D11" s="4" t="n">
        <v>11</v>
      </c>
      <c r="E11" s="4" t="inlineStr">
        <is>
          <t>K2-02, K2-03, K2-07, K2-08, K5-12, K5-13, K5-14, K5-15, K5-16, K5-17, K5-18</t>
        </is>
      </c>
      <c r="F11" s="4" t="n">
        <v>0</v>
      </c>
      <c r="G11" s="4" t="n">
        <v>0</v>
      </c>
      <c r="H11" s="4" t="n">
        <v>11</v>
      </c>
      <c r="I11" s="4" t="n">
        <v>0</v>
      </c>
      <c r="J11" s="4" t="inlineStr">
        <is>
          <t>Sekcja_2.2_i_2.5_prawa_FTO_zasoby.docx gotowa; potwierdzenia patentowe: T13.</t>
        </is>
      </c>
    </row>
    <row r="12">
      <c r="A12" s="4" t="inlineStr">
        <is>
          <t>WP11 Model finansowy i zdolność finansowa</t>
        </is>
      </c>
      <c r="B12" s="4" t="inlineStr">
        <is>
          <t>P1</t>
        </is>
      </c>
      <c r="C12" s="4" t="inlineStr">
        <is>
          <t>pon 05.10</t>
        </is>
      </c>
      <c r="D12" s="4" t="n">
        <v>22</v>
      </c>
      <c r="E12" s="4" t="inlineStr">
        <is>
          <t>K2-12, K2-13, K2-14, K2-16, K6-01, K6-02, K6-03, K6-04, K6-05, K6-06, K6-07, K6-08, K6-09, K6-10, K6-11, K6-12, K6-13, K6-14, K6-15, K6-16, K6-17, K6-18</t>
        </is>
      </c>
      <c r="F12" s="4" t="n">
        <v>0</v>
      </c>
      <c r="G12" s="4" t="n">
        <v>3</v>
      </c>
      <c r="H12" s="4" t="n">
        <v>11</v>
      </c>
      <c r="I12" s="4" t="n">
        <v>8</v>
      </c>
      <c r="J12" s="4" t="inlineStr">
        <is>
          <t>Model Everest11 (plik z 05.10) i Sekcja_K6: K6-02, K6-04 do K6-08, K6-10 do K6-16 gotowe (K6-14 poprawione, K6-08 po odpowiedzi księgowej); K2-12, K2-13, N58 jako propozycja (D53, T46); K2-14 do K2-16 w Sekcja_1.3; załączniki: T41.</t>
        </is>
      </c>
    </row>
    <row r="13">
      <c r="A13" s="4" t="inlineStr">
        <is>
          <t>WP12 Zasady horyzontalne i 6R</t>
        </is>
      </c>
      <c r="B13" s="4" t="inlineStr">
        <is>
          <t>P2</t>
        </is>
      </c>
      <c r="C13" s="4" t="inlineStr">
        <is>
          <t>wt 06.10</t>
        </is>
      </c>
      <c r="D13" s="4" t="n">
        <v>14</v>
      </c>
      <c r="E13" s="4" t="inlineStr">
        <is>
          <t>K10-01, K10-02, K10-03, K10-04, K10-05, K10-06, K11-01, K12-01, K13-01, K13-02, K13-03, K13-04, K13-05, K13-06</t>
        </is>
      </c>
      <c r="F13" s="4" t="n">
        <v>0</v>
      </c>
      <c r="G13" s="4" t="n">
        <v>0</v>
      </c>
      <c r="H13" s="4" t="n">
        <v>14</v>
      </c>
      <c r="I13" s="4" t="n">
        <v>0</v>
      </c>
      <c r="J13" s="4" t="inlineStr">
        <is>
          <t>Sekcja_7_zasady_horyzontalne_6R.docx gotowa; zobowiązania do potwierdzenia: T27-T29.</t>
        </is>
      </c>
    </row>
    <row r="14">
      <c r="A14" s="4" t="inlineStr">
        <is>
          <t>RAZEM</t>
        </is>
      </c>
      <c r="B14" s="4" t="inlineStr"/>
      <c r="C14" s="4" t="inlineStr"/>
      <c r="D14" s="4" t="n">
        <v>141</v>
      </c>
      <c r="E14" s="4" t="inlineStr"/>
      <c r="F14" s="4" t="inlineStr"/>
      <c r="G14" s="4" t="inlineStr"/>
      <c r="H14" s="4" t="inlineStr"/>
      <c r="I14" s="4" t="inlineStr"/>
      <c r="J14" s="4" t="inlineStr"/>
    </row>
    <row r="15">
      <c r="A15" t="inlineStr">
        <is>
          <t>Metoda liczników (05.10.2026): „Nierozp.” = uwaga bez gotowego tekstu w żadnym pliku sekcji (sprawdzone po numerach uwag w sekcjach, w WP05 i WP11 także wg D35/D36, T16 i Sekcja_K6). „Tekst gotowy, do weryf.” = tekst jest przygotowany, ale nie wklejony do LSI (T09/T48) i nie sprawdzony przez właścicielkę. „Zweryf.” i „W trakcie” bez zmian względem Rejestru 01.10. Uwaga: K6-01, K6-03, K6-17 i K6-18 nie mają numeru w Sekcja_K6; do potwierdzenia w kolejnym przeglądzie.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55" customWidth="1" min="1" max="1"/>
    <col width="16" customWidth="1" min="2" max="2"/>
    <col width="9" customWidth="1" min="3" max="3"/>
    <col width="18" customWidth="1" min="4" max="4"/>
    <col width="60" customWidth="1" min="5" max="5"/>
    <col width="80" customWidth="1" min="6" max="6"/>
    <col width="13" customWidth="1" min="7" max="7"/>
  </cols>
  <sheetData>
    <row r="1">
      <c r="A1" s="8" t="inlineStr">
        <is>
          <t>Pozycja</t>
        </is>
      </c>
      <c r="B1" s="8" t="inlineStr">
        <is>
          <t>Cena w walucie źródła</t>
        </is>
      </c>
      <c r="C1" s="8" t="inlineStr">
        <is>
          <t>Waluta</t>
        </is>
      </c>
      <c r="D1" s="8" t="inlineStr">
        <is>
          <t>Cena w PLN (netto)</t>
        </is>
      </c>
      <c r="E1" s="8" t="inlineStr">
        <is>
          <t>Uwaga</t>
        </is>
      </c>
      <c r="F1" s="8" t="inlineStr">
        <is>
          <t>Źródło (URL)</t>
        </is>
      </c>
      <c r="G1" s="8" t="inlineStr">
        <is>
          <t>Data odczytu</t>
        </is>
      </c>
    </row>
    <row r="2">
      <c r="A2" s="2" t="inlineStr">
        <is>
          <t>Kamera ToF Basler blaze-101/102 (VGA, GigE, 850/940 nm)</t>
        </is>
      </c>
      <c r="B2" s="2" t="n">
        <v>1579</v>
      </c>
      <c r="C2" s="2" t="inlineStr">
        <is>
          <t>EUR</t>
        </is>
      </c>
      <c r="D2" s="2">
        <f>B2*$B$19</f>
        <v/>
      </c>
      <c r="E2" s="2" t="inlineStr">
        <is>
          <t>Katalog netto, 1 szt.; blaze-102 ma ten sam cennik na stronie</t>
        </is>
      </c>
      <c r="F2" s="2" t="inlineStr">
        <is>
          <t>https://baslerweb.com/en/shop/blaze-101</t>
        </is>
      </c>
      <c r="G2" s="2" t="inlineStr">
        <is>
          <t>01.10.2026</t>
        </is>
      </c>
    </row>
    <row r="3">
      <c r="A3" s="2" t="inlineStr">
        <is>
          <t>Kamera ToF Lucid Helios2 (IP67)</t>
        </is>
      </c>
      <c r="B3" s="2" t="n">
        <v>1645</v>
      </c>
      <c r="C3" s="2" t="inlineStr">
        <is>
          <t>EUR</t>
        </is>
      </c>
      <c r="D3" s="2">
        <f>B3*$B$19</f>
        <v/>
      </c>
      <c r="E3" s="2" t="inlineStr">
        <is>
          <t>Netto, Edmund Optics EU; Helios2+ 1 800 EUR</t>
        </is>
      </c>
      <c r="F3" s="2" t="inlineStr">
        <is>
          <t>https://edmundoptics.eu/p/lucid-vision-labs-heliostrade2-time-of-flight-tof-camera/49503</t>
        </is>
      </c>
      <c r="G3" s="2" t="inlineStr">
        <is>
          <t>01.10.2026</t>
        </is>
      </c>
    </row>
    <row r="4">
      <c r="A4" s="2" t="inlineStr">
        <is>
          <t>Kamera ToF Orbbec Femto Bolt (iToF 850 nm, 0,25-5,46 m)</t>
        </is>
      </c>
      <c r="B4" s="2" t="n">
        <v>559</v>
      </c>
      <c r="C4" s="2" t="inlineStr">
        <is>
          <t>USD</t>
        </is>
      </c>
      <c r="D4" s="2">
        <f>B4*$B$20</f>
        <v/>
      </c>
      <c r="E4" s="2" t="inlineStr">
        <is>
          <t>Cena detaliczna (wskazówka: sprawdzić netto)</t>
        </is>
      </c>
      <c r="F4" s="2" t="inlineStr">
        <is>
          <t>https://ca.robotshop.com/products/orbbec-femto-bolt-3d-vision-device</t>
        </is>
      </c>
      <c r="G4" s="2" t="inlineStr">
        <is>
          <t>01.10.2026</t>
        </is>
      </c>
    </row>
    <row r="5">
      <c r="A5" s="2" t="inlineStr">
        <is>
          <t>Luxonis OAK-D Pro W (ACTIVE STEREO, nie ToF)</t>
        </is>
      </c>
      <c r="B5" s="2" t="n">
        <v>499</v>
      </c>
      <c r="C5" s="2" t="inlineStr">
        <is>
          <t>USD</t>
        </is>
      </c>
      <c r="D5" s="2">
        <f>B5*$B$20</f>
        <v/>
      </c>
      <c r="E5" s="2" t="inlineStr">
        <is>
          <t>Pozycja wskazana we wniosku jako "kamera ToF" (Z1 typ 1, Z2)</t>
        </is>
      </c>
      <c r="F5" s="2" t="inlineStr">
        <is>
          <t>https://checkout.luxonis.com/products/oak-d-pro-w</t>
        </is>
      </c>
      <c r="G5" s="2" t="inlineStr">
        <is>
          <t>01.10.2026</t>
        </is>
      </c>
    </row>
    <row r="6">
      <c r="A6" s="2" t="inlineStr">
        <is>
          <t>Kamera EO Basler ace 2 a2A1920-51gm (2,3 MP, GigE)</t>
        </is>
      </c>
      <c r="B6" s="2" t="n">
        <v>319</v>
      </c>
      <c r="C6" s="2" t="inlineStr">
        <is>
          <t>EUR</t>
        </is>
      </c>
      <c r="D6" s="2">
        <f>B6*$B$19</f>
        <v/>
      </c>
      <c r="E6" s="2" t="inlineStr">
        <is>
          <t>Netto; wersja kolorowa nieco droższa</t>
        </is>
      </c>
      <c r="F6" s="2" t="inlineStr">
        <is>
          <t>https://baslerweb.com/en/shop/a2a1920-imx392</t>
        </is>
      </c>
      <c r="G6" s="2" t="inlineStr">
        <is>
          <t>01.10.2026</t>
        </is>
      </c>
    </row>
    <row r="7">
      <c r="A7" s="2" t="inlineStr">
        <is>
          <t>Jetson Orin Nano 8 GB - moduł (40 TOPS), cena 1KU+</t>
        </is>
      </c>
      <c r="B7" s="2" t="n">
        <v>399</v>
      </c>
      <c r="C7" s="2" t="inlineStr">
        <is>
          <t>USD</t>
        </is>
      </c>
      <c r="D7" s="2">
        <f>B7*$B$20</f>
        <v/>
      </c>
      <c r="E7" s="2" t="inlineStr">
        <is>
          <t>Cena przy zamówieniu &gt;=1000 szt. (już wolumenowa); od 07.2026 (wcześniej 299 USD)</t>
        </is>
      </c>
      <c r="F7" s="2" t="inlineStr">
        <is>
          <t>https://www.cnx-software.com/2026/07/22/nvidia-increases-the-price-of-jetson-modules-and-devkits-by-up-to-101/</t>
        </is>
      </c>
      <c r="G7" s="2" t="inlineStr">
        <is>
          <t>01.10.2026</t>
        </is>
      </c>
    </row>
    <row r="8">
      <c r="A8" s="2" t="inlineStr">
        <is>
          <t>Jetson Orin NX 16 GB - moduł (100 TOPS), cena 1KU+</t>
        </is>
      </c>
      <c r="B8" s="2" t="n">
        <v>999</v>
      </c>
      <c r="C8" s="2" t="inlineStr">
        <is>
          <t>USD</t>
        </is>
      </c>
      <c r="D8" s="2">
        <f>B8*$B$20</f>
        <v/>
      </c>
      <c r="E8" s="2" t="inlineStr">
        <is>
          <t>j.w. (wcześniej 599 USD)</t>
        </is>
      </c>
      <c r="F8" s="2" t="inlineStr">
        <is>
          <t>https://www.cnx-software.com/2026/07/22/nvidia-increases-the-price-of-jetson-modules-and-devkits-by-up-to-101/</t>
        </is>
      </c>
      <c r="G8" s="2" t="inlineStr">
        <is>
          <t>01.10.2026</t>
        </is>
      </c>
    </row>
    <row r="9">
      <c r="A9" s="2" t="inlineStr">
        <is>
          <t>Jetson Orin Nano 8 GB - moduł, PLN (agregator elecena.pl)</t>
        </is>
      </c>
      <c r="B9" s="2" t="n">
        <v>1396.51</v>
      </c>
      <c r="C9" s="2" t="inlineStr">
        <is>
          <t>PLN</t>
        </is>
      </c>
      <c r="D9" s="2">
        <f>B9</f>
        <v/>
      </c>
      <c r="E9" s="2" t="inlineStr">
        <is>
          <t>Cena z porównywarki, wymaga potwierdzenia u dystrybutora (Botland/Kamami/Elmark)</t>
        </is>
      </c>
      <c r="F9" s="2" t="inlineStr">
        <is>
          <t>https://elecena.pl/search?q=40tops</t>
        </is>
      </c>
      <c r="G9" s="2" t="inlineStr">
        <is>
          <t>01.10.2026</t>
        </is>
      </c>
    </row>
    <row r="10">
      <c r="A10" s="2" t="inlineStr">
        <is>
          <t>Router Teltonika RUT956 (LTE Cat 4, GNSS)</t>
        </is>
      </c>
      <c r="B10" s="2" t="n">
        <v>1444</v>
      </c>
      <c r="C10" s="2" t="inlineStr">
        <is>
          <t>PLN</t>
        </is>
      </c>
      <c r="D10" s="2">
        <f>B10</f>
        <v/>
      </c>
      <c r="E10" s="2" t="inlineStr">
        <is>
          <t>Cena BRUTTO od 1 444 do 1 640 zł; netto ok. 1 174-1 333 zł</t>
        </is>
      </c>
      <c r="F10" s="2" t="inlineStr">
        <is>
          <t>https://emaga.mysky-shop.pl/WRL-ROUTER-LTE-CAT-4-RUT956-TELTONIKA-p2025564</t>
        </is>
      </c>
      <c r="G10" s="2" t="inlineStr">
        <is>
          <t>01.10.2026</t>
        </is>
      </c>
    </row>
    <row r="11">
      <c r="A11" s="2" t="inlineStr">
        <is>
          <t>Dysk NVMe 1 TB konsumencki Kingston NV3 (0-70 C)</t>
        </is>
      </c>
      <c r="B11" s="2" t="n">
        <v>629</v>
      </c>
      <c r="C11" s="2" t="inlineStr">
        <is>
          <t>PLN</t>
        </is>
      </c>
      <c r="D11" s="2">
        <f>B11</f>
        <v/>
      </c>
      <c r="E11" s="2" t="inlineStr">
        <is>
          <t>x-kom 629 zł brutto; Morele 429 zł (promocja V.2026)</t>
        </is>
      </c>
      <c r="F11" s="2" t="inlineStr">
        <is>
          <t>https://www.x-kom.pl/p/1273429-kingston-1tb-m2-pcie-gen4-nvme-nv3.html</t>
        </is>
      </c>
      <c r="G11" s="2" t="inlineStr">
        <is>
          <t>01.10.2026</t>
        </is>
      </c>
    </row>
    <row r="12">
      <c r="A12" s="2" t="n"/>
      <c r="B12" s="2" t="n">
        <v>961.75</v>
      </c>
      <c r="C12" s="2" t="inlineStr">
        <is>
          <t>EUR</t>
        </is>
      </c>
      <c r="D12" s="2">
        <f>B12*$B$19</f>
        <v/>
      </c>
      <c r="E12" s="2" t="inlineStr">
        <is>
          <t>Netto, RS Online</t>
        </is>
      </c>
      <c r="F12" s="2" t="inlineStr">
        <is>
          <t>https://ie.rs-online.com/web/p/hard-drives/0683207</t>
        </is>
      </c>
      <c r="G12" s="2" t="inlineStr">
        <is>
          <t>01.10.2026</t>
        </is>
      </c>
    </row>
    <row r="13">
      <c r="A13" s="2" t="n"/>
      <c r="B13" s="2" t="n"/>
      <c r="C13" s="2" t="inlineStr">
        <is>
          <t>PLN</t>
        </is>
      </c>
      <c r="D13" s="2">
        <f>B13</f>
        <v/>
      </c>
      <c r="E13" s="2" t="inlineStr">
        <is>
          <t>Netto, RS Online PL; wersja 260x160x90 mm 411,59 zł</t>
        </is>
      </c>
      <c r="F13" s="2" t="inlineStr">
        <is>
          <t>https://pl.rs-online.com/web/p/obudowy-ogolnego-uzytku/8681203</t>
        </is>
      </c>
      <c r="G13" s="2" t="inlineStr">
        <is>
          <t>01.10.2026</t>
        </is>
      </c>
    </row>
    <row r="14">
      <c r="A14" s="2" t="n"/>
      <c r="B14" s="2" t="n"/>
      <c r="C14" s="2" t="inlineStr">
        <is>
          <t>EUR</t>
        </is>
      </c>
      <c r="D14" s="2">
        <f>B14*$B$19</f>
        <v/>
      </c>
      <c r="E14" s="2" t="inlineStr">
        <is>
          <t>Netto, RS; tanie IMU MEMS znacznie niższe (bez źródła)</t>
        </is>
      </c>
      <c r="F14" s="2" t="inlineStr">
        <is>
          <t>https://benl.rs-online.com/web/p/sensor-development-tools/2162989</t>
        </is>
      </c>
      <c r="G14" s="2" t="inlineStr">
        <is>
          <t>01.10.2026</t>
        </is>
      </c>
    </row>
    <row r="15">
      <c r="A15" s="2" t="inlineStr">
        <is>
          <t>Radar mmWave TI IWR6843AOPEVM (60 GHz)</t>
        </is>
      </c>
      <c r="B15" s="2" t="n">
        <v>257.49</v>
      </c>
      <c r="C15" s="2" t="inlineStr">
        <is>
          <t>USD</t>
        </is>
      </c>
      <c r="D15" s="2">
        <f>B15*$B$20</f>
        <v/>
      </c>
      <c r="E15" s="2" t="inlineStr">
        <is>
          <t>Mouser CA - waluta niepewna (może być CAD); wniosek podaje FMCW 77 GHz</t>
        </is>
      </c>
      <c r="F15" s="2" t="inlineStr">
        <is>
          <t>https://www.mouser.ca/c/embedded-solutions/engineering-tools/sensor-development-tools/?pg=22&amp;q=QS</t>
        </is>
      </c>
      <c r="G15" s="2" t="inlineStr">
        <is>
          <t>01.10.2026</t>
        </is>
      </c>
    </row>
    <row r="16">
      <c r="A16" s="2" t="n"/>
      <c r="B16" s="2" t="n"/>
      <c r="C16" s="2" t="n"/>
      <c r="D16" s="2" t="n"/>
      <c r="E16" s="2" t="n"/>
      <c r="F16" s="2" t="n"/>
      <c r="G16" s="2" t="n"/>
    </row>
    <row r="17">
      <c r="A17" s="2" t="n"/>
      <c r="B17" s="2" t="n"/>
      <c r="C17" s="2" t="n"/>
      <c r="D17" s="2" t="n"/>
      <c r="E17" s="2" t="n"/>
      <c r="F17" s="2" t="n"/>
      <c r="G17" s="2" t="n"/>
    </row>
    <row r="18">
      <c r="A18" s="2" t="inlineStr">
        <is>
          <t>Kursy NBP z 17.09.2026 (źródło: tvp.info / comparic.pl; nr tabeli A uzupełnić przy opisie w LSI)</t>
        </is>
      </c>
      <c r="B18" s="2" t="n"/>
      <c r="C18" s="2" t="n"/>
      <c r="D18" s="2" t="n"/>
      <c r="E18" s="2" t="n"/>
      <c r="F18" s="2" t="n"/>
      <c r="G18" s="2" t="n"/>
    </row>
    <row r="19">
      <c r="A19" s="2" t="inlineStr">
        <is>
          <t>EUR/PLN</t>
        </is>
      </c>
      <c r="B19" s="2" t="n">
        <v>4.3632</v>
      </c>
      <c r="C19" s="2" t="n"/>
      <c r="D19" s="2" t="n"/>
      <c r="E19" s="2" t="n"/>
      <c r="F19" s="2" t="n"/>
      <c r="G19" s="2" t="n"/>
    </row>
    <row r="20">
      <c r="A20" s="2" t="inlineStr">
        <is>
          <t>USD/PLN</t>
        </is>
      </c>
      <c r="B20" s="2" t="n">
        <v>3.803</v>
      </c>
      <c r="C20" s="2" t="n"/>
      <c r="D20" s="2" t="n"/>
      <c r="E20" s="2" t="n"/>
      <c r="F20" s="2" t="n"/>
      <c r="G20" s="2" t="n"/>
    </row>
    <row r="21">
      <c r="A21" s="2" t="n"/>
      <c r="B21" s="2" t="n"/>
      <c r="C21" s="2" t="n"/>
      <c r="D21" s="2" t="n"/>
      <c r="E21" s="2" t="n"/>
      <c r="F21" s="2" t="n"/>
      <c r="G21" s="2" t="n"/>
    </row>
    <row r="22">
      <c r="A22" s="2" t="inlineStr">
        <is>
          <t>Uwaga: ceny katalogowe/detaliczne nie są ofertami. W LSI jako "źródło danych" podać nazwę sklepu/producenta i datę odczytu; dla pozycji kluczowych (edge AI, ToF) rozważyć zapytanie ofertowe.</t>
        </is>
      </c>
      <c r="B22" s="2" t="n"/>
      <c r="C22" s="2" t="n"/>
      <c r="D22" s="2" t="n"/>
      <c r="E22" s="2" t="n"/>
      <c r="F22" s="2" t="n"/>
      <c r="G22" s="2" t="n"/>
    </row>
    <row r="23">
      <c r="A23" s="2" t="inlineStr">
        <is>
          <t>Konkurencja: Tive Solo 5G, interwał transmisji 5-720 min (300-43 200 s)</t>
        </is>
      </c>
      <c r="B23" s="2" t="inlineStr"/>
      <c r="C23" s="2" t="inlineStr"/>
      <c r="D23" s="2" t="inlineStr"/>
      <c r="E23" s="2" t="inlineStr">
        <is>
          <t>Karta katalogowa, dane z wyszukiwarki; do sprawdzenia w pełnej karcie</t>
        </is>
      </c>
      <c r="F23" s="2" t="inlineStr">
        <is>
          <t>https://www.tive.com/compare-trackers</t>
        </is>
      </c>
      <c r="G23" s="2" t="inlineStr">
        <is>
          <t>02.10.2026</t>
        </is>
      </c>
    </row>
    <row r="24">
      <c r="A24" s="2" t="inlineStr">
        <is>
          <t>Konkurencja: Blickfeld Qb2 / QbVolume, zasięg 1-100 m, precyzja &lt;±2 cm, 1-50 Hz</t>
        </is>
      </c>
      <c r="B24" s="2" t="inlineStr"/>
      <c r="C24" s="2" t="inlineStr"/>
      <c r="D24" s="2" t="inlineStr"/>
      <c r="E24" s="2" t="inlineStr">
        <is>
          <t>Karty katalogowe V2.3 (03.2026)</t>
        </is>
      </c>
      <c r="F24" s="2" t="inlineStr">
        <is>
          <t>https://www.blickfeld.com/lidar-sensor-products/qbvolume/</t>
        </is>
      </c>
      <c r="G24" s="2" t="inlineStr">
        <is>
          <t>02.10.2026</t>
        </is>
      </c>
    </row>
    <row r="25">
      <c r="A25" s="2" t="inlineStr">
        <is>
          <t>Konkurencja: Ouster OS0, 35 m (10% odbicia), ±3 cm, do 20 Hz</t>
        </is>
      </c>
      <c r="B25" s="2" t="inlineStr"/>
      <c r="C25" s="2" t="inlineStr"/>
      <c r="D25" s="2" t="inlineStr"/>
      <c r="E25" s="2" t="inlineStr">
        <is>
          <t>Strona producenta</t>
        </is>
      </c>
      <c r="F25" s="2" t="inlineStr">
        <is>
          <t>https://ouster.com/products/hardware/os0</t>
        </is>
      </c>
      <c r="G25" s="2" t="inlineStr">
        <is>
          <t>02.10.2026</t>
        </is>
      </c>
    </row>
    <row r="26">
      <c r="A26" s="2" t="inlineStr">
        <is>
          <t>Konkurencja: SkyBitz SkyCamera (kamera i czujnik wolumetryczny w naczepie)</t>
        </is>
      </c>
      <c r="B26" s="2" t="inlineStr"/>
      <c r="C26" s="2" t="inlineStr"/>
      <c r="D26" s="2" t="inlineStr"/>
      <c r="E26" s="2" t="inlineStr">
        <is>
          <t>Producent nie podaje dokładności</t>
        </is>
      </c>
      <c r="F26" s="2" t="inlineStr">
        <is>
          <t>https://www.skybitz.com/skycamera</t>
        </is>
      </c>
      <c r="G26" s="2" t="inlineStr">
        <is>
          <t>02.10.2026</t>
        </is>
      </c>
    </row>
    <row r="27">
      <c r="A27" s="2" t="inlineStr">
        <is>
          <t>Konkurencja: Nexxiot Globehopper Edge, aktualizacje co 60 min w ruchu</t>
        </is>
      </c>
      <c r="B27" s="2" t="inlineStr"/>
      <c r="C27" s="2" t="inlineStr"/>
      <c r="D27" s="2" t="inlineStr"/>
      <c r="E27" s="2" t="inlineStr">
        <is>
          <t>Informacja prasowa; nazwa „Globe+” nie występuje w dokumentacji</t>
        </is>
      </c>
      <c r="F27" s="2" t="inlineStr">
        <is>
          <t>https://www.porttechnology.org/news/nexxiot-unveils-wireless-cargo-visibility-device/</t>
        </is>
      </c>
      <c r="G27" s="2" t="inlineStr">
        <is>
          <t>02.10.2026</t>
        </is>
      </c>
    </row>
    <row r="28">
      <c r="A28" s="2" t="inlineStr">
        <is>
          <t>Konkurencja: Arviem, interwał pomiaru domyślnie 60 min</t>
        </is>
      </c>
      <c r="B28" s="2" t="inlineStr"/>
      <c r="C28" s="2" t="inlineStr"/>
      <c r="D28" s="2" t="inlineStr"/>
      <c r="E28" s="2" t="inlineStr">
        <is>
          <t>Źródło pośrednie, pobrać kartę katalogową</t>
        </is>
      </c>
      <c r="F28" s="2" t="inlineStr">
        <is>
          <t>do uzupełnienia</t>
        </is>
      </c>
      <c r="G28" s="2" t="inlineStr">
        <is>
          <t>02.10.2026</t>
        </is>
      </c>
    </row>
    <row r="29">
      <c r="A29" s="2" t="inlineStr">
        <is>
          <t>Rynek: naczepy w Polsce 2023, 544,97 tys.</t>
        </is>
      </c>
      <c r="B29" s="2" t="inlineStr"/>
      <c r="C29" s="2" t="inlineStr"/>
      <c r="D29" s="2" t="inlineStr"/>
      <c r="E29" s="2" t="inlineStr">
        <is>
          <t>Eurostat road_eqs_semit; wartość za 2024 do pobrania</t>
        </is>
      </c>
      <c r="F29" s="2" t="inlineStr">
        <is>
          <t>https://baselight.app/u/eurostat/dataset/road_eqs_semit</t>
        </is>
      </c>
      <c r="G29" s="2" t="inlineStr">
        <is>
          <t>02.10.2026</t>
        </is>
      </c>
    </row>
    <row r="30">
      <c r="A30" s="2" t="inlineStr">
        <is>
          <t>Rynek: 43 280 firm z licencją wspólnotową (VII 2026), 45 565 w 2023</t>
        </is>
      </c>
      <c r="B30" s="2" t="inlineStr"/>
      <c r="C30" s="2" t="inlineStr"/>
      <c r="D30" s="2" t="inlineStr"/>
      <c r="E30" s="2" t="inlineStr">
        <is>
          <t>GITD, za trans.info</t>
        </is>
      </c>
      <c r="F30" s="2" t="inlineStr">
        <is>
          <t>https://trans.info/pl/firm-transportowych-ubywa-498383</t>
        </is>
      </c>
      <c r="G30" s="2" t="inlineStr">
        <is>
          <t>02.10.2026</t>
        </is>
      </c>
    </row>
    <row r="31">
      <c r="A31" s="2" t="inlineStr">
        <is>
          <t>Kurs SDR NBP 5,0954 PLN (tabela z 04.09.2026)</t>
        </is>
      </c>
      <c r="B31" s="2" t="inlineStr"/>
      <c r="C31" s="2" t="inlineStr"/>
      <c r="D31" s="2" t="inlineStr"/>
      <c r="E31" s="2" t="inlineStr">
        <is>
          <t>Do przeliczenia limitu CMR (art. 23: 8,33 SDR/kg)</t>
        </is>
      </c>
      <c r="F31" s="2" t="inlineStr">
        <is>
          <t>https://direct.money.pl/kursy-walut/nbp/kurs-XDR</t>
        </is>
      </c>
      <c r="G31" s="2" t="inlineStr">
        <is>
          <t>02.10.2026</t>
        </is>
      </c>
    </row>
    <row r="32">
      <c r="A32" s="2" t="inlineStr">
        <is>
          <t>Cena konkurencji: SkyBitz, abonament od 30 do 75 USD/zasób/mies.</t>
        </is>
      </c>
      <c r="B32" s="2" t="inlineStr"/>
      <c r="C32" s="2" t="inlineStr"/>
      <c r="D32" s="2" t="inlineStr"/>
      <c r="E32" s="2" t="inlineStr">
        <is>
          <t>Serwis Capterra, dane orientacyjne, nie oferta</t>
        </is>
      </c>
      <c r="F32" s="2" t="inlineStr">
        <is>
          <t>https://capterra.com/p/166977/SkyBitz-Local-Fleets/</t>
        </is>
      </c>
      <c r="G32" s="2" t="inlineStr">
        <is>
          <t>02.10.2026</t>
        </is>
      </c>
    </row>
    <row r="33">
      <c r="A33" s="2" t="inlineStr">
        <is>
          <t>eFTI: stosowanie od 21.08.2024 i 21.08.2025, obowiązek dla organów, dobrowolne dla przewoźników</t>
        </is>
      </c>
      <c r="B33" s="2" t="inlineStr"/>
      <c r="C33" s="2" t="inlineStr"/>
      <c r="D33" s="2" t="inlineStr"/>
      <c r="E33" s="2" t="inlineStr">
        <is>
          <t>Komisja Europejska, strona o rozporządzeniu eFTI; sprawdzić tekst rozporządzenia</t>
        </is>
      </c>
      <c r="F33" s="2" t="inlineStr">
        <is>
          <t>https://transport.ec.europa.eu/transport-themes/logistics-and-multimodal-transport/efti-regulation_en</t>
        </is>
      </c>
      <c r="G33" s="2" t="inlineStr">
        <is>
          <t>02.10.2026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70" customWidth="1" min="1" max="1"/>
    <col width="22" customWidth="1" min="2" max="2"/>
    <col width="18" customWidth="1" min="3" max="3"/>
    <col width="18" customWidth="1" min="4" max="4"/>
    <col width="70" customWidth="1" min="5" max="5"/>
  </cols>
  <sheetData>
    <row r="1">
      <c r="A1" s="9" t="inlineStr">
        <is>
          <t>MODEL MARŻY: wersja podstawowa + premium (ZAŁOŻENIA edytowalne - żółte komórki; wynik to ilustracja, nie dowód)</t>
        </is>
      </c>
      <c r="B1" s="2" t="n"/>
      <c r="C1" s="2" t="n"/>
      <c r="D1" s="2" t="n"/>
      <c r="E1" s="2" t="n"/>
    </row>
    <row r="2">
      <c r="A2" s="2" t="n"/>
      <c r="B2" s="2" t="n"/>
      <c r="C2" s="2" t="n"/>
      <c r="D2" s="2" t="n"/>
      <c r="E2" s="2" t="n"/>
    </row>
    <row r="3">
      <c r="A3" s="10" t="inlineStr">
        <is>
          <t>WEJŚCIA</t>
        </is>
      </c>
      <c r="B3" s="2" t="n"/>
      <c r="C3" s="2" t="n"/>
      <c r="D3" s="2" t="n"/>
      <c r="E3" s="2" t="n"/>
    </row>
    <row r="4">
      <c r="A4" s="2" t="inlineStr">
        <is>
          <t>Udział wersji premium w sprzedaży (szt.)</t>
        </is>
      </c>
      <c r="B4" s="11" t="n">
        <v>0.1</v>
      </c>
      <c r="C4" s="2" t="inlineStr">
        <is>
          <t>zał. właściciela: &lt;10%</t>
        </is>
      </c>
      <c r="D4" s="2" t="n"/>
      <c r="E4" s="2" t="n"/>
    </row>
    <row r="5">
      <c r="A5" s="2" t="inlineStr">
        <is>
          <t>Koszt produkcji wersji premium (zł)</t>
        </is>
      </c>
      <c r="B5" s="11" t="n">
        <v>30000</v>
      </c>
      <c r="C5" s="2" t="inlineStr">
        <is>
          <t>zał. właściciela: ok. 30 tys. zł</t>
        </is>
      </c>
      <c r="D5" s="2" t="n"/>
      <c r="E5" s="2" t="n"/>
    </row>
    <row r="6">
      <c r="A6" s="2" t="inlineStr">
        <is>
          <t>Marża premium na cenie (zał.)</t>
        </is>
      </c>
      <c r="B6" s="11" t="n">
        <v>0.05</v>
      </c>
      <c r="C6" s="2" t="inlineStr">
        <is>
          <t>ZAŁOŻENIE do ustalenia (niższa niż podstawowa)</t>
        </is>
      </c>
      <c r="D6" s="2" t="n"/>
      <c r="E6" s="2" t="n"/>
    </row>
    <row r="7">
      <c r="A7" s="2" t="inlineStr">
        <is>
          <t>Rabat wolumenowy na pozycje rabatowalne</t>
        </is>
      </c>
      <c r="B7" s="11" t="n">
        <v>0.3</v>
      </c>
      <c r="C7" s="2" t="inlineStr">
        <is>
          <t>ZAŁOŻENIE bez źródła; test wrażliwości poniżej</t>
        </is>
      </c>
      <c r="D7" s="2" t="n"/>
      <c r="E7" s="2" t="n"/>
    </row>
    <row r="8">
      <c r="A8" s="2" t="inlineStr">
        <is>
          <t>Marża łączna docelowa (na przychodzie)</t>
        </is>
      </c>
      <c r="B8" s="11" t="n">
        <v>0.1</v>
      </c>
      <c r="C8" s="2" t="inlineStr">
        <is>
          <t>zał. właściciela: 10%</t>
        </is>
      </c>
      <c r="D8" s="2" t="n"/>
      <c r="E8" s="2" t="n"/>
    </row>
    <row r="9">
      <c r="A9" s="2" t="inlineStr">
        <is>
          <t>Cena wersji podstawowej (zł)</t>
        </is>
      </c>
      <c r="B9" s="11" t="n">
        <v>7500</v>
      </c>
      <c r="C9" s="2" t="inlineStr">
        <is>
          <t>wartość z wniosku</t>
        </is>
      </c>
      <c r="D9" s="2" t="n"/>
      <c r="E9" s="2" t="n"/>
    </row>
    <row r="10">
      <c r="A10" s="2" t="n"/>
      <c r="B10" s="2" t="n"/>
      <c r="C10" s="2" t="n"/>
      <c r="D10" s="2" t="n"/>
      <c r="E10" s="2" t="n"/>
    </row>
    <row r="11">
      <c r="A11" s="10" t="inlineStr">
        <is>
          <t>BOM wersji podstawowej (1 ToF + 1 EO)</t>
        </is>
      </c>
      <c r="B11" s="2" t="n"/>
      <c r="C11" s="2" t="n"/>
      <c r="D11" s="2" t="n"/>
      <c r="E11" s="2" t="n"/>
    </row>
    <row r="12">
      <c r="A12" s="8" t="inlineStr">
        <is>
          <t>Pozycja</t>
        </is>
      </c>
      <c r="B12" s="8" t="inlineStr">
        <is>
          <t>Cena katalogowa (zł netto)</t>
        </is>
      </c>
      <c r="C12" s="8" t="inlineStr">
        <is>
          <t>Rabatowalna? (1/0)</t>
        </is>
      </c>
      <c r="D12" s="8" t="inlineStr">
        <is>
          <t>Cena po rabacie</t>
        </is>
      </c>
      <c r="E12" s="8" t="inlineStr">
        <is>
          <t>Źródło / status</t>
        </is>
      </c>
    </row>
    <row r="13">
      <c r="A13" s="2" t="inlineStr">
        <is>
          <t>Kamera ToF (Orbbec Femto Bolt)</t>
        </is>
      </c>
      <c r="B13" s="2">
        <f>'4_Ceny_źródła'!D4</f>
        <v/>
      </c>
      <c r="C13" s="11" t="n">
        <v>1</v>
      </c>
      <c r="D13" s="2">
        <f>B13*(1-$B$7*C13)</f>
        <v/>
      </c>
      <c r="E13" s="2" t="inlineStr">
        <is>
          <t>arkusz 4</t>
        </is>
      </c>
    </row>
    <row r="14">
      <c r="A14" s="2" t="inlineStr">
        <is>
          <t>Kamera EO (Basler ace 2)</t>
        </is>
      </c>
      <c r="B14" s="2">
        <f>'4_Ceny_źródła'!D6</f>
        <v/>
      </c>
      <c r="C14" s="11" t="n">
        <v>1</v>
      </c>
      <c r="D14" s="2">
        <f>B14*(1-$B$7*C14)</f>
        <v/>
      </c>
      <c r="E14" s="2" t="inlineStr">
        <is>
          <t>arkusz 4</t>
        </is>
      </c>
    </row>
    <row r="15">
      <c r="A15" s="2" t="inlineStr">
        <is>
          <t>Radar mmWave</t>
        </is>
      </c>
      <c r="B15" s="2" t="n">
        <v>1000</v>
      </c>
      <c r="C15" s="11" t="n">
        <v>1</v>
      </c>
      <c r="D15" s="2">
        <f>B15*(1-$B$7*C15)</f>
        <v/>
      </c>
      <c r="E15" s="2" t="inlineStr">
        <is>
          <t>ZAŁOŻENIE (EVM TI ok. 0,7-1,0 tys. zł; waluta niepewna)</t>
        </is>
      </c>
    </row>
    <row r="16">
      <c r="A16" s="2" t="inlineStr">
        <is>
          <t>Jetson Orin Nano 8 GB moduł</t>
        </is>
      </c>
      <c r="B16" s="2">
        <f>'4_Ceny_źródła'!D7</f>
        <v/>
      </c>
      <c r="C16" s="11" t="n">
        <v>0</v>
      </c>
      <c r="D16" s="2">
        <f>B16*(1-$B$7*C16)</f>
        <v/>
      </c>
      <c r="E16" s="2" t="inlineStr">
        <is>
          <t>arkusz 4; cena 1KU+ jest już wolumenowa - bez dodatkowego rabatu</t>
        </is>
      </c>
    </row>
    <row r="17">
      <c r="A17" s="2" t="inlineStr">
        <is>
          <t>Obudowa IP66 + okablowanie + zasilanie/UPS</t>
        </is>
      </c>
      <c r="B17" s="2" t="n">
        <v>1500</v>
      </c>
      <c r="C17" s="11" t="n">
        <v>1</v>
      </c>
      <c r="D17" s="2">
        <f>B17*(1-$B$7*C17)</f>
        <v/>
      </c>
      <c r="E17" s="2" t="inlineStr">
        <is>
          <t>ZAŁOŻENIE (sama obudowa 190-410 zł wg arkusza 4)</t>
        </is>
      </c>
    </row>
    <row r="18">
      <c r="A18" s="2" t="inlineStr">
        <is>
          <t>Router LTE + GNSS (RUT956)</t>
        </is>
      </c>
      <c r="B18" s="2" t="n">
        <v>1250</v>
      </c>
      <c r="C18" s="11" t="n">
        <v>1</v>
      </c>
      <c r="D18" s="2">
        <f>B18*(1-$B$7*C18)</f>
        <v/>
      </c>
      <c r="E18" s="2" t="inlineStr">
        <is>
          <t>arkusz 4 (netto 1,17-1,33 tys. zł)</t>
        </is>
      </c>
    </row>
    <row r="19">
      <c r="A19" s="2" t="inlineStr">
        <is>
          <t>IMU i czujniki środowiskowe</t>
        </is>
      </c>
      <c r="B19" s="2" t="n">
        <v>1000</v>
      </c>
      <c r="C19" s="11" t="n">
        <v>1</v>
      </c>
      <c r="D19" s="2">
        <f>B19*(1-$B$7*C19)</f>
        <v/>
      </c>
      <c r="E19" s="2" t="inlineStr">
        <is>
          <t>ZAŁOŻENIE (IMU przemysłowe do ok. 2,8 tys. zł, MEMS znacznie taniej)</t>
        </is>
      </c>
    </row>
    <row r="20">
      <c r="A20" s="2" t="inlineStr">
        <is>
          <t>Dysk NVMe 1 TB (konsumencki)</t>
        </is>
      </c>
      <c r="B20" s="2" t="n">
        <v>430</v>
      </c>
      <c r="C20" s="11" t="n">
        <v>1</v>
      </c>
      <c r="D20" s="2">
        <f>B20*(1-$B$7*C20)</f>
        <v/>
      </c>
      <c r="E20" s="2" t="inlineStr">
        <is>
          <t>arkusz 4 (429-629 zł brutto)</t>
        </is>
      </c>
    </row>
    <row r="21">
      <c r="A21" s="10" t="inlineStr">
        <is>
          <t>SUMA BOM (wersja podstawowa)</t>
        </is>
      </c>
      <c r="B21" s="2">
        <f>SUM(B13:B20)</f>
        <v/>
      </c>
      <c r="C21" s="2" t="n"/>
      <c r="D21" s="2">
        <f>SUM(D13:D20)</f>
        <v/>
      </c>
      <c r="E21" s="2" t="n"/>
    </row>
    <row r="22">
      <c r="A22" s="2" t="n"/>
      <c r="B22" s="2" t="n"/>
      <c r="C22" s="2" t="n"/>
      <c r="D22" s="2" t="n"/>
      <c r="E22" s="2" t="n"/>
    </row>
    <row r="23">
      <c r="A23" s="10" t="inlineStr">
        <is>
          <t>WYNIKI</t>
        </is>
      </c>
      <c r="B23" s="2" t="n"/>
      <c r="C23" s="2" t="n"/>
      <c r="D23" s="2" t="n"/>
      <c r="E23" s="2" t="n"/>
    </row>
    <row r="24">
      <c r="A24" s="2" t="inlineStr">
        <is>
          <t>Koszt serii wersji podstawowej po rabacie (zł)</t>
        </is>
      </c>
      <c r="B24" s="2">
        <f>D21</f>
        <v/>
      </c>
      <c r="C24" s="2" t="n"/>
      <c r="D24" s="2" t="n"/>
      <c r="E24" s="2" t="n"/>
    </row>
    <row r="25">
      <c r="A25" s="2" t="inlineStr">
        <is>
          <t>Koszt całkowity na 100 szt. (zł)</t>
        </is>
      </c>
      <c r="B25" s="2">
        <f>100*B4*B5+100*(1-B4)*B24</f>
        <v/>
      </c>
      <c r="C25" s="2" t="n"/>
      <c r="D25" s="2" t="n"/>
      <c r="E25" s="2" t="n"/>
    </row>
    <row r="26">
      <c r="A26" s="2" t="inlineStr">
        <is>
          <t>Wymagany przychód na 100 szt. dla marży łącznej (zł)</t>
        </is>
      </c>
      <c r="B26" s="2">
        <f>B25/(1-B8)</f>
        <v/>
      </c>
      <c r="C26" s="2" t="n"/>
      <c r="D26" s="2" t="n"/>
      <c r="E26" s="2" t="n"/>
    </row>
    <row r="27">
      <c r="A27" s="2" t="inlineStr">
        <is>
          <t>Cena premium wynikająca z marży premium (zł)</t>
        </is>
      </c>
      <c r="B27" s="2">
        <f>B5/(1-B6)</f>
        <v/>
      </c>
      <c r="C27" s="2" t="n"/>
      <c r="D27" s="2" t="n"/>
      <c r="E27" s="2" t="n"/>
    </row>
    <row r="28">
      <c r="A28" s="2" t="inlineStr">
        <is>
          <t>Wymagana cena wersji podstawowej (zł)</t>
        </is>
      </c>
      <c r="B28" s="2">
        <f>(B26-100*B4*B27)/(100*(1-B4))</f>
        <v/>
      </c>
      <c r="C28" s="2" t="n"/>
      <c r="D28" s="2" t="n"/>
      <c r="E28" s="2" t="n"/>
    </row>
    <row r="29">
      <c r="A29" s="2" t="inlineStr">
        <is>
          <t>Marża wersji podstawowej przy cenie z wniosku (na cenie)</t>
        </is>
      </c>
      <c r="B29" s="2">
        <f>(B9-B24)/B9</f>
        <v/>
      </c>
      <c r="C29" s="2" t="n"/>
      <c r="D29" s="2" t="n"/>
      <c r="E29" s="2" t="n"/>
    </row>
    <row r="30">
      <c r="A30" s="2" t="inlineStr">
        <is>
          <t>Marża łączna przy cenie podstawowej z wniosku</t>
        </is>
      </c>
      <c r="B30" s="2">
        <f>(100*B4*B27+100*(1-B4)*B9-B25)/(100*B4*B27+100*(1-B4)*B9)</f>
        <v/>
      </c>
      <c r="C30" s="2" t="n"/>
      <c r="D30" s="2" t="n"/>
      <c r="E30" s="2" t="n"/>
    </row>
    <row r="31">
      <c r="A31" s="2" t="inlineStr">
        <is>
          <t>Maks. koszt serii wersji podstawowej, przy którym cena z wniosku daje marżę łączną docelową (zł)</t>
        </is>
      </c>
      <c r="B31" s="2">
        <f>((100*B4*B27+100*(1-B4)*B9)*(1-B8)-100*B4*B5)/(100*(1-B4))</f>
        <v/>
      </c>
      <c r="C31" s="2" t="n"/>
      <c r="D31" s="2" t="n"/>
      <c r="E31" s="2" t="n"/>
    </row>
    <row r="32">
      <c r="A32" s="2" t="n"/>
      <c r="B32" s="2" t="n"/>
      <c r="C32" s="2" t="n"/>
      <c r="D32" s="2" t="n"/>
      <c r="E32" s="2" t="n"/>
    </row>
    <row r="33">
      <c r="A33" s="2" t="n"/>
      <c r="B33" s="2" t="n"/>
      <c r="C33" s="2" t="n"/>
      <c r="D33" s="2" t="n"/>
      <c r="E33" s="2" t="n"/>
    </row>
    <row r="34">
      <c r="A34" s="10" t="inlineStr">
        <is>
          <t>WRAŻLIWOŚĆ: wymagana cena wersji podstawowej (zł) przy marży łącznej 10% i różnym rabacie</t>
        </is>
      </c>
      <c r="B34" s="2" t="n"/>
      <c r="C34" s="2" t="n"/>
      <c r="D34" s="2" t="n"/>
      <c r="E34" s="2" t="n"/>
    </row>
    <row r="35">
      <c r="A35" s="2" t="inlineStr">
        <is>
          <t>Rabat wolumenowy</t>
        </is>
      </c>
      <c r="B35" s="2" t="inlineStr">
        <is>
          <t>Koszt serii podst. (zł)</t>
        </is>
      </c>
      <c r="C35" s="2" t="inlineStr">
        <is>
          <t>Wymagana cena podst. (zł)</t>
        </is>
      </c>
      <c r="D35" s="2" t="n"/>
      <c r="E35" s="2" t="n"/>
    </row>
    <row r="36">
      <c r="A36" s="2" t="n">
        <v>0</v>
      </c>
      <c r="B36" s="2">
        <f>SUMPRODUCT(B13:B20,1-A36*C13:C20)</f>
        <v/>
      </c>
      <c r="C36" s="2">
        <f>((100*$B$4*$B$5+100*(1-$B$4)*B36)/(1-$B$8)-100*$B$4*$B$27)/(100*(1-$B$4))</f>
        <v/>
      </c>
      <c r="D36" s="2" t="n"/>
      <c r="E36" s="2" t="n"/>
    </row>
    <row r="37">
      <c r="A37" s="2" t="n">
        <v>0.1</v>
      </c>
      <c r="B37" s="2">
        <f>SUMPRODUCT(B13:B20,1-A37*C13:C20)</f>
        <v/>
      </c>
      <c r="C37" s="2">
        <f>((100*$B$4*$B$5+100*(1-$B$4)*B37)/(1-$B$8)-100*$B$4*$B$27)/(100*(1-$B$4))</f>
        <v/>
      </c>
      <c r="D37" s="2" t="n"/>
      <c r="E37" s="2" t="n"/>
    </row>
    <row r="38">
      <c r="A38" s="2" t="n">
        <v>0.2</v>
      </c>
      <c r="B38" s="2">
        <f>SUMPRODUCT(B13:B20,1-A38*C13:C20)</f>
        <v/>
      </c>
      <c r="C38" s="2">
        <f>((100*$B$4*$B$5+100*(1-$B$4)*B38)/(1-$B$8)-100*$B$4*$B$27)/(100*(1-$B$4))</f>
        <v/>
      </c>
      <c r="D38" s="2" t="n"/>
      <c r="E38" s="2" t="n"/>
    </row>
    <row r="39">
      <c r="A39" s="2" t="n">
        <v>0.3</v>
      </c>
      <c r="B39" s="2">
        <f>SUMPRODUCT(B13:B20,1-A39*C13:C20)</f>
        <v/>
      </c>
      <c r="C39" s="2">
        <f>((100*$B$4*$B$5+100*(1-$B$4)*B39)/(1-$B$8)-100*$B$4*$B$27)/(100*(1-$B$4))</f>
        <v/>
      </c>
      <c r="D39" s="2" t="n"/>
      <c r="E39" s="2" t="n"/>
    </row>
    <row r="40">
      <c r="A40" s="2" t="n"/>
      <c r="B40" s="2" t="n"/>
      <c r="C40" s="2" t="n"/>
      <c r="D40" s="2" t="n"/>
      <c r="E40" s="2" t="n"/>
    </row>
    <row r="41">
      <c r="A41" s="2" t="inlineStr">
        <is>
          <t>Uwaga: dodatkowo trzeba doliczyć koszt montażu/instalacji i wsparcia (K2-06 pyta o uwzględnienie kosztów montażu, integracji, utrzymania). Model nie zawiera tych kosztów.</t>
        </is>
      </c>
      <c r="B41" s="2" t="n"/>
      <c r="C41" s="2" t="n"/>
      <c r="D41" s="2" t="n"/>
      <c r="E41" s="2" t="n"/>
    </row>
    <row r="44">
      <c r="A44" s="10" t="inlineStr">
        <is>
          <t>WARTOŚCI KONTROLNE (przeliczone poza Excelem, kursy NBP 17.09.2026, domyślne założenia; Excel przeliczy formuły sam)</t>
        </is>
      </c>
    </row>
    <row r="45">
      <c r="A45" s="2" t="inlineStr">
        <is>
          <t>Rabat 0%: koszt serii podst. 10 215 zł; wymagana cena podst. ok. 11 545 zł; marża podst. przy 7 500 zł: -36%</t>
        </is>
      </c>
    </row>
    <row r="46">
      <c r="A46" s="2" t="inlineStr">
        <is>
          <t>Rabat 10%: koszt 9 345 zł; wymagana cena ok. 10 579 zł</t>
        </is>
      </c>
    </row>
    <row r="47">
      <c r="A47" s="2" t="inlineStr">
        <is>
          <t>Rabat 20%: koszt 8 476 zł; wymagana cena ok. 9 612 zł</t>
        </is>
      </c>
    </row>
    <row r="48">
      <c r="A48" s="2" t="inlineStr">
        <is>
          <t>Rabat 30%: koszt 7 606 zł; wymagana cena ok. 8 646 zł; marża podst. przy 7 500 zł: -1,4%; marża łączna: +0,6%</t>
        </is>
      </c>
    </row>
    <row r="49">
      <c r="A49" s="2" t="inlineStr">
        <is>
          <t>Maksymalny koszt serii wersji podstawowej, przy którym cena 7 500 zł daje 10% marży łącznej: ok. 6 575 zł (niezależnie od rabatu)</t>
        </is>
      </c>
    </row>
    <row r="50">
      <c r="A50" s="2" t="inlineStr">
        <is>
          <t>Rabat nie obejmuje modułu Jetson (cena 1KU+ jest już wolumenowa). Konfiguracja 3 kamery ToF: koszt serii ok. 9 094 zł przy rabacie 30%.</t>
        </is>
      </c>
    </row>
    <row r="51">
      <c r="A51"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6" customWidth="1" min="1" max="1"/>
    <col width="32" customWidth="1" min="2" max="2"/>
    <col width="100" customWidth="1" min="3" max="3"/>
    <col width="50" customWidth="1" min="4" max="4"/>
  </cols>
  <sheetData>
    <row r="1">
      <c r="A1" s="3" t="inlineStr">
        <is>
          <t>Lp.</t>
        </is>
      </c>
      <c r="B1" s="3" t="inlineStr">
        <is>
          <t>Klauzula</t>
        </is>
      </c>
      <c r="C1" s="3" t="inlineStr">
        <is>
          <t>Treść / zakres</t>
        </is>
      </c>
      <c r="D1" s="3" t="inlineStr">
        <is>
          <t>Po co (uwaga eksperta)</t>
        </is>
      </c>
    </row>
    <row r="2">
      <c r="A2" s="4" t="inlineStr">
        <is>
          <t>1</t>
        </is>
      </c>
      <c r="B2" s="4" t="inlineStr">
        <is>
          <t>Strony i przedmiot</t>
        </is>
      </c>
      <c r="C2" s="4" t="inlineStr">
        <is>
          <t>Najem/leasing zestawów (ciągnik siodłowy + naczepa) na rzecz Everest11; opis typu zabudowy (furgon/izoterma/kurtyna) zgodnego z konfiguracją CargoDT.</t>
        </is>
      </c>
      <c r="D2" s="4" t="inlineStr">
        <is>
          <t>Odpowiada na pytanie eksperta, co dokładnie Everest11 posiada.</t>
        </is>
      </c>
    </row>
    <row r="3">
      <c r="A3" s="4" t="inlineStr">
        <is>
          <t>2</t>
        </is>
      </c>
      <c r="B3" s="4" t="inlineStr">
        <is>
          <t>Liczba i harmonogram pojazdów</t>
        </is>
      </c>
      <c r="C3" s="4" t="inlineStr">
        <is>
          <t>Stan wyjściowy 5 zestawów; zobowiązanie do zwiększania do 20 wg harmonogramu (np. liczba na koniec każdego kwartału) do 30.04.2029; mechanizm potwierdzania (protokoły przekazania).</t>
        </is>
      </c>
      <c r="D3" s="4" t="inlineStr">
        <is>
          <t>Zamienia deklarację "będzie 20" w zobowiązanie umowne.</t>
        </is>
      </c>
    </row>
    <row r="4">
      <c r="A4" s="4" t="inlineStr">
        <is>
          <t>3</t>
        </is>
      </c>
      <c r="B4" s="4" t="inlineStr">
        <is>
          <t>Okres obowiązywania</t>
        </is>
      </c>
      <c r="C4" s="4" t="inlineStr">
        <is>
          <t>Co najmniej do 31.12.2031 (obejmuje start sprzedaży 01/2030 i okres prognozy), z opcją przedłużenia.</t>
        </is>
      </c>
      <c r="D4" s="4" t="inlineStr">
        <is>
          <t>Spójne z modelem finansowym i datą wdrożenia.</t>
        </is>
      </c>
    </row>
    <row r="5">
      <c r="A5" s="4" t="inlineStr">
        <is>
          <t>4</t>
        </is>
      </c>
      <c r="B5" s="4" t="inlineStr">
        <is>
          <t>Zgoda wynajmującego na montaż</t>
        </is>
      </c>
      <c r="C5" s="4" t="inlineStr">
        <is>
          <t>Prawo do montażu, serwisu i demontażu urządzeń CargoDT, zakres ingerencji (zasilanie, otwory, uchwyty), przywrócenie stanu po zwrocie.</t>
        </is>
      </c>
      <c r="D5" s="4" t="inlineStr">
        <is>
          <t>Bez tego montaż w pojazdach w najmie jest ryzykiem.</t>
        </is>
      </c>
    </row>
    <row r="6">
      <c r="A6" s="4" t="inlineStr">
        <is>
          <t>5</t>
        </is>
      </c>
      <c r="B6" s="4" t="inlineStr">
        <is>
          <t>Dane i wizerunek</t>
        </is>
      </c>
      <c r="C6" s="4" t="inlineStr">
        <is>
          <t>Zgoda na rejestrację obrazu wnętrza i danych z pojazdu, zasady RODO (anonimizacja obrazu, DPIA), własność i dostęp do danych.</t>
        </is>
      </c>
      <c r="D6" s="4" t="inlineStr">
        <is>
          <t>K3-25, K5-13.</t>
        </is>
      </c>
    </row>
    <row r="7">
      <c r="A7" s="4" t="inlineStr">
        <is>
          <t>6</t>
        </is>
      </c>
      <c r="B7" s="4" t="inlineStr">
        <is>
          <t>Użytkowanie i odpowiedzialność</t>
        </is>
      </c>
      <c r="C7" s="4" t="inlineStr">
        <is>
          <t>Ubezpieczenie na czas montażu, odpowiedzialność za szkody, brak ograniczeń eksploatacji.</t>
        </is>
      </c>
      <c r="D7" s="4" t="inlineStr">
        <is>
          <t>Zabezpiecza ciągłość pracy floty.</t>
        </is>
      </c>
    </row>
    <row r="8">
      <c r="A8" s="4" t="inlineStr">
        <is>
          <t>7</t>
        </is>
      </c>
      <c r="B8" s="4" t="inlineStr">
        <is>
          <t>Wyłączność / pierwszeństwo</t>
        </is>
      </c>
      <c r="C8" s="4" t="inlineStr">
        <is>
          <t>Opcjonalnie: pierwszeństwo rozszerzania floty u tego samego wynajmującego.</t>
        </is>
      </c>
      <c r="D8" s="4" t="inlineStr">
        <is>
          <t>Wzmacnia wiarygodność przyrostu.</t>
        </is>
      </c>
    </row>
    <row r="9">
      <c r="A9" s="4" t="inlineStr">
        <is>
          <t>8</t>
        </is>
      </c>
      <c r="B9" s="4" t="inlineStr">
        <is>
          <t>Rozdzielenie od kosztów projektu</t>
        </is>
      </c>
      <c r="C9" s="4" t="inlineStr">
        <is>
          <t>Najem nie jest kosztem kwalifikowalnym projektu; nie jest rozpoczęciem realizacji projektu (Instrukcja pkt 1.1).</t>
        </is>
      </c>
      <c r="D9" s="4" t="inlineStr">
        <is>
          <t>Unika zarzutu naruszenia efektu zachęty.</t>
        </is>
      </c>
    </row>
    <row r="10">
      <c r="A10" s="4" t="inlineStr">
        <is>
          <t>9</t>
        </is>
      </c>
      <c r="B10" s="4" t="inlineStr">
        <is>
          <t>Termin i forma</t>
        </is>
      </c>
      <c r="C10" s="4" t="inlineStr">
        <is>
          <t>Aneks podpisany przed wysłaniem poprawionego wniosku; wniosek opisuje treść bez załączania umów.</t>
        </is>
      </c>
      <c r="D10" s="4" t="inlineStr">
        <is>
          <t>Decyzja właściciela (D10).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22" customWidth="1" min="3" max="3"/>
    <col width="26" customWidth="1" min="4" max="4"/>
    <col width="12" customWidth="1" min="5" max="5"/>
  </cols>
  <sheetData>
    <row r="1">
      <c r="A1" s="3" t="inlineStr">
        <is>
          <t>ID</t>
        </is>
      </c>
      <c r="B1" s="3" t="inlineStr">
        <is>
          <t>Kontrola</t>
        </is>
      </c>
      <c r="C1" s="3" t="inlineStr">
        <is>
          <t>Kto</t>
        </is>
      </c>
      <c r="D1" s="3" t="inlineStr">
        <is>
          <t>Kiedy</t>
        </is>
      </c>
      <c r="E1" s="3" t="inlineStr">
        <is>
          <t>Status</t>
        </is>
      </c>
    </row>
    <row r="2">
      <c r="A2" s="4" t="inlineStr">
        <is>
          <t>C01</t>
        </is>
      </c>
      <c r="B2" s="4" t="inlineStr">
        <is>
          <t>Spójność parametrów: AUC, błąd pozycji, 50 zdarzeń, liczba kursów, ceny, daty, formy zatrudnienia - wyszukiwanie we WSZYSTKICH polach wniosku wersji docelowej</t>
        </is>
      </c>
      <c r="C2" s="4" t="inlineStr">
        <is>
          <t>Claude</t>
        </is>
      </c>
      <c r="D2" s="4" t="inlineStr">
        <is>
          <t>po każdym pakiecie i na końcu</t>
        </is>
      </c>
      <c r="E2" s="4" t="inlineStr">
        <is>
          <t>OTWARTE</t>
        </is>
      </c>
    </row>
    <row r="3">
      <c r="A3" s="4" t="inlineStr">
        <is>
          <t>C02</t>
        </is>
      </c>
      <c r="B3" s="4" t="inlineStr">
        <is>
          <t>Budżet: dofinansowanie &lt;= 3 998 262,02 zł; Everest11 &lt;= 2 964 296,12 zł; PRz &lt;= 1 033 965,90 zł (po każdej zmianie, z ryczałtem 25%)</t>
        </is>
      </c>
      <c r="C3" s="4" t="inlineStr">
        <is>
          <t>Claude</t>
        </is>
      </c>
      <c r="D3" s="4" t="inlineStr">
        <is>
          <t>po każdej zmianie kosztów</t>
        </is>
      </c>
      <c r="E3" s="4" t="inlineStr">
        <is>
          <t>05.10: sumy bez zmian (Z8 113 084,00; PRz osobowe 679 472,72; konsorcjum 3 998 262,02); kontrola końcowa po ostatnich zmianach OTWARTA</t>
        </is>
      </c>
    </row>
    <row r="4">
      <c r="A4" s="4" t="inlineStr">
        <is>
          <t>C03</t>
        </is>
      </c>
      <c r="B4" s="4" t="inlineStr">
        <is>
          <t>Koszty pośrednie = 25% x (personel + amortyzacja + WNiP + dostawy + usługi operacyjne), bez podwykonawstwa</t>
        </is>
      </c>
      <c r="C4" s="4" t="inlineStr">
        <is>
          <t>Claude</t>
        </is>
      </c>
      <c r="D4" s="4" t="inlineStr">
        <is>
          <t>na końcu</t>
        </is>
      </c>
      <c r="E4" s="4" t="inlineStr">
        <is>
          <t>OTWARTE</t>
        </is>
      </c>
    </row>
    <row r="5">
      <c r="A5" s="4" t="inlineStr">
        <is>
          <t>C04</t>
        </is>
      </c>
      <c r="B5" s="4" t="inlineStr">
        <is>
          <t>Limit 276 h/mies. dla każdej osoby (wymaga danych o innych zaangażowaniach)</t>
        </is>
      </c>
      <c r="C5" s="4" t="inlineStr">
        <is>
          <t>Właściciel + Claude</t>
        </is>
      </c>
      <c r="D5" s="4" t="inlineStr">
        <is>
          <t>05.10</t>
        </is>
      </c>
      <c r="E5" s="4" t="inlineStr">
        <is>
          <t>OTWARTE</t>
        </is>
      </c>
    </row>
    <row r="6">
      <c r="A6" s="4" t="inlineStr">
        <is>
          <t>C05</t>
        </is>
      </c>
      <c r="B6" s="4" t="inlineStr">
        <is>
          <t>Zasada 1 zadanie = 1 konsorcjant; brak wspólnej puli sprzętu PRz i Everest11</t>
        </is>
      </c>
      <c r="C6" s="4" t="inlineStr">
        <is>
          <t>Claude</t>
        </is>
      </c>
      <c r="D6" s="4" t="inlineStr">
        <is>
          <t>na końcu</t>
        </is>
      </c>
      <c r="E6" s="4" t="inlineStr">
        <is>
          <t>OTWARTE</t>
        </is>
      </c>
    </row>
    <row r="7">
      <c r="A7" s="4" t="inlineStr">
        <is>
          <t>C06</t>
        </is>
      </c>
      <c r="B7" s="4" t="inlineStr">
        <is>
          <t>Każde zadanie ma 1 KM: parametry w SI, sposób weryfikacji, wpływ nieosiągnięcia, no-go</t>
        </is>
      </c>
      <c r="C7" s="4" t="inlineStr">
        <is>
          <t>Claude</t>
        </is>
      </c>
      <c r="D7" s="4" t="inlineStr">
        <is>
          <t>po WP02</t>
        </is>
      </c>
      <c r="E7" s="4" t="inlineStr">
        <is>
          <t>OTWARTE</t>
        </is>
      </c>
    </row>
    <row r="8">
      <c r="A8" s="4" t="inlineStr">
        <is>
          <t>C07</t>
        </is>
      </c>
      <c r="B8" s="4" t="inlineStr">
        <is>
          <t>Limity znaków pól LSI (Instrukcja wniosku) - liczba znaków przy każdym tekście</t>
        </is>
      </c>
      <c r="C8" s="4" t="inlineStr">
        <is>
          <t>Claude</t>
        </is>
      </c>
      <c r="D8" s="4" t="inlineStr">
        <is>
          <t>przy każdym tekście</t>
        </is>
      </c>
      <c r="E8" s="4" t="inlineStr">
        <is>
          <t>OTWARTE</t>
        </is>
      </c>
    </row>
    <row r="9">
      <c r="A9" s="4" t="inlineStr">
        <is>
          <t>C08</t>
        </is>
      </c>
      <c r="B9" s="4" t="inlineStr">
        <is>
          <t>Nazwy stanowisk spójne w 6.1 i 3.1.2; daty zadań w M-numeracji (np. Z6 M19-M27, Z9 M22-M30)</t>
        </is>
      </c>
      <c r="C9" s="4" t="inlineStr">
        <is>
          <t>Claude</t>
        </is>
      </c>
      <c r="D9" s="4" t="inlineStr">
        <is>
          <t>po WP06</t>
        </is>
      </c>
      <c r="E9" s="4" t="inlineStr">
        <is>
          <t>OTWARTE</t>
        </is>
      </c>
    </row>
    <row r="10">
      <c r="A10" s="4" t="inlineStr">
        <is>
          <t>C09</t>
        </is>
      </c>
      <c r="B10" s="4" t="inlineStr">
        <is>
          <t>Macierz pokrycia: każde podżądanie uwagi -&gt; pole -&gt; fragment tekstu (puste = uwaga umknęła)</t>
        </is>
      </c>
      <c r="C10" s="4" t="inlineStr">
        <is>
          <t>Claude</t>
        </is>
      </c>
      <c r="D10" s="4" t="inlineStr">
        <is>
          <t>na końcu</t>
        </is>
      </c>
      <c r="E10" s="4" t="inlineStr">
        <is>
          <t>OTWARTE</t>
        </is>
      </c>
    </row>
    <row r="11">
      <c r="A11" s="4" t="inlineStr">
        <is>
          <t>C10</t>
        </is>
      </c>
      <c r="B11" s="4" t="inlineStr">
        <is>
          <t>Różnice wersja docelowa vs oryginał: każda zmiana ma uzasadnienie (ID uwagi lub skutek uboczny)</t>
        </is>
      </c>
      <c r="C11" s="4" t="inlineStr">
        <is>
          <t>Claude</t>
        </is>
      </c>
      <c r="D11" s="4" t="inlineStr">
        <is>
          <t>na końcu</t>
        </is>
      </c>
      <c r="E11" s="4" t="inlineStr">
        <is>
          <t>OTWARTE</t>
        </is>
      </c>
    </row>
    <row r="12">
      <c r="A12" s="4" t="inlineStr">
        <is>
          <t>C11</t>
        </is>
      </c>
      <c r="B12" s="4" t="inlineStr">
        <is>
          <t>Model finansowy (2 pliki xlsm) zgodny z LSI: ceny, daty, wolumeny, komentarze (np. "18 miesięcy" w Założeniach powinno być 30)</t>
        </is>
      </c>
      <c r="C12" s="4" t="inlineStr">
        <is>
          <t>Claude + właściciel</t>
        </is>
      </c>
      <c r="D12" s="4" t="inlineStr">
        <is>
          <t>05-06.10</t>
        </is>
      </c>
      <c r="E12" s="4" t="inlineStr">
        <is>
          <t>W TOKU: model Everest11 zaktualizowany 05.10 (dane II kw., komentarze, harmonogram), przeliczony kontrolnie; pozostaje wklejenie do LSI i model PRz (T47)</t>
        </is>
      </c>
    </row>
    <row r="13">
      <c r="A13" s="4" t="inlineStr">
        <is>
          <t>C12</t>
        </is>
      </c>
      <c r="B13" s="4" t="inlineStr">
        <is>
          <t>Cena 7 500 / 349 / 4 800 zł i wskaźnik "koszt wdrożenia" spójne po decyzji o modelu marży (D11)</t>
        </is>
      </c>
      <c r="C13" s="4" t="inlineStr">
        <is>
          <t>Claude</t>
        </is>
      </c>
      <c r="D13" s="4" t="inlineStr">
        <is>
          <t>po D11</t>
        </is>
      </c>
      <c r="E13" s="4" t="inlineStr">
        <is>
          <t>OTWARTE</t>
        </is>
      </c>
    </row>
    <row r="14">
      <c r="A14" s="4" t="inlineStr">
        <is>
          <t>C13</t>
        </is>
      </c>
      <c r="B14" s="4" t="inlineStr">
        <is>
          <t>Kontrola adwersarska: czytanie gotowego tekstu każdego kryterium z perspektywy eksperta (bez notatek)</t>
        </is>
      </c>
      <c r="C14" s="4" t="inlineStr">
        <is>
          <t>Claude</t>
        </is>
      </c>
      <c r="D14" s="4" t="inlineStr">
        <is>
          <t>06.10</t>
        </is>
      </c>
      <c r="E14" s="4" t="inlineStr">
        <is>
          <t>OTWARTE</t>
        </is>
      </c>
    </row>
    <row r="15">
      <c r="A15" s="4" t="inlineStr">
        <is>
          <t>C14</t>
        </is>
      </c>
      <c r="B15" s="4" t="inlineStr">
        <is>
          <t>Jeśli dodajemy de minimis (misja): dokumenty (formularz, pomoc z 3 lat) i brak przekroczenia 300 tys. EUR</t>
        </is>
      </c>
      <c r="C15" s="4" t="inlineStr">
        <is>
          <t>Właściciel</t>
        </is>
      </c>
      <c r="D15" s="4" t="inlineStr">
        <is>
          <t>05.10</t>
        </is>
      </c>
      <c r="E15" s="4" t="inlineStr">
        <is>
          <t>OTWARTE</t>
        </is>
      </c>
    </row>
    <row r="16">
      <c r="A16" s="4" t="inlineStr">
        <is>
          <t>C15</t>
        </is>
      </c>
      <c r="B16" s="4" t="inlineStr">
        <is>
          <t>Harmonogram płatności (arkusze Zaliczka-refundacja): pierwsza zaliczka co najmniej 5%, transza nie więcej niż 40%, suma zaliczek nie więcej niż 90% dofinansowania</t>
        </is>
      </c>
      <c r="C16" s="4" t="inlineStr">
        <is>
          <t>Claude</t>
        </is>
      </c>
      <c r="D16" s="4" t="inlineStr">
        <is>
          <t>po każdej zmianie kosztów</t>
        </is>
      </c>
      <c r="E16" s="4" t="inlineStr">
        <is>
          <t>ZROBIONE 05.10 dla Everest11 (89,5%) i konsorcjum (89,63%); PRz 90,0% (T47)</t>
        </is>
      </c>
    </row>
    <row r="17">
      <c r="A17" s="4" t="inlineStr">
        <is>
          <t>C16</t>
        </is>
      </c>
      <c r="B17" s="4" t="inlineStr">
        <is>
          <t>Zgodność wniosku (wersja C) z modelem: sumy pozycji, Z6/Z7/Z9 wg D30, Z8 = 113 084,00 zł, wkład własny, limity zaliczek</t>
        </is>
      </c>
      <c r="C17" s="4" t="inlineStr">
        <is>
          <t>Claude</t>
        </is>
      </c>
      <c r="D17" s="4" t="inlineStr">
        <is>
          <t>po każdej zmianie budżetu w LSI</t>
        </is>
      </c>
      <c r="E17" s="4" t="inlineStr">
        <is>
          <t>ZROBIONE 05.10: sumy 5 285 591,00 / 5 170 682,22 / 3 998 262,01 zgodne; w modelu poprawione 18 komórek (F, H, I), limity K6-14 spełnione (89,50% i 89,63%); poprawiony komentarz Opłacalność - Konsorcjum (3 998 262 zł, PRz 1 033 966 zł).</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8"/>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50" customWidth="1" min="3" max="3"/>
  </cols>
  <sheetData>
    <row r="1">
      <c r="A1" s="3" t="inlineStr">
        <is>
          <t>ID</t>
        </is>
      </c>
      <c r="B1" s="3" t="inlineStr">
        <is>
          <t>Co było błędne / niepewne</t>
        </is>
      </c>
      <c r="C1" s="3" t="inlineStr">
        <is>
          <t>Status korekty</t>
        </is>
      </c>
    </row>
    <row r="2">
      <c r="A2" s="4" t="inlineStr">
        <is>
          <t>E01</t>
        </is>
      </c>
      <c r="B2" s="4" t="inlineStr">
        <is>
          <t>K3-65 (podróże na TRANSLOG): wcześniej uznałam, że art. 19 ich nie obejmuje; Przewodnik 5.3.3 mówi, że podróże na targi to art. 19 (MŚP), a de minimis dotyczy misji (5.3.4). Zapis w Przewodniku jest dwuznaczny.</t>
        </is>
      </c>
      <c r="C2" s="4" t="inlineStr">
        <is>
          <t>Poprawione; potwierdzić w helpdesku NCBR.</t>
        </is>
      </c>
    </row>
    <row r="3">
      <c r="A3" s="4" t="inlineStr">
        <is>
          <t>E02</t>
        </is>
      </c>
      <c r="B3" s="4" t="inlineStr">
        <is>
          <t>K3-08: oszczędność po skróceniu Backendu do 9 mies. wynosi ok. 48,8 tys. zł (z ryczałtem 25%), a nie 39 tys. zł.</t>
        </is>
      </c>
      <c r="C3" s="4" t="inlineStr">
        <is>
          <t>Poprawione; D07 zmienia podejście (podział Z6/Z9).</t>
        </is>
      </c>
    </row>
    <row r="4">
      <c r="A4" s="4" t="inlineStr">
        <is>
          <t>E03</t>
        </is>
      </c>
      <c r="B4" s="4" t="inlineStr">
        <is>
          <t>Punkt K3 za &gt;50% prac rozwojowych: wcześniej sugerowałam przesunięcie; praca rozwojowa to 38,6% kosztów B+R, przesunięcie jest nierealne.</t>
        </is>
      </c>
      <c r="C4" s="4" t="inlineStr">
        <is>
          <t>Wycofane.</t>
        </is>
      </c>
    </row>
    <row r="5">
      <c r="A5" s="4" t="inlineStr">
        <is>
          <t>E04</t>
        </is>
      </c>
      <c r="B5" s="4" t="inlineStr">
        <is>
          <t>Cena ToF "typ 2": 12 000 i 10 000 zł wyższe niż ceny katalogowe kamer (6,9-7,9 tys. zł).</t>
        </is>
      </c>
      <c r="C5" s="4" t="inlineStr">
        <is>
          <t>Do rozstrzygnięcia przez opis "zestaw" (D12).</t>
        </is>
      </c>
    </row>
    <row r="6">
      <c r="A6" s="4" t="inlineStr">
        <is>
          <t>E05</t>
        </is>
      </c>
      <c r="B6" s="4" t="inlineStr">
        <is>
          <t>OAK-D Pro W podany jako "ToF" jest active stereo.</t>
        </is>
      </c>
      <c r="C6" s="4" t="inlineStr">
        <is>
          <t>Do rozstrzygnięcia w D06.</t>
        </is>
      </c>
    </row>
    <row r="7">
      <c r="A7" s="4" t="inlineStr">
        <is>
          <t>E06</t>
        </is>
      </c>
      <c r="B7" s="4" t="inlineStr">
        <is>
          <t>Cena radaru TI z Mouser CA: waluta niepewna (może być CAD).</t>
        </is>
      </c>
      <c r="C7" s="4" t="inlineStr">
        <is>
          <t>Oznaczone jako ZAŁOŻENIE.</t>
        </is>
      </c>
    </row>
    <row r="8">
      <c r="A8" s="4" t="inlineStr">
        <is>
          <t>E07</t>
        </is>
      </c>
      <c r="B8" s="4" t="inlineStr">
        <is>
          <t>Liczba naczep 2023 (544,97 tys.) pochodzi ze źródła wtórnego; 567 800 (2024) niepotwierdzone.</t>
        </is>
      </c>
      <c r="C8" s="4" t="inlineStr">
        <is>
          <t>Właściciel pobiera wartość z Eurostat (T05).</t>
        </is>
      </c>
    </row>
    <row r="9">
      <c r="A9" s="4" t="inlineStr">
        <is>
          <t>E08</t>
        </is>
      </c>
      <c r="B9" s="4" t="inlineStr">
        <is>
          <t>Rejestr: decyzja "PRz ocenia Z9 w pełnym zakresie" koliduje z zasadą 1 zadanie = 1 konsorcjant i uwagą 12.</t>
        </is>
      </c>
      <c r="C9" s="4" t="inlineStr">
        <is>
          <t>Zastąpiona przez D05.</t>
        </is>
      </c>
    </row>
    <row r="10">
      <c r="A10" s="4" t="inlineStr">
        <is>
          <t>E09</t>
        </is>
      </c>
      <c r="B10" s="4" t="inlineStr">
        <is>
          <t>Edge AI: klasa dysku NVMe może zmienić koszt kompletu o ok. 3,8 tys. zł; mój pomysł "dysk konsumencki w ogrzewanej obudowie" wymaga potwierdzenia technicznego.</t>
        </is>
      </c>
      <c r="C10" s="4" t="inlineStr">
        <is>
          <t>T01.</t>
        </is>
      </c>
    </row>
    <row r="11">
      <c r="A11" s="4" t="inlineStr">
        <is>
          <t>E10</t>
        </is>
      </c>
      <c r="B11" s="4" t="inlineStr">
        <is>
          <t>Zbyt wiele wątków naraz w odpowiedziach (uwaga właściciela). Zasada 3 w arkuszu 0.</t>
        </is>
      </c>
      <c r="C11" s="4" t="inlineStr">
        <is>
          <t>Wdrożone.</t>
        </is>
      </c>
    </row>
    <row r="12">
      <c r="A12" s="2" t="inlineStr">
        <is>
          <t>E11</t>
        </is>
      </c>
      <c r="B12" s="2" t="inlineStr">
        <is>
          <t>W poprzedniej wiadomości tabela marży stosowała rabat 30% także do modułu Jetson, którego cena 1KU+ jest już wolumenowa; wynik był zbyt optymistyczny (koszt serii 7,1 tys. zł zamiast 7,6 tys. zł; cena dla 10% marży ok. 8,6 tys. zł zamiast 7,8-7,9 tys. zł).</t>
        </is>
      </c>
      <c r="C12" s="2" t="inlineStr">
        <is>
          <t>Poprawione w arkuszu 5.</t>
        </is>
      </c>
    </row>
    <row r="13">
      <c r="A13" s="2" t="inlineStr">
        <is>
          <t>E12</t>
        </is>
      </c>
      <c r="B13" s="2" t="inlineStr">
        <is>
          <t>Nazwy zadań w pierwszych wersjach dokumentu z opisami nie były nazwami z wniosku (Z2, Z5, Z6, Z7, Z8, Z9), a napisałam, że są.</t>
        </is>
      </c>
      <c r="C13" s="2" t="inlineStr">
        <is>
          <t>Poprawione: nazwy dokładnie z 3.1.1; Z6 zmieniona (D31).</t>
        </is>
      </c>
    </row>
    <row r="14">
      <c r="A14" s="2" t="inlineStr">
        <is>
          <t>E13</t>
        </is>
      </c>
      <c r="B14" s="2" t="inlineStr">
        <is>
          <t>Z6: całkowite wyłączenie integracji TMS, Trans.eu, TimoCom i e-CMR z B+R (zbyt rygorystyczna interpretacja; Przewodnik 3.3.1 i uwaga 38 dopuszczają czynności techniczne niezbędne do walidacji).</t>
        </is>
      </c>
      <c r="C14" s="2" t="inlineStr">
        <is>
          <t>Poprawione: integracje jako prace techniczne w środowisku testowym (D24).</t>
        </is>
      </c>
    </row>
    <row r="15">
      <c r="A15" s="2" t="inlineStr">
        <is>
          <t>E14</t>
        </is>
      </c>
      <c r="B15" s="2" t="inlineStr">
        <is>
          <t>N01/D31: napisałam, że zmiana nazwy Z6 wymaga zmian we wszystkich pozycjach budżetu. Nazwa wpisywana jest raz w 3.1.1.</t>
        </is>
      </c>
      <c r="C15" s="2" t="inlineStr">
        <is>
          <t>Poprawione.</t>
        </is>
      </c>
    </row>
    <row r="16">
      <c r="A16" s="2" t="inlineStr">
        <is>
          <t>E15</t>
        </is>
      </c>
      <c r="B16" s="2" t="inlineStr">
        <is>
          <t>Z6, opis: nadmiarowy nawias zamykający po edycji.</t>
        </is>
      </c>
      <c r="C16" s="2" t="inlineStr">
        <is>
          <t>Poprawione.</t>
        </is>
      </c>
    </row>
    <row r="17">
      <c r="A17" s="2" t="inlineStr">
        <is>
          <t>E16</t>
        </is>
      </c>
      <c r="B17" s="2" t="inlineStr">
        <is>
          <t>Z1: hipoteza H2 mówiła o błędzie pozycji, którego Z1 nie mierzy (mierzy RMSE głębi).</t>
        </is>
      </c>
      <c r="C17" s="2" t="inlineStr">
        <is>
          <t>Poprawione: błąd pozycji szacowany z RMSE głębi i geometrii.</t>
        </is>
      </c>
    </row>
    <row r="18">
      <c r="A18" s="2" t="inlineStr">
        <is>
          <t>E17</t>
        </is>
      </c>
      <c r="B18" s="2" t="inlineStr">
        <is>
          <t>Z7 i Z9: sprzeczność harmonogramu (Faza A od M22, a system z Z7 gotowy w M27).</t>
        </is>
      </c>
      <c r="C18" s="2" t="inlineStr">
        <is>
          <t>Poprawione: pierwsze egzemplarze platformy w M22, wersja finalna w M27; Faza A na modelach pośrednich.</t>
        </is>
      </c>
    </row>
    <row r="19">
      <c r="A19" s="2" t="inlineStr">
        <is>
          <t>E18</t>
        </is>
      </c>
      <c r="B19" s="2" t="inlineStr">
        <is>
          <t>Z5, opis: twierdzenie, że błąd pozycji będzie mierzony po kompresji w Z7 (Z7 mierzy opóźnienie, 5 Hz i degradację AUC/mAP).</t>
        </is>
      </c>
      <c r="C19" s="2" t="inlineStr">
        <is>
          <t>Poprawione.</t>
        </is>
      </c>
    </row>
    <row r="20">
      <c r="A20" s="2" t="inlineStr">
        <is>
          <t>E19</t>
        </is>
      </c>
      <c r="B20" s="2" t="inlineStr">
        <is>
          <t>Z7, opis: stwierdzenie, że modele z Z5 są w FP32 i się nie mieszczą.</t>
        </is>
      </c>
      <c r="C20" s="2" t="inlineStr">
        <is>
          <t>Poprawione: dotyczy modeli Z4 i Z8; Z5 to algorytmy nieuruchamiane dotąd na embedded.</t>
        </is>
      </c>
    </row>
    <row r="21">
      <c r="A21" s="2" t="inlineStr">
        <is>
          <t>E20</t>
        </is>
      </c>
      <c r="B21" s="2" t="inlineStr">
        <is>
          <t>Z9, opis: podwykonawca instaluje „finalne” zestawy, a Faza A instaluje pierwsze egzemplarze.</t>
        </is>
      </c>
      <c r="C21" s="2" t="inlineStr">
        <is>
          <t>Poprawione; pozycja N29 do zmiany w 6.4 i w 3.1.2.</t>
        </is>
      </c>
    </row>
    <row r="22">
      <c r="A22" s="2" t="inlineStr">
        <is>
          <t>E21</t>
        </is>
      </c>
      <c r="B22" s="2" t="inlineStr">
        <is>
          <t>Notatki w Aneksach A i C nadal mówiły, że podział etatów jest otwarty.</t>
        </is>
      </c>
      <c r="C22" s="2" t="inlineStr">
        <is>
          <t>Poprawione po D29.</t>
        </is>
      </c>
    </row>
    <row r="23">
      <c r="A23" s="2" t="inlineStr">
        <is>
          <t>E22</t>
        </is>
      </c>
      <c r="B23" s="2" t="inlineStr">
        <is>
          <t>K6-14: wcześniejsza weryfikacja harmonogramu płatności była błędna (zaliczka liczona jako dofinansowanie razy kolumna H zamiast samej kwoty z kolumny F); suma zaliczek wynosiła 91,6% i 91,2% wobec limitu 90%.</t>
        </is>
      </c>
      <c r="C23" s="2" t="inlineStr">
        <is>
          <t>Poprawione w modelu (D52, N85); refundacja końcowa 10,5% i 10,4%.</t>
        </is>
      </c>
    </row>
    <row r="24">
      <c r="A24" s="2" t="inlineStr">
        <is>
          <t>E23</t>
        </is>
      </c>
      <c r="B24" s="2" t="inlineStr">
        <is>
          <t>Pierwszy eksport modelu (05.10) zastąpił cały komentarz w arkuszu Przychody jednym akapitem i usunął trzy akapity „PROJEKT”.</t>
        </is>
      </c>
      <c r="C24" s="2" t="inlineStr">
        <is>
          <t>Poprawione tego samego dnia; komentarz ma wszystkie akapity.</t>
        </is>
      </c>
    </row>
    <row r="25">
      <c r="A25" s="2" t="inlineStr">
        <is>
          <t>E24</t>
        </is>
      </c>
      <c r="B25" s="2" t="inlineStr">
        <is>
          <t>PRz Z8: zmieniłam stawki i godziny bez danych PRz i rozszerzyłam zmianę na osiem stanowisk (właścicielka nie zatwierdziła).</t>
        </is>
      </c>
      <c r="C25" s="2" t="inlineStr">
        <is>
          <t>Cofnięte; godziny Z8 poprawione zgodnie z decyzją właścicielki przy sumie bez zmian (D43).</t>
        </is>
      </c>
    </row>
    <row r="26">
      <c r="A26" s="2" t="inlineStr">
        <is>
          <t>E25</t>
        </is>
      </c>
      <c r="B26" s="2" t="inlineStr">
        <is>
          <t>Komentarz Finansowanie: zdanie o wycenie spółki ok. 6,3 mln zł mogło sugerować podwyższenie kapitału do tej kwoty.</t>
        </is>
      </c>
      <c r="C26" s="2" t="inlineStr">
        <is>
          <t>Zastąpione opisem mechanizmu (nominalna część i nadwyżka na kapitał zapasowy), D51.</t>
        </is>
      </c>
    </row>
    <row r="27">
      <c r="A27" s="2" t="inlineStr">
        <is>
          <t>E26</t>
        </is>
      </c>
      <c r="B27" s="2" t="inlineStr">
        <is>
          <t>R12: napisałam, że Natanek Logistics jest „jednym z trzech niezależnych klientów”, co jest sprzeczne z danymi księgowej (powiązany z Inwestorem, ok. 95% zakupów usług).</t>
        </is>
      </c>
      <c r="C27" s="2" t="inlineStr">
        <is>
          <t>Poprawione w zestawieniu zmian do LSI (D47).</t>
        </is>
      </c>
    </row>
    <row r="28">
      <c r="A28" s="2" t="inlineStr">
        <is>
          <t>E27</t>
        </is>
      </c>
      <c r="B28" s="2" t="inlineStr">
        <is>
          <t>Komentarz Ocena kondycji podawał środki pieniężne „2 618 tys. zł w 2026 do 16 679 tys. zł w 2039”, czego model nie potwierdzał.</t>
        </is>
      </c>
      <c r="C28" s="2" t="inlineStr">
        <is>
          <t>Poprawione liczbami z przeliczonego modelu (N79).</t>
        </is>
      </c>
    </row>
    <row r="29">
      <c r="A29" s="2" t="inlineStr">
        <is>
          <t>E28</t>
        </is>
      </c>
      <c r="B29" s="2" t="inlineStr">
        <is>
          <t>Zmieniłam pliki Sekcja_1.3_i_ceny.docx, Poprawki_do_wklejenia_WP01-WP03.docx i Opisy_zadan_z_kamieniami_milowymi.docx, które były już przetworzone.</t>
        </is>
      </c>
      <c r="C29" s="2" t="inlineStr">
        <is>
          <t>Przywrócone do wersji sprzed zmian; zmiany tylko w osobnym zestawieniu (D50).</t>
        </is>
      </c>
    </row>
    <row r="30">
      <c r="A30" s="2" t="inlineStr">
        <is>
          <t>E29</t>
        </is>
      </c>
      <c r="B30" s="2" t="inlineStr">
        <is>
          <t>Liczniki w 3_Pakiety_pól (nierozpoczęte WP06 11, WP10 11, WP12 14 i inne) pochodziły z Rejestru z 01.10 i nie były przeliczone po przygotowaniu sekcji 6.1, 2.2/2.5, 6.2-6.4 i 7, więc pokazywały nierozpoczęte uwagi, do których teksty już istniały.</t>
        </is>
      </c>
      <c r="C30" s="2" t="inlineStr">
        <is>
          <t>Przeliczone 05.10: nierozpoczęte 0 we wszystkich pakietach, reszta jako „tekst gotowy, do weryf.”; metoda w komórce A15.</t>
        </is>
      </c>
    </row>
    <row r="31">
      <c r="A31" s="2" t="inlineStr">
        <is>
          <t>E30</t>
        </is>
      </c>
      <c r="B31" s="2" t="inlineStr">
        <is>
          <t>W poprzedniej odpowiedzi napisałam, że funkcji Włocha na uczelni nie znam i że wskaże je PRz, a wniosek (wersja B) wprost opisuje go jako kierownika Zakładu Modelowania Matematycznego. Nie sprawdziłam biografii w wniosku. Zdanie z poz. 5.2 („nie pełni funkcji na uczelni”) byłoby w jego przypadku nieprawdziwe.</t>
        </is>
      </c>
      <c r="C31" s="2" t="inlineStr">
        <is>
          <t>Poz. 5.2 ograniczona do czterech osób, dla Włocha dodana poz. 5.4 z wariantami; N86, T50.</t>
        </is>
      </c>
    </row>
    <row r="32">
      <c r="A32" s="2" t="inlineStr">
        <is>
          <t>E31</t>
        </is>
      </c>
      <c r="B32" s="2" t="inlineStr">
        <is>
          <t>W obecnych komentarzach modelu były błędy: czas trwania projektu 18 miesięcy zamiast 30 (Założenia), VAT ok. 83,7 tys. zł zamiast 80 937,78 zł (Finansowanie), najwyższe zadłużenie projektu w 2030 r. zamiast ok. 100% w 2026-2027 i 76% w 2031 r. (Ocena), zdanie o „optymalizacji podatkowej” bez potwierdzenia i liczby bez źródła (odpływ klientów 5-12%, 12 tys. spedytorów).</t>
        </is>
      </c>
      <c r="C32" s="2" t="inlineStr">
        <is>
          <t>Poprawione w nowych tekstach (Sekcja_K6, część 9); modelu nie zmieniałam, komentarze wklei właścicielka.</t>
        </is>
      </c>
    </row>
    <row r="33">
      <c r="A33" s="2" t="inlineStr">
        <is>
          <t>E32</t>
        </is>
      </c>
      <c r="B33" s="2" t="inlineStr">
        <is>
          <t>W moich wcześniejszych tekstach i w komentarzu modelu (B255 Przychody) data wejścia eFTI to 21.08.2025. Poprawna data: 9 lipca 2027 r. (organy muszą przyjmować informacje w formacie eFTI).</t>
        </is>
      </c>
      <c r="C33" s="2" t="inlineStr">
        <is>
          <t>Poprawione we wszystkich moich tekstach (Sekcja_K6 część 9, model_texts). Komentarz B255 w modelu nadal ma starą datę: zastąpić tekstem z Sekcja_K6 część 9.</t>
        </is>
      </c>
    </row>
    <row r="34">
      <c r="A34" s="2" t="inlineStr">
        <is>
          <t>E33</t>
        </is>
      </c>
      <c r="B34" s="2" t="inlineStr">
        <is>
          <t>Pozycja 3.4 w Zmiany (uzasadnienie kosztu Anotatorów) mówiła, że specjalista TSL zatwierdza etykietę referencyjną. Plik LSI i uwaga K3-11 wskazują, że TSL nie powinien rozstrzygać (dyrektor operacyjny Natanek).</t>
        </is>
      </c>
      <c r="C34" s="2" t="inlineStr">
        <is>
          <t>Poprawione 06.10: rozbieżności rozstrzyga AI Senior Engineer, TSL tylko protokoły inspekcji (D21 zastąpiona).</t>
        </is>
      </c>
    </row>
    <row r="35">
      <c r="A35" s="2" t="inlineStr">
        <is>
          <t>E34</t>
        </is>
      </c>
      <c r="B35" s="2" t="inlineStr">
        <is>
          <t>06.10 napisałam, że model „nie zakłada sprzedaży zagranicznej” i że K14-01 jest otwarta (D58: pierwsza licencja CEE w 2030). To było niepełne: K14-01 rozwiązuje D40 i Sekcja_3.2 część 6 (0 zł w 2030), a modelu nie da się jednoznacznie określić, bo nie rozdziela przychodów na kraje; Sekcja_3.2 (CEE w modelu od 2032-2033) i komentarz Przychody (bez sprzedaży zagranicznej) są ze sobą sprzeczne.</t>
        </is>
      </c>
      <c r="C35" s="2" t="inlineStr">
        <is>
          <t>Poprawione w Zmiany 7.3 poz. 4 i 11, D58 zastąpiona, N91 i N98 przepisane; do ustalenia jedno zdanie o CEE (Zmiany 8.5).</t>
        </is>
      </c>
    </row>
    <row r="36">
      <c r="A36" s="2" t="inlineStr">
        <is>
          <t>E35</t>
        </is>
      </c>
      <c r="B36" s="2" t="inlineStr">
        <is>
          <t>Przy poprawianiu modelu PRz (D60) sprawdziłam liczby i błędy techniczne, ale nie porównałam modelu z pkt 5b Instrukcji (trzy lata historyczne dla organizacji badawczych z odzyskiwanym VAT) ani z uwagą 4 (koszty pośrednie w Pozostałych kosztach rodzajowych). Wyszło to dopiero przy komentarzach. Poprzedni komentarz PRz twierdził, że brak lat wcześniejszych wynika z zasad dla organizacji badawczych, a okres prognozy 5 lat jest wymogiem; oba twierdzenia były błędne.</t>
        </is>
      </c>
      <c r="C36" s="2" t="inlineStr">
        <is>
          <t>Zapisane w D61 jako decyzje 1 i 2; nowe komentarze nie powtarzają błędnych twierdzeń; model PRz do zmiany po Twojej decyzji.</t>
        </is>
      </c>
    </row>
    <row r="37">
      <c r="A37" s="2" t="inlineStr">
        <is>
          <t>E36</t>
        </is>
      </c>
      <c r="B37" s="2" t="inlineStr">
        <is>
          <t>Opis mechanizmu straty na sprzedaży PRz w K6-17 (i w mojej pierwszej wersji komentarzy): „zmniejszył się stan produktów w toku i gotowych”. Sprawozdanie PRz za 2025 pokazuje, że stan produktów w bilansie wzrósł (2 259 -&gt; 3 329 tys. zł), a zmiana stanu produktów w RZiS jest ujemna także w 2024 (-11 912 tys. zł). Mechanizm opisałam wcześniej na podstawie samych liczb RZiS, bez sprawdzenia bilansu poprzedniego roku. Podobnie założenie „nakłady odtworzeniowe równoważą amortyzację” było sprzeczne z planem (nakłady 60 152 vs amortyzacja 26 547 tys. zł).</t>
        </is>
      </c>
      <c r="C37" s="2" t="inlineStr">
        <is>
          <t>Poprawione w komentarzach (Sprawozdania, Ocena, Środki trwałe); mechanizm księgowy do potwierdzenia przez kwestora PRz (T58).</t>
        </is>
      </c>
    </row>
    <row r="38">
      <c r="A38" s="2" t="inlineStr">
        <is>
          <t>E37</t>
        </is>
      </c>
      <c r="B38" s="2" t="inlineStr">
        <is>
          <t>Napisałam, że dwie pozycje aparatury Everest przekraczają 10 tys. zł netto (12 000 i 16 400 zł) i że jedna ma dokładnie 10 000 zł. To były sumy pozycji dla 4 sztuk (komplety), a wniosek podaje wartość początkową jednego kompletu: 3 000, 4 100, 2 500 zł itd. (maks. 4 100 zł), więc cała aparatura Everest jest poniżej 10 tys. zł i Instrukcja (uwaga 1) obejmuje ją wprost. Dla PRz dwa komplety mają dokładnie 10 000 zł, ale polityka rachunkowości PRz (sprawozdanie 2025) odpisuje jednorazowo składniki „do 10 000 zł”, więc też bez problemu.</t>
        </is>
      </c>
      <c r="C38" s="2" t="inlineStr">
        <is>
          <t>Poprawione: usunięta uwaga z dokumentu PRz, komentarze PRz powołują się na politykę rachunkowości z jej sprawozdania.</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5" customWidth="1" min="3" max="3"/>
    <col width="60" customWidth="1" min="4" max="4"/>
    <col width="22" customWidth="1" min="5" max="5"/>
    <col width="11" customWidth="1" min="6" max="6"/>
    <col width="11" customWidth="1" min="7" max="7"/>
  </cols>
  <sheetData>
    <row r="1">
      <c r="A1" s="15" t="inlineStr">
        <is>
          <t>Nr</t>
        </is>
      </c>
      <c r="B1" s="15" t="inlineStr">
        <is>
          <t>Miejsce we wniosku</t>
        </is>
      </c>
      <c r="C1" s="15" t="inlineStr">
        <is>
          <t>Obecny zapis</t>
        </is>
      </c>
      <c r="D1" s="15" t="inlineStr">
        <is>
          <t>Wymagana zmiana</t>
        </is>
      </c>
      <c r="E1" s="15" t="inlineStr">
        <is>
          <t>Źródło</t>
        </is>
      </c>
      <c r="F1" s="15" t="inlineStr">
        <is>
          <t>Priorytet</t>
        </is>
      </c>
      <c r="G1" s="15" t="inlineStr">
        <is>
          <t>Status</t>
        </is>
      </c>
    </row>
    <row r="2">
      <c r="A2" s="2" t="inlineStr">
        <is>
          <t>N01</t>
        </is>
      </c>
      <c r="B2" s="2" t="inlineStr">
        <is>
          <t>3.1.1 Nazwa zadania Z6 (i wszystkie pozycje kosztowe Z6 w 3.1.2)</t>
        </is>
      </c>
      <c r="C2" s="2" t="inlineStr">
        <is>
          <t>„Pipeline PoC + integracja TMS/eFTI/e-CMR (Z6)”: nazwa obejmuje integrację TMS i e-CMR, które opis Z6 wyłącza z prac B+R i kosztów.</t>
        </is>
      </c>
      <c r="D2" s="2" t="inlineStr">
        <is>
          <t>Zmienić nazwę, np. na „Pipeline PoL/PoC i zgodność z eFTI (Z6)”. Nazwę wpisuje się raz w 3.1.1, a pola przy pozycjach kosztowych pobierają ją automatycznie (Instrukcja, pole techniczne), więc zmiana jest jednorazowa. Do sprawdzenia w LSI. Alternatywa: zostawić nazwę, bo opis Z6 już wyłącza integracje standardowe. DECYZJA: zatwierdzona, nazwa zmieniona w tym dokumencie.</t>
        </is>
      </c>
      <c r="E2" s="2" t="inlineStr">
        <is>
          <t>K3-08; D24, D31</t>
        </is>
      </c>
      <c r="F2" s="14" t="inlineStr">
        <is>
          <t>WYSOKI</t>
        </is>
      </c>
      <c r="G2" s="2" t="inlineStr">
        <is>
          <t>ZATWIERDZONE</t>
        </is>
      </c>
    </row>
    <row r="3">
      <c r="A3" s="2" t="inlineStr">
        <is>
          <t>N02</t>
        </is>
      </c>
      <c r="B3" s="2" t="inlineStr">
        <is>
          <t>1.2 Wskaźnik innowacyjności nr 1 (model 3D): wartość docelowa, jednostka, metodologia</t>
        </is>
      </c>
      <c r="C3" s="2" t="inlineStr">
        <is>
          <t>„Błąd estymacji pozycji ≤30 cm”, jednostka [cm]/[Hz]; uzasadnienie, że błąd 30 cm pozwala wykryć przemieszczenie 100 mm.</t>
        </is>
      </c>
      <c r="D3" s="2" t="inlineStr">
        <is>
          <t>Jednostka [m]/[Hz]. Wartość: mediana nie więcej niż 0,30 m i percentyl 95 nie więcej niż 0,35 m. Poprawić uzasadnienie: wykrywanie przemieszczeń od 0,10 m opiera się na błędzie przemieszczenia względnego (mediana 0,03 m), a nie na błędzie pozycji bezwzględnej. Weryfikacja: Z5 (rig) i Z9 (1000 pomiarów).</t>
        </is>
      </c>
      <c r="E3" s="2" t="inlineStr">
        <is>
          <t>K3-16, K3-17, K3-13; KM-Z5, KM-Z9</t>
        </is>
      </c>
      <c r="F3" s="14" t="inlineStr">
        <is>
          <t>WYSOKI</t>
        </is>
      </c>
      <c r="G3" s="2" t="inlineStr">
        <is>
          <t>TEKST GOTOWY (Wskazniki_innowacyjnosci_1.2_i_1.4.docx), 6 żółtych parametrów: T11</t>
        </is>
      </c>
    </row>
    <row r="4">
      <c r="A4" s="2" t="inlineStr">
        <is>
          <t>N03</t>
        </is>
      </c>
      <c r="B4" s="2" t="inlineStr">
        <is>
          <t>1.2 Wskaźnik nr 2 (AUC-ROC): wartość bazowa i weryfikacja</t>
        </is>
      </c>
      <c r="C4" s="2" t="inlineStr">
        <is>
          <t>Baza AUC-ROC 0,50 (klasyfikator losowy); weryfikacja: „niezależna walidacja Everest11 na danych terenowych Z9”.</t>
        </is>
      </c>
      <c r="D4" s="2" t="inlineStr">
        <is>
          <t>Baza: wynik detektora progowego wg EN 12195-1 zmierzony na tym samym teście w Z4 (D16). Wartość docelowa 0,85 dotyczy modelu FP32 (KM-Z4); w Z9 model po kompresji nie mniej niż 0,82. Usunąć sformułowanie o niezależnej walidacji Everest11, zastąpić ścieżką audytu Z9.</t>
        </is>
      </c>
      <c r="E4" s="2" t="inlineStr">
        <is>
          <t>K1-03, K3-15, K3-19; D16, D22</t>
        </is>
      </c>
      <c r="F4" s="14" t="inlineStr">
        <is>
          <t>WYSOKI</t>
        </is>
      </c>
      <c r="G4" s="2" t="inlineStr">
        <is>
          <t>TEKST GOTOWY (Wskazniki_innowacyjnosci_1.2_i_1.4.docx), 6 żółtych parametrów: T11</t>
        </is>
      </c>
    </row>
    <row r="5">
      <c r="A5" s="2" t="inlineStr">
        <is>
          <t>N04</t>
        </is>
      </c>
      <c r="B5" s="2" t="inlineStr">
        <is>
          <t>1.2 Wskaźnik nr 3 (mAP)</t>
        </is>
      </c>
      <c r="C5" s="2" t="inlineStr">
        <is>
          <t>Wartość bazowa „N/D” w jednym miejscu i „0%” w innym; weryfikacja: „ocena eksperta TSL Everest11 jako ground truth”.</t>
        </is>
      </c>
      <c r="D5" s="2" t="inlineStr">
        <is>
          <t>Ujednolicić bazę jako „brak systemu, wartość 0”. Podać mAP 0,75 dla FP32 i 0,72 po kompresji (Z9). Ground truth: inspekcje z Z2 i procedura ślepa z Z9, bez wskazywania jednej osoby.</t>
        </is>
      </c>
      <c r="E5" s="2" t="inlineStr">
        <is>
          <t>K3-15, K3-19; D05, D22</t>
        </is>
      </c>
      <c r="F5" s="14" t="inlineStr">
        <is>
          <t>WYSOKI</t>
        </is>
      </c>
      <c r="G5" s="2" t="inlineStr">
        <is>
          <t>TEKST GOTOWY (Wskazniki_innowacyjnosci_1.2_i_1.4.docx), 6 żółtych parametrów: T11</t>
        </is>
      </c>
    </row>
    <row r="6">
      <c r="A6" s="2" t="inlineStr">
        <is>
          <t>N05</t>
        </is>
      </c>
      <c r="B6" s="2" t="inlineStr">
        <is>
          <t>1.2 Wskaźnik nr 4 (czas PoC i zgodność z eFTI)</t>
        </is>
      </c>
      <c r="C6" s="2" t="inlineStr">
        <is>
          <t>„Testy terenowe Z9 na min. 50 cyklach”; zgodność z polami eFTI ≥95% bez określenia mianownika.</t>
        </is>
      </c>
      <c r="D6" s="2" t="inlineStr">
        <is>
          <t>Z9: co najmniej 200 cykli. Doprecyzować: 95% wszystkich pól obligatoryjnych; zgodność treści PoL/PoC z ground truth co najmniej 90% do potwierdzenia (KM-Z6).</t>
        </is>
      </c>
      <c r="E6" s="2" t="inlineStr">
        <is>
          <t>K3-20; KM-Z6, KM-Z9</t>
        </is>
      </c>
      <c r="F6" s="2" t="inlineStr">
        <is>
          <t>ŚREDNI</t>
        </is>
      </c>
      <c r="G6" s="2" t="inlineStr">
        <is>
          <t>TEKST GOTOWY (Wskazniki_innowacyjnosci_1.2_i_1.4.docx), 6 żółtych parametrów: T11</t>
        </is>
      </c>
    </row>
    <row r="7">
      <c r="A7" s="2" t="inlineStr">
        <is>
          <t>N06</t>
        </is>
      </c>
      <c r="B7" s="2" t="inlineStr">
        <is>
          <t>1.2 Wskaźnik nr 5 (opóźnienie alertu): jednostka i baza</t>
        </is>
      </c>
      <c r="C7" s="2" t="inlineStr">
        <is>
          <t>Jednostka [ms], baza „≥300 000 ms”.</t>
        </is>
      </c>
      <c r="D7" s="2" t="inlineStr">
        <is>
          <t>Jednostka [s]: wartość docelowa 1 s (percentyl 95), baza 300 s. Dodać, że parametr jest mierzony po kompresji (Z7) i w terenie (Z9).</t>
        </is>
      </c>
      <c r="E7" s="2" t="inlineStr">
        <is>
          <t>Instrukcja (SI); K3-17; D18</t>
        </is>
      </c>
      <c r="F7" s="2" t="inlineStr">
        <is>
          <t>ŚREDNI</t>
        </is>
      </c>
      <c r="G7" s="2" t="inlineStr">
        <is>
          <t>TEKST GOTOWY (Wskazniki_innowacyjnosci_1.2_i_1.4.docx), 6 żółtych parametrów: T11</t>
        </is>
      </c>
    </row>
    <row r="8">
      <c r="A8" s="2" t="inlineStr">
        <is>
          <t>N07</t>
        </is>
      </c>
      <c r="B8" s="2" t="inlineStr">
        <is>
          <t>1.4 Wskaźnik dodatkowy: pokrycie pól eFTI</t>
        </is>
      </c>
      <c r="C8" s="2" t="inlineStr">
        <is>
          <t>„potwierdzone audytem podwykonawcy prawnego”, „audyt prawny podwykonawcy (Z6)”.</t>
        </is>
      </c>
      <c r="D8" s="2" t="inlineStr">
        <is>
          <t>Usunąć podwykonawcę prawnego (nie ma go w budżecie). Metoda: test zgodności z implementacją referencyjną KE i walidacja XSD wykonane przez zespół Everest11 (Z6).</t>
        </is>
      </c>
      <c r="E8" s="2" t="inlineStr">
        <is>
          <t>K3-08, K3-45; opis Z6</t>
        </is>
      </c>
      <c r="F8" s="14" t="inlineStr">
        <is>
          <t>WYSOKI</t>
        </is>
      </c>
      <c r="G8" s="2" t="inlineStr">
        <is>
          <t>TEKST GOTOWY (Wskazniki_innowacyjnosci_1.2_i_1.4.docx), 6 żółtych parametrów: T11</t>
        </is>
      </c>
    </row>
    <row r="9">
      <c r="A9" s="2" t="inlineStr">
        <is>
          <t>N08</t>
        </is>
      </c>
      <c r="B9" s="2" t="inlineStr">
        <is>
          <t>1.4 Wskaźnik dodatkowy: wykorzystanie kubatury (fill rate)</t>
        </is>
      </c>
      <c r="C9" s="2" t="inlineStr">
        <is>
          <t>Pomiar radarem mmWave na kursach floty w Z9; baza 65% (Eurostat 2024, źródło niezweryfikowane).</t>
        </is>
      </c>
      <c r="D9" s="2" t="inlineStr">
        <is>
          <t>Z9 zawiera teraz wskaźnik operacyjny (cel 80%), niebędący parametrem kamienia. Baza 65%: potwierdzić źródło (D20) albo przeformułować jako wartość mierzoną na tych samych pojazdach przed wdrożeniem.</t>
        </is>
      </c>
      <c r="E9" s="2" t="inlineStr">
        <is>
          <t>D20; opis Z9</t>
        </is>
      </c>
      <c r="F9" s="2" t="inlineStr">
        <is>
          <t>ŚREDNI</t>
        </is>
      </c>
      <c r="G9" s="2" t="inlineStr">
        <is>
          <t>TEKST GOTOWY (Wskazniki_innowacyjnosci_1.2_i_1.4.docx), 6 żółtych parametrów: T11</t>
        </is>
      </c>
    </row>
    <row r="10">
      <c r="A10" s="2" t="inlineStr">
        <is>
          <t>N09</t>
        </is>
      </c>
      <c r="B10" s="2" t="inlineStr">
        <is>
          <t>1.1 Cel projektu, 1.2 Innowacyjność, opis prac Z2 i Z5 (wiersze z „0,5 g”)</t>
        </is>
      </c>
      <c r="C10" s="2" t="inlineStr">
        <is>
          <t>„amplitudy do 0,5 g”.</t>
        </is>
      </c>
      <c r="D10" s="2" t="inlineStr">
        <is>
          <t>Zapis w SI: „do 4,9 m/s2 (0,5 g)”, spójnie z KM-Z2, KM-Z5 i opisami zadań.</t>
        </is>
      </c>
      <c r="E10" s="2" t="inlineStr">
        <is>
          <t>D18</t>
        </is>
      </c>
      <c r="F10" s="2" t="inlineStr">
        <is>
          <t>NISKI</t>
        </is>
      </c>
      <c r="G10" s="2" t="inlineStr">
        <is>
          <t>TEKST GOTOWY w Opisach zadań (zamknięte), 62 żółte wartości: T11, T35</t>
        </is>
      </c>
    </row>
    <row r="11">
      <c r="A11" s="2" t="inlineStr">
        <is>
          <t>N10</t>
        </is>
      </c>
      <c r="B11" s="2" t="inlineStr">
        <is>
          <t>3.1.1 Opisy zadań Z1-Z9 i kamienie milowe (pola zakresu, szczegółowego opisu, KM)</t>
        </is>
      </c>
      <c r="C11" s="2" t="inlineStr">
        <is>
          <t>Obecne teksty.</t>
        </is>
      </c>
      <c r="D11" s="2" t="inlineStr">
        <is>
          <t>Zastąpić tekstami z części pierwszej tego dokumentu.</t>
        </is>
      </c>
      <c r="E11" s="2" t="inlineStr">
        <is>
          <t>K3-01 do K3-22</t>
        </is>
      </c>
      <c r="F11" s="14" t="inlineStr">
        <is>
          <t>WYSOKI</t>
        </is>
      </c>
      <c r="G11" s="2" t="inlineStr">
        <is>
          <t>TEKST GOTOWY w Opisach zadań (zamknięte), 62 żółte wartości: T11, T35</t>
        </is>
      </c>
    </row>
    <row r="12">
      <c r="A12" s="2" t="inlineStr">
        <is>
          <t>N11</t>
        </is>
      </c>
      <c r="B12" s="2" t="inlineStr">
        <is>
          <t>3.1.2 Uzasadnienie kosztu: AI Senior Engineer Z2</t>
        </is>
      </c>
      <c r="C12" s="2" t="inlineStr">
        <is>
          <t>„Opracuje specyfikację anotacji Instance Segmentation COCO dla podwykonawcy”.</t>
        </is>
      </c>
      <c r="D12" s="2" t="inlineStr">
        <is>
          <t>„dla anotatorów Everest11”. Anotacja jest realizowana przez personel Lidera.</t>
        </is>
      </c>
      <c r="E12" s="2" t="inlineStr">
        <is>
          <t>K3-10, K3-39; D21</t>
        </is>
      </c>
      <c r="F12" s="14" t="inlineStr">
        <is>
          <t>WYSOKI</t>
        </is>
      </c>
      <c r="G12" s="2" t="inlineStr">
        <is>
          <t>TEKST GOTOWY (Sekcja_6.1 i 3.1.2), założenia D37: T23</t>
        </is>
      </c>
    </row>
    <row r="13">
      <c r="A13" s="2" t="inlineStr">
        <is>
          <t>N12</t>
        </is>
      </c>
      <c r="B13" s="2" t="inlineStr">
        <is>
          <t>3.1.2 Uzasadnienie kosztu: Anotatorzy Z2</t>
        </is>
      </c>
      <c r="C13" s="2" t="inlineStr">
        <is>
          <t>Zakres i nakład „wg wolumenu”.</t>
        </is>
      </c>
      <c r="D13" s="2" t="inlineStr">
        <is>
          <t>3 osoby, 1,0 etatu, 10 miesięcy M9-M18, zakres jak w opisie Z2 (anotacja, zgłaszanie przypadków niejednoznacznych, udział w pomiarze zgodności). Zgodnie z nakładem 3200-3600 godzin w budżecie porównać z 3 x 10 x 168 godzin.</t>
        </is>
      </c>
      <c r="E13" s="2" t="inlineStr">
        <is>
          <t>K3-39, K5-03</t>
        </is>
      </c>
      <c r="F13" s="14" t="inlineStr">
        <is>
          <t>WYSOKI</t>
        </is>
      </c>
      <c r="G13" s="2" t="inlineStr">
        <is>
          <t>TEKST GOTOWY: pozycja 3.4 w Zmiany_do_wprowadzenia_w_plikach_zamknietych.docx (forma zatrudnienia, nadzór jakości, relacja do Z3, B+R a obróbka). Otwarte: zgodność 5 040 h z szacunkiem nakładu (T49)</t>
        </is>
      </c>
    </row>
    <row r="14">
      <c r="A14" s="2" t="inlineStr">
        <is>
          <t>N13</t>
        </is>
      </c>
      <c r="B14" s="2" t="inlineStr">
        <is>
          <t>3.1.2 Uzasadnienie kosztu: Cybersecurity / AI Act Specialist Z9 (wiersz „przegląd prior art i analizę freedom-to-operate”, aktualizacja dokumentacji AI Act)</t>
        </is>
      </c>
      <c r="C14" s="2" t="inlineStr">
        <is>
          <t>Aktualizacja dokumentacji AI Act, integralność PoC, materiały do zgłoszenia EPO, prior art, FTO.</t>
        </is>
      </c>
      <c r="D14" s="2" t="inlineStr">
        <is>
          <t>Zostawić testy bezpieczeństwa prototypu w terenie i uruchamianie zamrożonego skryptu ewaluacyjnego (niezależny ewaluator). Usunąć AI Act, EPO, prior art, FTO (są w Z11 i poza B+R).</t>
        </is>
      </c>
      <c r="E14" s="2" t="inlineStr">
        <is>
          <t>K3-40, K3-66; D05</t>
        </is>
      </c>
      <c r="F14" s="14" t="inlineStr">
        <is>
          <t>WYSOKI</t>
        </is>
      </c>
      <c r="G14" s="2" t="inlineStr">
        <is>
          <t>TEKST GOTOWY (Sekcja_6.1 i 3.1.2), założenia D37: T23</t>
        </is>
      </c>
    </row>
    <row r="15">
      <c r="A15" s="2" t="inlineStr">
        <is>
          <t>N14</t>
        </is>
      </c>
      <c r="B15" s="2" t="inlineStr">
        <is>
          <t>3.1.2 Uzasadnienia kosztu: Cybersecurity Z2 i Z6</t>
        </is>
      </c>
      <c r="C15" s="2" t="inlineStr">
        <is>
          <t>Klasyfikacja ryzyka AI Act, karta oceny ryzyka, polityka RODO.</t>
        </is>
      </c>
      <c r="D15" s="2" t="inlineStr">
        <is>
          <t>Zostawić prace techniczne (szyfrowanie, klucze, pseudonimizacja, podpis, integralność). Usunąć dokumentację AI Act i politykę RODO z kosztów B+R (czynność przedwdrożeniowa).</t>
        </is>
      </c>
      <c r="E15" s="2" t="inlineStr">
        <is>
          <t>K3-38; 6.1 Maziarz</t>
        </is>
      </c>
      <c r="F15" s="14" t="inlineStr">
        <is>
          <t>WYSOKI</t>
        </is>
      </c>
      <c r="G15" s="2" t="inlineStr">
        <is>
          <t>TEKST GOTOWY (Sekcja_6.1 i 3.1.2), założenia D37: T23</t>
        </is>
      </c>
    </row>
    <row r="16">
      <c r="A16" s="2" t="inlineStr">
        <is>
          <t>N15</t>
        </is>
      </c>
      <c r="B16" s="2" t="inlineStr">
        <is>
          <t>3.1.2 Uzasadnienia kosztu: IT Specialist Z6 i Backend/Full-Stack Z6</t>
        </is>
      </c>
      <c r="C16" s="2" t="inlineStr">
        <is>
          <t>Trans.eu, TimoCom, e-CMR, „rozwój i utrzymanie” API, „w całości siłami własnymi Lidera”.</t>
        </is>
      </c>
      <c r="D16" s="2" t="inlineStr">
        <is>
          <t>Zastąpić zakresem z opisu Z6: pipeline, generator eFTI oraz dwukierunkowe API z TMS i prototypowe integracje z Trans.eu, TimoCom i e-CMR w środowisku testowym (IT); strumieniowy potok, kolejkowanie, wsparcie integracji testowych i test zgodności eFTI (Backend). Czynności integracyjne opisać jako techniczne i pomocnicze, w zakresie niezbędnym do testów i walidacji. Usunąć utrzymanie, wdrożenie produkcyjne i produkcyjny dashboard.</t>
        </is>
      </c>
      <c r="E16" s="2" t="inlineStr">
        <is>
          <t>K3-08, K3-38; D24</t>
        </is>
      </c>
      <c r="F16" s="14" t="inlineStr">
        <is>
          <t>WYSOKI</t>
        </is>
      </c>
      <c r="G16" s="2" t="inlineStr">
        <is>
          <t>TEKST GOTOWY (Sekcja_6.1 i 3.1.2), założenia D37: T23</t>
        </is>
      </c>
    </row>
    <row r="17">
      <c r="A17" s="2" t="inlineStr">
        <is>
          <t>N16</t>
        </is>
      </c>
      <c r="B17" s="2" t="inlineStr">
        <is>
          <t>3.1.2 Pozycje kosztowe Backend/Full-Stack: Z6 i Z9</t>
        </is>
      </c>
      <c r="C17" s="2" t="inlineStr">
        <is>
          <t>Jedna pozycja Z6 na 12 mc, 260 280 zł.</t>
        </is>
      </c>
      <c r="D17" s="2" t="inlineStr">
        <is>
          <t>Dwie pozycje: Z6 9 mc (195 210 zł) i Z9 3 mc (65 070 zł), suma bez zmian; opis Z9 w zakresie walidacji PoC i zgodności eFTI w terenie.</t>
        </is>
      </c>
      <c r="E17" s="2" t="inlineStr">
        <is>
          <t>K3-36, K3-37; D07</t>
        </is>
      </c>
      <c r="F17" s="14" t="inlineStr">
        <is>
          <t>WYSOKI</t>
        </is>
      </c>
      <c r="G17" s="2" t="inlineStr">
        <is>
          <t>TEKST GOTOWY (Sekcja_6.1 i 3.1.2), założenia D37: T23</t>
        </is>
      </c>
    </row>
    <row r="18">
      <c r="A18" s="2" t="inlineStr">
        <is>
          <t>N17</t>
        </is>
      </c>
      <c r="B18" s="2" t="inlineStr">
        <is>
          <t>3.1.2 IT Specialist Z9</t>
        </is>
      </c>
      <c r="C18" s="2" t="inlineStr">
        <is>
          <t>„hotfixy”, utrzymanie środowiska integracyjnego.</t>
        </is>
      </c>
      <c r="D18" s="2" t="inlineStr">
        <is>
          <t>Rejestracja i analiza danych KPI; poprawki tylko w oknie korekt w M30. Bez bieżącego utrzymania.</t>
        </is>
      </c>
      <c r="E18" s="2" t="inlineStr">
        <is>
          <t>K3-38; opis Z9</t>
        </is>
      </c>
      <c r="F18" s="2" t="inlineStr">
        <is>
          <t>ŚREDNI</t>
        </is>
      </c>
      <c r="G18" s="2" t="inlineStr">
        <is>
          <t>TEKST GOTOWY (Sekcja_6.1 i 3.1.2), założenia D37: T23</t>
        </is>
      </c>
    </row>
    <row r="19">
      <c r="A19" s="2" t="inlineStr">
        <is>
          <t>N18</t>
        </is>
      </c>
      <c r="B19" s="2" t="inlineStr">
        <is>
          <t>3.1.2 Sześć stanowisk Everest11 w Z6, Z7, Z9: metoda szacowania</t>
        </is>
      </c>
      <c r="C19" s="2" t="inlineStr">
        <is>
          <t>„12 mc fazy PR podzielone przez 3”.</t>
        </is>
      </c>
      <c r="D19" s="2" t="inlineStr">
        <is>
          <t>Rzeczywisty podział miesięcy lub godzin między zadania, przy zachowaniu sumy i etatu w każdym miesiącu (propozycja w bloku budżetowym).</t>
        </is>
      </c>
      <c r="E19" s="2" t="inlineStr">
        <is>
          <t>K3-36, K3-37; D29</t>
        </is>
      </c>
      <c r="F19" s="14" t="inlineStr">
        <is>
          <t>WYSOKI</t>
        </is>
      </c>
      <c r="G19" s="2" t="inlineStr">
        <is>
          <t>TEKST GOTOWY (Sekcja_6.1 i 3.1.2), założenia D37: T23</t>
        </is>
      </c>
    </row>
    <row r="20">
      <c r="A20" s="2" t="inlineStr">
        <is>
          <t>N19</t>
        </is>
      </c>
      <c r="B20" s="2" t="inlineStr">
        <is>
          <t>6.1 Jakub Kosterna (AI Lead): zakres obowiązków</t>
        </is>
      </c>
      <c r="C20" s="2" t="inlineStr">
        <is>
          <t>Przygotowanie dokumentacji technicznej do zgłoszenia patentowego.</t>
        </is>
      </c>
      <c r="D20" s="2" t="inlineStr">
        <is>
          <t>Usunąć lub opisać jako dostarczenie danych technicznych do rzecznika w Z11, poza kosztami Z9.</t>
        </is>
      </c>
      <c r="E20" s="2" t="inlineStr">
        <is>
          <t>K3-40, K3-66; D30</t>
        </is>
      </c>
      <c r="F20" s="2" t="inlineStr">
        <is>
          <t>ŚREDNI</t>
        </is>
      </c>
      <c r="G20" s="2" t="inlineStr">
        <is>
          <t>TEKST GOTOWY (Sekcja_6.1 i 3.1.2), założenia D37: T23</t>
        </is>
      </c>
    </row>
    <row r="21">
      <c r="A21" s="2" t="inlineStr">
        <is>
          <t>N20</t>
        </is>
      </c>
      <c r="B21" s="2" t="inlineStr">
        <is>
          <t>6.1 Michał Hajduk (specjalista TSL): zakres obowiązków</t>
        </is>
      </c>
      <c r="C21" s="2" t="inlineStr">
        <is>
          <t>Badanie akceptacji UX i ocena trafności alertów z perspektywy operacyjnej.</t>
        </is>
      </c>
      <c r="D21" s="2" t="inlineStr">
        <is>
          <t>Ground truth i scenariusze operacyjne; ocena trafności alertów skryptem, bez udziału pracownika odbiorcy wdrożenia; UX prowadzi AI Senior Engineer. Dodać deklarację poufności wobec podmiotów powiązanych (MJA Partners, Natanek Logistics).</t>
        </is>
      </c>
      <c r="E21" s="2" t="inlineStr">
        <is>
          <t>K3-11, K5-07; D05</t>
        </is>
      </c>
      <c r="F21" s="14" t="inlineStr">
        <is>
          <t>WYSOKI</t>
        </is>
      </c>
      <c r="G21" s="2" t="inlineStr">
        <is>
          <t>TEKST GOTOWY (Sekcja_6.1 i 3.1.2), założenia D37: T23</t>
        </is>
      </c>
    </row>
    <row r="22">
      <c r="A22" s="2" t="inlineStr">
        <is>
          <t>N21</t>
        </is>
      </c>
      <c r="B22" s="2" t="inlineStr">
        <is>
          <t>6.1 Personel planowany: Anotatorzy, Backend/Full-Stack</t>
        </is>
      </c>
      <c r="C22" s="2" t="inlineStr">
        <is>
          <t>Anotatorzy: M1-M18, „wymiar wg wolumenu”. Backend: Z2 (M13-M18) i Z6 (M19-M30), 18 mc.</t>
        </is>
      </c>
      <c r="D22" s="2" t="inlineStr">
        <is>
          <t>Anotatorzy: 3 osoby, 1,0 etatu, 10 mc [M9-M18]. Backend: Z2 6 mc, Z6 9 mc, Z9 3 mc, razem 18 mc.</t>
        </is>
      </c>
      <c r="E22" s="2" t="inlineStr">
        <is>
          <t>K5-03, K5-10, K5-11; D07</t>
        </is>
      </c>
      <c r="F22" s="14" t="inlineStr">
        <is>
          <t>WYSOKI</t>
        </is>
      </c>
      <c r="G22" s="2" t="inlineStr">
        <is>
          <t>TEKST GOTOWY (Sekcja_6.1 i 3.1.2), założenia D37: T23</t>
        </is>
      </c>
    </row>
    <row r="23">
      <c r="A23" s="2" t="inlineStr">
        <is>
          <t>N22</t>
        </is>
      </c>
      <c r="B23" s="2" t="inlineStr">
        <is>
          <t>6.1 Sposób zarządzania projektem (ścieżka decyzyjna)</t>
        </is>
      </c>
      <c r="C23" s="2" t="inlineStr">
        <is>
          <t>Brak opisu nadzoru nad zadaniami PRz i organu oceniającego kamienie milowe.</t>
        </is>
      </c>
      <c r="D23" s="2" t="inlineStr">
        <is>
          <t>Dopisać Radę Konsorcjum z § 9 umowy konsorcjum (po jednym przedstawicielu każdego członka, przewodniczy kierownik zarządzający (we wniosku wyłącznie ta nazwa), posiedzenia co najmniej raz na 6 miesięcy, protokoły, ocena merytoryczna i formalna realizacji zadań na wniosek kierownika zarządzającego, rekomendacje zmian w harmonogramie; organ doradczy, nie decyzyjny), osobę weryfikującą i odbierającą każdy KM oraz niezależne przeliczenie metryk przez AI Lead Everest11.</t>
        </is>
      </c>
      <c r="E23" s="2" t="inlineStr">
        <is>
          <t>K5-05, K5-09; D27, D28</t>
        </is>
      </c>
      <c r="F23" s="14" t="inlineStr">
        <is>
          <t>WYSOKI</t>
        </is>
      </c>
      <c r="G23" s="2" t="inlineStr">
        <is>
          <t>TEKST GOTOWY (Sekcja_6.1 i 3.1.2), założenia D37: T23</t>
        </is>
      </c>
    </row>
    <row r="24">
      <c r="A24" s="2" t="inlineStr">
        <is>
          <t>N23</t>
        </is>
      </c>
      <c r="B24" s="2" t="inlineStr">
        <is>
          <t>6.2 Zasoby techniczne Everest11 (przeznaczenie)</t>
        </is>
      </c>
      <c r="C24" s="2" t="inlineStr">
        <is>
          <t>„koordynacja prac konsorcjum, zarządzanie projektem, integracja systemowa (API TMS, eFTI, e-CMR)”, „walidacja KPI w ruchu komercyjnym”.</t>
        </is>
      </c>
      <c r="D24" s="2" t="inlineStr">
        <is>
          <t>Opisać zasoby (stanowiska, serwery, repozytoria) bez funkcji koordynacyjnych w pracach B+R. „W ruchu komercyjnym” zamienić na „w eksploatacji na flocie testowej”. Dopisać parametry komputerów, serwerów i chmury (uwaga 14).</t>
        </is>
      </c>
      <c r="E24" s="2" t="inlineStr">
        <is>
          <t>K3-38, K5-14</t>
        </is>
      </c>
      <c r="F24" s="2" t="inlineStr">
        <is>
          <t>ŚREDNI</t>
        </is>
      </c>
      <c r="G24" s="2" t="inlineStr">
        <is>
          <t>TEKST GOTOWY (Sekcja_6.2-6.4), żółte pola: T25, T26</t>
        </is>
      </c>
    </row>
    <row r="25">
      <c r="A25" s="2" t="inlineStr">
        <is>
          <t>N24</t>
        </is>
      </c>
      <c r="B25" s="2" t="inlineStr">
        <is>
          <t>5. Analiza ryzyka R3 (opis zapobiegania) i R8 (podwykonawstwo)</t>
        </is>
      </c>
      <c r="C25" s="2" t="inlineStr">
        <is>
          <t>R3: „z udziałem podwykonawcy anotacji”. R8: podwykonawstwo obejmuje anotację datasetu.</t>
        </is>
      </c>
      <c r="D25" s="2" t="inlineStr">
        <is>
          <t>Usunąć anotację z listy podwykonawstwa. R8: montaż (Z2, Z9) i rzecznik patentowy (Z11). Zastąpić R1-R5, R9 i dodać R10-R12 tekstami z części drugiej.</t>
        </is>
      </c>
      <c r="E25" s="2" t="inlineStr">
        <is>
          <t>K3-10, K3-46, K3-25 do K3-32</t>
        </is>
      </c>
      <c r="F25" s="14" t="inlineStr">
        <is>
          <t>WYSOKI</t>
        </is>
      </c>
      <c r="G25" s="2" t="inlineStr">
        <is>
          <t>TEKST GOTOWY, do wklejenia w LSI (T09)</t>
        </is>
      </c>
    </row>
    <row r="26">
      <c r="A26" s="2" t="inlineStr">
        <is>
          <t>N25</t>
        </is>
      </c>
      <c r="B26" s="2" t="inlineStr">
        <is>
          <t>3.1.1 Z9 (stary tekst): odbiór i niezależna walidacja</t>
        </is>
      </c>
      <c r="C26" s="2" t="inlineStr">
        <is>
          <t>Protokół podpisuje kierownik B+R i kluczowy personel PRz; „niezależna walidacja PRz na ≥180 kursach”.</t>
        </is>
      </c>
      <c r="D26" s="2" t="inlineStr">
        <is>
          <t>Zastąpione ścieżką audytu z nowego tekstu (PRz tylko odbiór metodyczny w Z8). Sprawdzić, czy zdanie nie zostało także w sekcjach 1.2 i 2.x.</t>
        </is>
      </c>
      <c r="E26" s="2" t="inlineStr">
        <is>
          <t>K3-11, K3-12; D25</t>
        </is>
      </c>
      <c r="F26" s="14" t="inlineStr">
        <is>
          <t>WYSOKI</t>
        </is>
      </c>
      <c r="G26" s="2" t="inlineStr">
        <is>
          <t>TEKST GOTOWY, do wklejenia w LSI (T09)</t>
        </is>
      </c>
    </row>
    <row r="27">
      <c r="A27" s="2" t="inlineStr">
        <is>
          <t>N26</t>
        </is>
      </c>
      <c r="B27" s="2" t="inlineStr">
        <is>
          <t>6.4 Podwykonawcy oraz pozycje podwykonawstwa Z2 (150 000 zł) i Z9 (70 000 zł)</t>
        </is>
      </c>
      <c r="C27" s="2" t="inlineStr">
        <is>
          <t>Brak kalkulacji i liczby ofert; wymagania dla niewybranego podwykonawcy.</t>
        </is>
      </c>
      <c r="D27" s="2" t="inlineStr">
        <is>
          <t>Uzupełnić: zakres (tylko montaż, instalacja, demontaż), liczba pojazdów, pracochłonność lub ryczałt, oferty, wybór kwoty; rozdzielenie Z2 i Z9. Wymagania minimalne wykonawcy.</t>
        </is>
      </c>
      <c r="E27" s="2" t="inlineStr">
        <is>
          <t>K3-43 do K3-46; D08</t>
        </is>
      </c>
      <c r="F27" s="14" t="inlineStr">
        <is>
          <t>WYSOKI</t>
        </is>
      </c>
      <c r="G27" s="2" t="inlineStr">
        <is>
          <t>TEKST GOTOWY, do wklejenia w LSI (T09)</t>
        </is>
      </c>
    </row>
    <row r="28">
      <c r="A28" s="2" t="inlineStr">
        <is>
          <t>N28</t>
        </is>
      </c>
      <c r="B28" s="2" t="inlineStr">
        <is>
          <t>3.1.2 AI Lead Z7, IoT Specialist Z9 oraz uzasadnienie kosztu edge AI w Z2 (wiersze „300 ms”)</t>
        </is>
      </c>
      <c r="C28" s="2" t="inlineStr">
        <is>
          <t>Opóźnienie alertu „≤300 ms” (AI Lead Z7: pogodzenie 300 ms z degradacją 3 pp; IoT Z9: percentyl 95 do 300 ms; edge AI Z2: alerty do 300 ms).</t>
        </is>
      </c>
      <c r="D28" s="2" t="inlineStr">
        <is>
          <t>Ujednolicić do 1 s (percentyl 95), zgodnie ze wskaźnikiem, KM-Z7 i KM-Z9. Nowe teksty uzasadnień są w części trzeciej.</t>
        </is>
      </c>
      <c r="E28" s="2" t="inlineStr">
        <is>
          <t>K3-13, K3-15; KM-Z7</t>
        </is>
      </c>
      <c r="F28" s="14" t="inlineStr">
        <is>
          <t>WYSOKI</t>
        </is>
      </c>
      <c r="G28" s="2" t="inlineStr">
        <is>
          <t>TEKST GOTOWY (Sekcja_6.1 i 3.1.2), założenia D37: T23</t>
        </is>
      </c>
    </row>
    <row r="29">
      <c r="A29" s="2" t="inlineStr">
        <is>
          <t>N27</t>
        </is>
      </c>
      <c r="B29" s="2" t="inlineStr">
        <is>
          <t>Model finansowy (Założenia, Rozliczenie dotacji)</t>
        </is>
      </c>
      <c r="C29" s="2" t="inlineStr">
        <is>
          <t>Komentarz „18 miesięcy” w Założeniach; liczby godzin i etatów jak w starej wersji budżetu.</t>
        </is>
      </c>
      <c r="D29" s="2" t="inlineStr">
        <is>
          <t>Poprawić na 30 miesięcy oraz uspójnić z nowym podziałem Backend Z6/Z9 (N16) i z podziałem N18.</t>
        </is>
      </c>
      <c r="E29" s="2" t="inlineStr">
        <is>
          <t>K3-36; uwaga ogólna o spójności</t>
        </is>
      </c>
      <c r="F29" s="2" t="inlineStr">
        <is>
          <t>ŚREDNI</t>
        </is>
      </c>
      <c r="G29" s="2" t="inlineStr">
        <is>
          <t>TEKST GOTOWY, do wklejenia w LSI (T09)</t>
        </is>
      </c>
    </row>
    <row r="30">
      <c r="A30" s="2" t="inlineStr">
        <is>
          <t>N29</t>
        </is>
      </c>
      <c r="B30" s="2" t="inlineStr">
        <is>
          <t>6.4 Podwykonawcy i pozycja podwykonawstwa Z9 (nazwa i opis)</t>
        </is>
      </c>
      <c r="C30" s="2" t="inlineStr">
        <is>
          <t>„instalacja finalnych, zwalidowanych zestawów prototypowych oraz demontaż”.</t>
        </is>
      </c>
      <c r="D30" s="2" t="inlineStr">
        <is>
          <t>Po zmianie harmonogramu Z7 i Z9 pierwsze zestawy są instalowane w Fazie A (M22). Zmienić nazwę pozycji na „montaż zestawów prototypowych i demontaż po walidacji”, bez słów „finalnych, zwalidowanych”. Zakres: wyłącznie montaż i demontaż.</t>
        </is>
      </c>
      <c r="E30" s="2" t="inlineStr">
        <is>
          <t>K3-44; opis Z9, opis Z7</t>
        </is>
      </c>
      <c r="F30" s="2" t="inlineStr">
        <is>
          <t>WYSOKI</t>
        </is>
      </c>
      <c r="G30" s="2" t="inlineStr">
        <is>
          <t>TEKST GOTOWY, do wklejenia w LSI (T09)</t>
        </is>
      </c>
    </row>
    <row r="31">
      <c r="A31" s="2" t="inlineStr">
        <is>
          <t>N30</t>
        </is>
      </c>
      <c r="B31" s="2" t="inlineStr">
        <is>
          <t>3.1.2 Metoda szacowania personelu Everest11: stawki referencyjne z raportów płacowych (uwagi 34 i 35)</t>
        </is>
      </c>
      <c r="C31" s="2" t="inlineStr">
        <is>
          <t>Odniesienia do raportów No Fluff Jobs i Hays: liczby i strony zgadzają się z raportami (sprawdzone na s. 27, 30, 31, 32, 33, 35 NFJ i s. 38, 40 Hays). Niejednoznaczności opisowe: stanowiska bez wprost odpowiadającej kategorii (Backend/Full-Stack, IT Specialist, AI Lead, Anotatorzy), AI Senior Engineer ma stawkę z pasma Mid, IoT łączył dwa zakresy i Hays R&amp;D Engineer (inżynier produkcji), Hays „Opt” opisane jako „wartość optymalna”, opis „na granicy Mid/Senior” i „w środku pasma”.</t>
        </is>
      </c>
      <c r="D31" s="2" t="inlineStr">
        <is>
          <t>Przepisana metoda szacowania wszystkich 28 pozycji Everest11 (Z2, Z6, Z7, Z9) w formacie z uwagi 35: umowa o pracę, źródło i strona, kategoria i poziom jak w raporcie, widełki (mediany dolnych i górnych widełek z ogłoszeń), położenie stawki, przeliczenie na koszt pracodawcy; dla Anotatorów stawka godzinowa brutto-brutto (około 43 zł/h). Do decyzji właściciela: tytuł „AI Senior Engineer” przy poziomie Mid (D32). Dla osób obecnie zatrudnionych (uwaga 34) dopisać relację do obecnego wynagrodzenia.</t>
        </is>
      </c>
      <c r="E31" s="2" t="inlineStr">
        <is>
          <t>K3-34, K3-35</t>
        </is>
      </c>
      <c r="F31" s="14" t="inlineStr">
        <is>
          <t>WYSOKI</t>
        </is>
      </c>
      <c r="G31" s="2" t="inlineStr">
        <is>
          <t>ZROBIONE (metoda przepisana), D32 do decyzji</t>
        </is>
      </c>
    </row>
    <row r="32">
      <c r="A32" s="2" t="inlineStr">
        <is>
          <t>N31</t>
        </is>
      </c>
      <c r="B32" s="2" t="inlineStr">
        <is>
          <t>6.1 Zespół projektowy: status zatrudnienia osób Everest11 i PRz (uwagi 34, K5-1)</t>
        </is>
      </c>
      <c r="C32" s="2" t="inlineStr">
        <is>
          <t>Brak jednoznacznego statusu; pole „Status współpracy” i opis działu B+R sugerują, że część osób już pracuje u Lidera.</t>
        </is>
      </c>
      <c r="D32" s="2" t="inlineStr">
        <is>
          <t>Wpisać: żadna z osób Everest11 nie jest pracownikiem Everest11; wszystkie podpisały 08.06.2026 umowy warunkowe dotyczące zatrudnienia (warunek: otrzymanie dofinansowania); stawki wynegocjowano przy podpisaniu. Osoby PRz wykazane z imienia i nazwiska są pracownikami PRz. Dla każdej osoby termin rozpoczęcia, wymiar i sposób monitorowania limitu 276 godzin miesięcznie (K5-1).</t>
        </is>
      </c>
      <c r="E32" s="2" t="inlineStr">
        <is>
          <t>K3-34, K5-1</t>
        </is>
      </c>
      <c r="F32" s="2" t="inlineStr">
        <is>
          <t>WYSOKI</t>
        </is>
      </c>
      <c r="G32" s="2" t="inlineStr">
        <is>
          <t>TEKST GOTOWY (Sekcja_6.1 i 3.1.2), założenia D37: T23</t>
        </is>
      </c>
    </row>
    <row r="33">
      <c r="A33" s="2" t="inlineStr">
        <is>
          <t>N32</t>
        </is>
      </c>
      <c r="B33" s="2" t="inlineStr">
        <is>
          <t>1.2 Wskaźniki innowacyjności (5 tabel)</t>
        </is>
      </c>
      <c r="C33" s="2" t="inlineStr">
        <is>
          <t>Jednostki [cm], [ms]; baza AUC 0,50; baza latencji = interwał GSM; PoC z pokryciem eFTI w jednym polu; baza 0,30 m bez uzasadnienia względem 0,10 m.</t>
        </is>
      </c>
      <c r="D33" s="2" t="inlineStr">
        <is>
          <t>Wpisać teksty W1-W5 z pliku Wskazniki_innowacyjnosci_1.2_i_1.4.docx (jednostki SI, bazy jak w D16, rozdzielenie PoC i eFTI, błąd względny 0,03/0,05 m).</t>
        </is>
      </c>
      <c r="E33" s="2" t="inlineStr">
        <is>
          <t>K1-02, K1-03, K1-04; D33</t>
        </is>
      </c>
      <c r="F33" s="2" t="inlineStr">
        <is>
          <t>WYSOKI</t>
        </is>
      </c>
      <c r="G33" s="2" t="inlineStr">
        <is>
          <t>TEKST GOTOWY (Wskazniki_innowacyjnosci_1.2_i_1.4.docx), 6 żółtych parametrów: T11</t>
        </is>
      </c>
    </row>
    <row r="34">
      <c r="A34" s="2" t="inlineStr">
        <is>
          <t>N33</t>
        </is>
      </c>
      <c r="B34" s="2" t="inlineStr">
        <is>
          <t>1.2 Opis innowacji produktowej</t>
        </is>
      </c>
      <c r="C34" s="2" t="inlineStr">
        <is>
          <t>Teza „nie istnieje żaden produkt”; „Nexxiot Globe+”; „QbScan”; parametry w cm i ms; „floty Natanek Logistics”; ROI dodatni od 1. roku; kurs CMR 5 500-23 000 PLN.</t>
        </is>
      </c>
      <c r="D34" s="2" t="inlineStr">
        <is>
          <t>Wprowadzić 8 zmian z części 4 pliku Wskazniki_innowacyjnosci_1.2_i_1.4.docx.</t>
        </is>
      </c>
      <c r="E34" s="2" t="inlineStr">
        <is>
          <t>K1-01, K1-06; D33</t>
        </is>
      </c>
      <c r="F34" s="2" t="inlineStr">
        <is>
          <t>WYSOKI</t>
        </is>
      </c>
      <c r="G34" s="2" t="inlineStr">
        <is>
          <t>TEKST GOTOWY (Wskazniki_innowacyjnosci_1.2_i_1.4.docx), 6 żółtych parametrów: T11</t>
        </is>
      </c>
    </row>
    <row r="35">
      <c r="A35" s="2" t="inlineStr">
        <is>
          <t>N34</t>
        </is>
      </c>
      <c r="B35" s="2" t="inlineStr">
        <is>
          <t>1.4 Tekst i wskaźniki dodatkowe</t>
        </is>
      </c>
      <c r="C35" s="2" t="inlineStr">
        <is>
          <t>Wskaźnik ceny z bazą = koszt naczepy; „liczba warstw ICT”; fill rate 65%→80%; pokrycie eFTI z audytem prawnym podwykonawcy; tekst bez odniesienia do bezpośredniej konkurencji.</t>
        </is>
      </c>
      <c r="D35" s="2" t="inlineStr">
        <is>
          <t>Wpisać nowy tekst (3 029 znaków) i wskaźniki I1-I3; usunąć fill rate i warstwy ICT.</t>
        </is>
      </c>
      <c r="E35" s="2" t="inlineStr">
        <is>
          <t>K1-05, K1-06, K13-03; D33</t>
        </is>
      </c>
      <c r="F35" s="2" t="inlineStr">
        <is>
          <t>WYSOKI</t>
        </is>
      </c>
      <c r="G35" s="2" t="inlineStr">
        <is>
          <t>TEKST GOTOWY (Wskazniki_innowacyjnosci_1.2_i_1.4.docx), 6 żółtych parametrów: T11</t>
        </is>
      </c>
    </row>
    <row r="36">
      <c r="A36" s="2" t="inlineStr">
        <is>
          <t>N35</t>
        </is>
      </c>
      <c r="B36" s="2" t="inlineStr">
        <is>
          <t>Z8: opis i KM-Z8</t>
        </is>
      </c>
      <c r="C36" s="2" t="inlineStr">
        <is>
          <t>Brak pomiaru wartości bazowej mAP (ogólny detektor bez adaptacji domenowej) na tym samym zbiorze testowym.</t>
        </is>
      </c>
      <c r="D36" s="2" t="inlineStr">
        <is>
          <t>Dopisać pomiar bazy mAP do opisu Z8 i KM-Z8 (parametr 4), z zachowaniem limitu 1300 znaków pola parametrów.</t>
        </is>
      </c>
      <c r="E36" s="2" t="inlineStr">
        <is>
          <t>W3 (K1-02); D33</t>
        </is>
      </c>
      <c r="F36" s="2" t="inlineStr">
        <is>
          <t>ŚREDNI</t>
        </is>
      </c>
      <c r="G36" s="2" t="inlineStr">
        <is>
          <t>TEKST GOTOWY w Opisach zadań (zamknięte), 62 żółte wartości: T11, T35</t>
        </is>
      </c>
    </row>
    <row r="37">
      <c r="A37" s="2" t="inlineStr">
        <is>
          <t>N36</t>
        </is>
      </c>
      <c r="B37" s="2" t="inlineStr">
        <is>
          <t>7.4 REDUCE i model finansowy</t>
        </is>
      </c>
      <c r="C37" s="2" t="inlineStr">
        <is>
          <t>Wskaźnik „średni poziom wykorzystania przestrzeni ładunkowej” (fill rate) nadal występuje.</t>
        </is>
      </c>
      <c r="D37" s="2" t="inlineStr">
        <is>
          <t>Usunąć wskaźnik fill rate z 7.4 (REDUCE oparte o dokumenty papierowe, D17), a w modelu finansowym sprawdzić odwołania.</t>
        </is>
      </c>
      <c r="E37" s="2" t="inlineStr">
        <is>
          <t>K13-03, D17</t>
        </is>
      </c>
      <c r="F37" s="2" t="inlineStr">
        <is>
          <t>ŚREDNI</t>
        </is>
      </c>
      <c r="G37" s="2" t="inlineStr">
        <is>
          <t>TEKST GOTOWY (Sekcja_7_zasady_horyzontalne_6R.docx), zobowiązania: T27-T29</t>
        </is>
      </c>
    </row>
    <row r="38">
      <c r="A38" s="2" t="inlineStr">
        <is>
          <t>N37</t>
        </is>
      </c>
      <c r="B38" s="2" t="inlineStr">
        <is>
          <t>Pozostałe wystąpienia nazw produktów</t>
        </is>
      </c>
      <c r="C38" s="2" t="inlineStr">
        <is>
          <t>„Nexxiot Globe+”, „Blickfeld QbScan”, „Nexxiot Glob+” w 1.2, 1.4 i innych sekcjach.</t>
        </is>
      </c>
      <c r="D38" s="2" t="inlineStr">
        <is>
          <t>Ujednolicić: Nexxiot Globehopper (do potwierdzenia nazwy), Blickfeld Qb2 z QbVolume.</t>
        </is>
      </c>
      <c r="E38" s="2" t="inlineStr">
        <is>
          <t>K1-01</t>
        </is>
      </c>
      <c r="F38" s="2" t="inlineStr">
        <is>
          <t>NISKI</t>
        </is>
      </c>
      <c r="G38" s="2" t="inlineStr">
        <is>
          <t>TEKST GOTOWY (Sekcja_1.3_i_ceny.docx, zamknięty); dalsze zmiany wg Zmiany_do_wprowadzenia (D47, D48)</t>
        </is>
      </c>
    </row>
    <row r="39">
      <c r="A39" s="2" t="inlineStr">
        <is>
          <t>N38</t>
        </is>
      </c>
      <c r="B39" s="2" t="inlineStr">
        <is>
          <t>Analiza FTO / K2-03</t>
        </is>
      </c>
      <c r="C39" s="2" t="inlineStr">
        <is>
          <t>Patenty na pomiar wypełnienia naczepy kamerą 3D (UPS i in.) wskazane przez wyszukiwarkę; niezweryfikowane.</t>
        </is>
      </c>
      <c r="D39" s="2" t="inlineStr">
        <is>
          <t>Sprawdzić w Espacenet (EP 3103072 i rodzina) i rozważyć dopisanie do analizy FTO dopiero po potwierdzeniu.</t>
        </is>
      </c>
      <c r="E39" s="2" t="inlineStr">
        <is>
          <t>K2-03</t>
        </is>
      </c>
      <c r="F39" s="2" t="inlineStr">
        <is>
          <t>WYSOKI</t>
        </is>
      </c>
      <c r="G39" s="2" t="inlineStr">
        <is>
          <t>DO SPRAWDZENIA (T13)</t>
        </is>
      </c>
    </row>
    <row r="40">
      <c r="A40" s="2" t="inlineStr">
        <is>
          <t>N39</t>
        </is>
      </c>
      <c r="B40" s="2" t="inlineStr">
        <is>
          <t>I1 wartość bazowa kosztu</t>
        </is>
      </c>
      <c r="C40" s="2" t="inlineStr">
        <is>
          <t>Brak źródła ceny rozwiązań o podobnej funkcji.</t>
        </is>
      </c>
      <c r="D40" s="2" t="inlineStr">
        <is>
          <t>Zebrać oferty od co najmniej 3 dostawców (data zapytania) albo zastąpić wskaźnik I1.</t>
        </is>
      </c>
      <c r="E40" s="2" t="inlineStr">
        <is>
          <t>K1-05</t>
        </is>
      </c>
      <c r="F40" s="2" t="inlineStr">
        <is>
          <t>WYSOKI</t>
        </is>
      </c>
      <c r="G40" s="2" t="inlineStr">
        <is>
          <t>OTWARTE: oferty cenowe dla I1 (T10)</t>
        </is>
      </c>
    </row>
    <row r="41">
      <c r="A41" s="2" t="inlineStr">
        <is>
          <t>N40</t>
        </is>
      </c>
      <c r="B41" s="2" t="inlineStr">
        <is>
          <t>1.3 TAM/SAM/SOM</t>
        </is>
      </c>
      <c r="C41" s="2" t="inlineStr">
        <is>
          <t>TAM 600 000 (prezentacja), 567 800 ciągników, SAM 200 000 bez metody, CEE 400-600 tys.</t>
        </is>
      </c>
      <c r="D41" s="2" t="inlineStr">
        <is>
          <t>Wpisać tekst z pliku Sekcja_1.3_i_ceny.docx (TAM 544,97 tys.), uzupełnić metodę SAM, usunąć CEE z prognozy.</t>
        </is>
      </c>
      <c r="E41" s="2" t="inlineStr">
        <is>
          <t>K2-05; D34</t>
        </is>
      </c>
      <c r="F41" s="2" t="inlineStr">
        <is>
          <t>WYSOKI</t>
        </is>
      </c>
      <c r="G41" s="2" t="inlineStr">
        <is>
          <t>TEKST GOTOWY (Sekcja_1.3_i_ceny.docx, zamknięty); dalsze zmiany wg Zmiany_do_wprowadzenia (D47, D48)</t>
        </is>
      </c>
    </row>
    <row r="42">
      <c r="A42" s="2" t="inlineStr">
        <is>
          <t>N41</t>
        </is>
      </c>
      <c r="B42" s="2" t="inlineStr">
        <is>
          <t>eFTI jako obowiązek (1.3, 1.4, 7.4, model)</t>
        </is>
      </c>
      <c r="C42" s="2" t="inlineStr">
        <is>
          <t>„Obowiązuje od 21.08.2024, dotyczy każdego operatora”.</t>
        </is>
      </c>
      <c r="D42" s="2" t="inlineStr">
        <is>
          <t>Obowiązek dotyczy organów od 21.08.2025; dla przewoźników dobrowolne. Zmienić wszędzie.</t>
        </is>
      </c>
      <c r="E42" s="2" t="inlineStr">
        <is>
          <t>K2-11, K13; D34</t>
        </is>
      </c>
      <c r="F42" s="2" t="inlineStr">
        <is>
          <t>WYSOKI</t>
        </is>
      </c>
      <c r="G42" s="2" t="inlineStr">
        <is>
          <t>TEKST GOTOWY (Sekcja_1.3_i_ceny.docx, zamknięty); dalsze zmiany wg Zmiany_do_wprowadzenia (D47, D48)</t>
        </is>
      </c>
    </row>
    <row r="43">
      <c r="A43" s="2" t="inlineStr">
        <is>
          <t>N42</t>
        </is>
      </c>
      <c r="B43" s="2" t="inlineStr">
        <is>
          <t>1.3 i model: wartość roszczenia i ROI</t>
        </is>
      </c>
      <c r="C43" s="2" t="inlineStr">
        <is>
          <t>5 500 PLN, 3 000-15 000 PLN, 5 500-23 000 PLN, „ROI dodatni od 1. roku”.</t>
        </is>
      </c>
      <c r="D43" s="2" t="inlineStr">
        <is>
          <t>Zastąpić obliczeniem CMR z kursem SDR (8 489-21 222 PLN); usunąć ROI.</t>
        </is>
      </c>
      <c r="E43" s="2" t="inlineStr">
        <is>
          <t>K2-06, K2-14; D34</t>
        </is>
      </c>
      <c r="F43" s="2" t="inlineStr">
        <is>
          <t>WYSOKI</t>
        </is>
      </c>
      <c r="G43" s="2" t="inlineStr">
        <is>
          <t>TEKST GOTOWY (Sekcja_1.3_i_ceny.docx, zamknięty); dalsze zmiany wg Zmiany_do_wprowadzenia (D47, D48)</t>
        </is>
      </c>
    </row>
    <row r="44">
      <c r="A44" s="2" t="inlineStr">
        <is>
          <t>N43</t>
        </is>
      </c>
      <c r="B44" s="2" t="inlineStr">
        <is>
          <t>1.3 ceny konkurencji</t>
        </is>
      </c>
      <c r="C44" s="2" t="inlineStr">
        <is>
          <t>Brak cen konkurencji.</t>
        </is>
      </c>
      <c r="D44" s="2" t="inlineStr">
        <is>
          <t>Wpisać zakres z ofert (T10) albo orientacyjny SkyBitz z Capterra.</t>
        </is>
      </c>
      <c r="E44" s="2" t="inlineStr">
        <is>
          <t>K2-14, K2-15</t>
        </is>
      </c>
      <c r="F44" s="2" t="inlineStr">
        <is>
          <t>WYSOKI</t>
        </is>
      </c>
      <c r="G44" s="2" t="inlineStr">
        <is>
          <t>TEKST GOTOWY (Sekcja_1.3_i_ceny.docx, zamknięty); dalsze zmiany wg Zmiany_do_wprowadzenia (D47, D48)</t>
        </is>
      </c>
    </row>
    <row r="45">
      <c r="A45" s="2" t="inlineStr">
        <is>
          <t>N44</t>
        </is>
      </c>
      <c r="B45" s="2" t="inlineStr">
        <is>
          <t>Model finansowy: komentarz w Przychodach</t>
        </is>
      </c>
      <c r="C45" s="2" t="inlineStr">
        <is>
          <t>„Ekspansja CEE od 2033”, „ROI od pierwszego roku”, 5 500 PLN, spadek naczep 31,4% (z liczb 31,8%).</t>
        </is>
      </c>
      <c r="D45" s="2" t="inlineStr">
        <is>
          <t>ZROBIONE w modelu (Model_finansowy_CargoDT_Everest_II_kwartal_2026.xlsm, Przychody B255): trzej operatorzy z LOI na 50 naczep, 31,8%, eFTI od 21.08.2025 dobrowolne dla przewoźników, limit CMR 8 489-21 222 zł zamiast 5 500 zł i ROI, bez ekspansji CEE.</t>
        </is>
      </c>
      <c r="E45" s="2" t="inlineStr">
        <is>
          <t>K2-12, K2-16</t>
        </is>
      </c>
      <c r="F45" s="2" t="inlineStr">
        <is>
          <t>ŚREDNI</t>
        </is>
      </c>
      <c r="G45" s="2" t="inlineStr">
        <is>
          <t>OTWARTE</t>
        </is>
      </c>
    </row>
    <row r="46">
      <c r="A46" s="2" t="inlineStr">
        <is>
          <t>N45</t>
        </is>
      </c>
      <c r="B46" s="2" t="inlineStr">
        <is>
          <t>2.1 data wdrożenia i flota własna</t>
        </is>
      </c>
      <c r="C46" s="2" t="inlineStr">
        <is>
          <t>11.2029 vs start sprzedaży 01.2030 (D09); „20 naczep” bez floty.</t>
        </is>
      </c>
      <c r="D46" s="2" t="inlineStr">
        <is>
          <t>Ujednolicić: 01.2030; flota własna 5 zestawów w najmie, aneks do 20 (D10).</t>
        </is>
      </c>
      <c r="E46" s="2" t="inlineStr">
        <is>
          <t>K2-01, K2-06; D09, D10</t>
        </is>
      </c>
      <c r="F46" s="2" t="inlineStr">
        <is>
          <t>WYSOKI</t>
        </is>
      </c>
      <c r="G46" s="2" t="inlineStr">
        <is>
          <t>TEKST GOTOWY (Sekcja_1.3_i_ceny.docx, zamknięty); dalsze zmiany wg Zmiany_do_wprowadzenia (D47, D48)</t>
        </is>
      </c>
    </row>
    <row r="47">
      <c r="A47" s="2" t="inlineStr">
        <is>
          <t>N46</t>
        </is>
      </c>
      <c r="B47" s="2" t="inlineStr">
        <is>
          <t>Prezentacja z panelu</t>
        </is>
      </c>
      <c r="C47" s="2" t="inlineStr">
        <is>
          <t>600 000 naczep w Polsce i CEE.</t>
        </is>
      </c>
      <c r="D47" s="2" t="inlineStr">
        <is>
          <t>Używać jednej podstawy (TAM 544,97 tys. dla Polski).</t>
        </is>
      </c>
      <c r="E47" s="2" t="inlineStr">
        <is>
          <t>K2-05</t>
        </is>
      </c>
      <c r="F47" s="2" t="inlineStr">
        <is>
          <t>NISKI</t>
        </is>
      </c>
      <c r="G47" s="2" t="inlineStr">
        <is>
          <t>NIE DOTYCZY (prezentacja z panelu, bez zmian we wniosku)</t>
        </is>
      </c>
    </row>
    <row r="48">
      <c r="A48" s="2" t="inlineStr">
        <is>
          <t>N47</t>
        </is>
      </c>
      <c r="B48" s="2" t="inlineStr">
        <is>
          <t>2.1 Segment 3, Z10 pkt 3.2.2, 1.3</t>
        </is>
      </c>
      <c r="C48" s="2" t="inlineStr">
        <is>
          <t>„400 000-600 000 naczep” w CEE bez źródła; „0% substytutów”; „eFTI obejmuje wszystkich operatorów”.</t>
        </is>
      </c>
      <c r="D48" s="2" t="inlineStr">
        <is>
          <t>Usunąć lub oprzeć na Eurostacie; zamienić tezę o eFTI zgodnie z N41; złagodzić „0% substytutów”.</t>
        </is>
      </c>
      <c r="E48" s="2" t="inlineStr">
        <is>
          <t>K2-05; N41, T19</t>
        </is>
      </c>
      <c r="F48" s="2" t="inlineStr">
        <is>
          <t>WYSOKI</t>
        </is>
      </c>
      <c r="G48" s="2" t="inlineStr">
        <is>
          <t>TEKST GOTOWY (Sekcja_1.3_i_ceny.docx, zamknięty); dalsze zmiany wg Zmiany_do_wprowadzenia (D47, D48)</t>
        </is>
      </c>
    </row>
    <row r="49">
      <c r="A49" s="2" t="inlineStr">
        <is>
          <t>N48</t>
        </is>
      </c>
      <c r="B49" s="2" t="inlineStr">
        <is>
          <t>2.1 Etap 1 i model finansowy (komentarz Przychody)</t>
        </is>
      </c>
      <c r="C49" s="2" t="inlineStr">
        <is>
          <t>„Wdrożenie we własnej działalności”, 20 naczep wdrożenia własnego, „4 klientów” w progu 50 pojazdów.</t>
        </is>
      </c>
      <c r="D49" s="2" t="inlineStr">
        <is>
          <t>Cel 50 pojazdów u trzech operatorów (LOI na łącznie 50 naczep); wdrożenie własne opisać jako wprowadzenie usługi i integrację z TMS.</t>
        </is>
      </c>
      <c r="E49" s="2" t="inlineStr">
        <is>
          <t>K2-01; D35</t>
        </is>
      </c>
      <c r="F49" s="2" t="inlineStr">
        <is>
          <t>WYSOKI</t>
        </is>
      </c>
      <c r="G49" s="2" t="inlineStr">
        <is>
          <t>TEKST GOTOWY (Sekcja_1.3_i_ceny.docx, zamknięty); dalsze zmiany wg Zmiany_do_wprowadzenia (D47, D48)</t>
        </is>
      </c>
    </row>
    <row r="50">
      <c r="A50" s="2" t="inlineStr">
        <is>
          <t>N49</t>
        </is>
      </c>
      <c r="B50" s="2" t="inlineStr">
        <is>
          <t>2.1 pkt cena i opłacalność</t>
        </is>
      </c>
      <c r="C50" s="2" t="inlineStr">
        <is>
          <t>„Reklamacja śr. 3 000-15 000 PLN”, „system zwraca się przy uniknięciu jednej reklamacji rocznie”.</t>
        </is>
      </c>
      <c r="D50" s="2" t="inlineStr">
        <is>
          <t>Zastąpić obliczeniem CMR 8 489-21 222 PLN (kurs SDR 5,0954) i opisem z 1.3 (część V).</t>
        </is>
      </c>
      <c r="E50" s="2" t="inlineStr">
        <is>
          <t>K2-06; N42</t>
        </is>
      </c>
      <c r="F50" s="2" t="inlineStr">
        <is>
          <t>ŚREDNI</t>
        </is>
      </c>
      <c r="G50" s="2" t="inlineStr">
        <is>
          <t>TEKST GOTOWY (Sekcja_1.3_i_ceny.docx, zamknięty); dalsze zmiany wg Zmiany_do_wprowadzenia (D47, D48)</t>
        </is>
      </c>
    </row>
    <row r="51">
      <c r="A51" s="2" t="inlineStr">
        <is>
          <t>N50</t>
        </is>
      </c>
      <c r="B51" s="2" t="inlineStr">
        <is>
          <t>2.3 Rynek docelowy i Plan wprowadzenia, 2.4, 2.1 (data wdrożenia), Z10 3.2.2, model (komentarz Przychody)</t>
        </is>
      </c>
      <c r="C51" s="2" t="inlineStr">
        <is>
          <t>Wdrożenie własne na 20 naczepach, CEE 400-600 tys. bez źródła, SAM „w Polsce i regionie CEE”, reklamacja 3 000-15 000 PLN, data wdrożenia 11.2029.</t>
        </is>
      </c>
      <c r="D51" s="2" t="inlineStr">
        <is>
          <t>Wpisać nowe teksty R23 i P23 oraz zmiany z tabeli 5.3 w pliku Sekcja_1.3_i_ceny.docx.</t>
        </is>
      </c>
      <c r="E51" s="2" t="inlineStr">
        <is>
          <t>K2-01, K2-05, K2-06; D35, D09</t>
        </is>
      </c>
      <c r="F51" s="2" t="inlineStr">
        <is>
          <t>WYSOKI</t>
        </is>
      </c>
      <c r="G51" s="2" t="inlineStr">
        <is>
          <t>TEKST GOTOWY (Sekcja_1.3_i_ceny.docx, zamknięty); dalsze zmiany wg Zmiany_do_wprowadzenia (D47, D48)</t>
        </is>
      </c>
    </row>
    <row r="52">
      <c r="A52" s="2" t="inlineStr">
        <is>
          <t>N51</t>
        </is>
      </c>
      <c r="B52" s="2" t="inlineStr">
        <is>
          <t>2.2 Opis uzyskanych wyników i Wykazanie braku barier</t>
        </is>
      </c>
      <c r="C52" s="2" t="inlineStr">
        <is>
          <t>Wyszukiwarka sugeruje możliwe rozbieżności w opisach patentów (właściciel US 11,685,400 B2; charakter US 2013/0342653 A1 i US 7,468,660 B2; właściciel US 11,151,506 B2). NIEZWERYFIKOWANE: baz patentowych nie ma w dostępie, dane z wyszukiwarki były sprzeczne.</t>
        </is>
      </c>
      <c r="D52" s="2" t="inlineStr">
        <is>
          <t>Sprawdzić 5 patentów z wniosku w Espacenet i Google Patents (adresy w pliku, część 2). Jeśli opis się nie zgadza, poprawić. Teksty z pliku Sekcja_2.2_i_2.5 opierają się na opisach z wniosku i zawierają miejsca na status i terytorium.</t>
        </is>
      </c>
      <c r="E52" s="2" t="inlineStr">
        <is>
          <t>K2-03, K2-09; N38</t>
        </is>
      </c>
      <c r="F52" s="2" t="inlineStr">
        <is>
          <t>WYSOKI</t>
        </is>
      </c>
      <c r="G52" s="2" t="inlineStr">
        <is>
          <t>DO SPRAWDZENIA (T13)</t>
        </is>
      </c>
    </row>
    <row r="53">
      <c r="A53" s="2" t="inlineStr">
        <is>
          <t>N52</t>
        </is>
      </c>
      <c r="B53" s="2" t="inlineStr">
        <is>
          <t>2.2 Opis sposobu uregulowania praw</t>
        </is>
      </c>
      <c r="C53" s="2" t="inlineStr">
        <is>
          <t>Przeniesienie praw PRz „do 12 miesięcy po projekcie” (04.2030) vs sprzedaż od 01.2030.</t>
        </is>
      </c>
      <c r="D53" s="2" t="inlineStr">
        <is>
          <t>Wpisać harmonogram wg § 11 umowy konsorcjum: oświadczenie do 28.08.2029, wycena, przeniesienie do 30.11.2029, brak sprzedaży przed przeniesieniem (tekst 3.3 pliku Sekcja_2.2_i_2.5).</t>
        </is>
      </c>
      <c r="E53" s="2" t="inlineStr">
        <is>
          <t>K2-02; D36</t>
        </is>
      </c>
      <c r="F53" s="2" t="inlineStr">
        <is>
          <t>WYSOKI</t>
        </is>
      </c>
      <c r="G53" s="2" t="inlineStr">
        <is>
          <t>TEKST GOTOWY (Sekcja_2.2_i_2.5), potwierdzenia: T13</t>
        </is>
      </c>
    </row>
    <row r="54">
      <c r="A54" s="2" t="inlineStr">
        <is>
          <t>N53</t>
        </is>
      </c>
      <c r="B54" s="2" t="inlineStr">
        <is>
          <t>2.5 Zasoby kadrowe, techniczne, pozostałe</t>
        </is>
      </c>
      <c r="C54" s="2" t="inlineStr">
        <is>
          <t>Brak skalowania montażu i wsparcia, parametrów chmury, podmiotu produkcji, certyfikatów i WNiP; flota testowa używana do demonstracji klientom.</t>
        </is>
      </c>
      <c r="D54" s="2" t="inlineStr">
        <is>
          <t>Wpisać teksty 4.1-4.3 z pliku; usunąć demonstracje na prototypach (K3-56).</t>
        </is>
      </c>
      <c r="E54" s="2" t="inlineStr">
        <is>
          <t>K2-04, K2-07, K2-08</t>
        </is>
      </c>
      <c r="F54" s="2" t="inlineStr">
        <is>
          <t>WYSOKI</t>
        </is>
      </c>
      <c r="G54" s="2" t="inlineStr">
        <is>
          <t>TEKST GOTOWY (Sekcja_2.2_i_2.5), potwierdzenia: T13</t>
        </is>
      </c>
    </row>
    <row r="55">
      <c r="A55" s="2" t="inlineStr">
        <is>
          <t>N54</t>
        </is>
      </c>
      <c r="B55" s="2" t="inlineStr">
        <is>
          <t>Radar: 77 GHz vs 60 GHz</t>
        </is>
      </c>
      <c r="C55" s="2" t="inlineStr">
        <is>
          <t>Wniosek: radar FMCW 77 GHz; budżet: TI IWR6843 (60 GHz).</t>
        </is>
      </c>
      <c r="D55" s="2" t="inlineStr">
        <is>
          <t>Ujednolicić pasmo w 1.2, Z2, 2.5 i budżecie; zależy od niego ścieżka certyfikacji RED.</t>
        </is>
      </c>
      <c r="E55" s="2" t="inlineStr">
        <is>
          <t>K3-55, K2-04</t>
        </is>
      </c>
      <c r="F55" s="2" t="inlineStr">
        <is>
          <t>ŚREDNI</t>
        </is>
      </c>
      <c r="G55" s="2" t="inlineStr">
        <is>
          <t>OTWARTE: odpowiedź działu technicznego (T35)</t>
        </is>
      </c>
    </row>
    <row r="56">
      <c r="A56" s="2" t="inlineStr">
        <is>
          <t>N55</t>
        </is>
      </c>
      <c r="B56" s="2" t="inlineStr">
        <is>
          <t>1.2 / W3 i opis innowacji: „pierwsza implementacja CV zabezpieczeń”</t>
        </is>
      </c>
      <c r="C56" s="2" t="inlineStr">
        <is>
          <t>Twierdzenia o braku prac o CV zabezpieczeń; istnieją patenty i prace o monitorowaniu zabezpieczeń ładunku.</t>
        </is>
      </c>
      <c r="D56" s="2" t="inlineStr">
        <is>
          <t>Zmienić na „według dostępnej dokumentacji brak systemu analizy obrazu dla naczepy”.</t>
        </is>
      </c>
      <c r="E56" s="2" t="inlineStr">
        <is>
          <t>K1-01; N33</t>
        </is>
      </c>
      <c r="F56" s="2" t="inlineStr">
        <is>
          <t>ŚREDNI</t>
        </is>
      </c>
      <c r="G56" s="2" t="inlineStr">
        <is>
          <t>TEKST GOTOWY (Wskazniki_innowacyjnosci_1.2_i_1.4.docx), 6 żółtych parametrów: T11</t>
        </is>
      </c>
    </row>
    <row r="57">
      <c r="A57" s="2" t="inlineStr">
        <is>
          <t>N56</t>
        </is>
      </c>
      <c r="B57" s="2" t="inlineStr">
        <is>
          <t>2.5: eFTI „opracowana w Z8”</t>
        </is>
      </c>
      <c r="C57" s="2" t="inlineStr">
        <is>
          <t>Numer zadania.</t>
        </is>
      </c>
      <c r="D57" s="2" t="inlineStr">
        <is>
          <t>Poprawić na Z6.</t>
        </is>
      </c>
      <c r="E57" s="2" t="inlineStr">
        <is>
          <t>K3</t>
        </is>
      </c>
      <c r="F57" s="2" t="inlineStr">
        <is>
          <t>NISKI</t>
        </is>
      </c>
      <c r="G57" s="2" t="inlineStr">
        <is>
          <t>TEKST GOTOWY (Sekcja_2.2_i_2.5), potwierdzenia: T13</t>
        </is>
      </c>
    </row>
    <row r="58">
      <c r="A58" s="2" t="inlineStr">
        <is>
          <t>N57</t>
        </is>
      </c>
      <c r="B58" s="2" t="inlineStr">
        <is>
          <t>Model finansowy, arkusz Koszty operacyjne: koszt własny sprzedanego sprzętu</t>
        </is>
      </c>
      <c r="C58" s="2" t="inlineStr">
        <is>
          <t>Koszt komponentów zestawu w modelu: 4 875 zł za zestaw (243,75 tys. zł dla 50 sztuk w 2030 r.), czyli 65% ceny 7 500 zł. Arkusz 5 (ceny publiczne, rabat 30%) daje ok. 7 606 zł.</t>
        </is>
      </c>
      <c r="D58" s="2" t="inlineStr">
        <is>
          <t>Decyzja właścicielki (02.10.2026): koszt komponentów zostaje jak w modelu, 4 875 zł za zestaw (65% ceny). Do uspójnienia: tekst 1.3 (część V) i odpowiedź na K2-12 i K2-13 muszą podać podstawę tej kwoty (konfiguracja zestawu, źródło cen). Arkusz 5 (ok. 7,6 tys. zł przy rabacie 30%) zostaje jako ryzyko.</t>
        </is>
      </c>
      <c r="E58" s="2" t="inlineStr">
        <is>
          <t>K2-12, K2-13; D11</t>
        </is>
      </c>
      <c r="F58" s="2" t="inlineStr">
        <is>
          <t>WYSOKI</t>
        </is>
      </c>
      <c r="G58" s="2" t="inlineStr">
        <is>
          <t>DO USPÓJNIENIA</t>
        </is>
      </c>
    </row>
    <row r="59">
      <c r="A59" s="2" t="inlineStr">
        <is>
          <t>N58</t>
        </is>
      </c>
      <c r="B59" s="2" t="inlineStr">
        <is>
          <t>Model finansowy, arkusz Koszty operacyjne: komentarz</t>
        </is>
      </c>
      <c r="C59" s="2" t="inlineStr">
        <is>
          <t>„Cel 50 pojazdów w 2030 r. pokrywają już 4 kontrakty” oraz „zespół komercjalizacji” bez liczby etatów.</t>
        </is>
      </c>
      <c r="D59" s="2" t="inlineStr">
        <is>
          <t>PROPOZYCJA (D53): zespół komercjalizacji 1,5; 2,0; 2,5; 3,5; 4,5 etatu przy 19,2 tys. zł/etat (komentarz w arkuszu Koszty operacyjne). Do zatwierdzenia.</t>
        </is>
      </c>
      <c r="E59" s="2" t="inlineStr">
        <is>
          <t>K2-13; D35</t>
        </is>
      </c>
      <c r="F59" s="2" t="inlineStr">
        <is>
          <t>ŚREDNI</t>
        </is>
      </c>
      <c r="G59" s="2" t="inlineStr">
        <is>
          <t>DO USPÓJNIENIA</t>
        </is>
      </c>
    </row>
    <row r="60">
      <c r="A60" s="2" t="inlineStr">
        <is>
          <t>N59</t>
        </is>
      </c>
      <c r="B60" s="2" t="inlineStr">
        <is>
          <t>6.1 vs 3.1.2: nazwy stanowisk i status współpracy</t>
        </is>
      </c>
      <c r="C60" s="2" t="inlineStr">
        <is>
          <t>„Cybersecurity Specialist” w 6.1 vs „Cybersecurity / AI Act Specialist” w 3.1.2; pole „Status współpracy” z wszystkimi opcjami; wymiar bez zadań i miesięcy.</t>
        </is>
      </c>
      <c r="D60" s="2" t="inlineStr">
        <is>
          <t>Wpisać teksty z pliku Sekcja_6.1_zespol_projektowy.docx i ujednolicić nazwy z 3.1.2.</t>
        </is>
      </c>
      <c r="E60" s="2" t="inlineStr">
        <is>
          <t>K5-10; D37</t>
        </is>
      </c>
      <c r="F60" s="2" t="inlineStr">
        <is>
          <t>WYSOKI</t>
        </is>
      </c>
      <c r="G60" s="2" t="inlineStr">
        <is>
          <t>TEKST GOTOWY (Sekcja_6.1 i 3.1.2), założenia D37: T23</t>
        </is>
      </c>
    </row>
    <row r="61">
      <c r="A61" s="2" t="inlineStr">
        <is>
          <t>N60</t>
        </is>
      </c>
      <c r="B61" s="2" t="inlineStr">
        <is>
          <t>7.1: liczba osób w zespole</t>
        </is>
      </c>
      <c r="C61" s="2" t="inlineStr">
        <is>
          <t>„3 z 16 osób (2 z 9 u Lidera i 1 z 7 w PRz)” vs 9 osób Everest11 i 5 osób PRz z nazwiska plus osoby planowane.</t>
        </is>
      </c>
      <c r="D61" s="2" t="inlineStr">
        <is>
          <t>Sprawdzić z końcowym składem i poprawić liczby w 7.1.</t>
        </is>
      </c>
      <c r="E61" s="2" t="inlineStr">
        <is>
          <t>K5-11</t>
        </is>
      </c>
      <c r="F61" s="2" t="inlineStr">
        <is>
          <t>NISKI</t>
        </is>
      </c>
      <c r="G61" s="2" t="inlineStr">
        <is>
          <t>TEKST GOTOWY (Sekcja_6.1 i 3.1.2), założenia D37: T23</t>
        </is>
      </c>
    </row>
    <row r="62">
      <c r="A62" s="2" t="inlineStr">
        <is>
          <t>N61</t>
        </is>
      </c>
      <c r="B62" s="2" t="inlineStr">
        <is>
          <t>Z2 i Z6: zakresy IT Specialist i Backend</t>
        </is>
      </c>
      <c r="C62" s="2" t="inlineStr">
        <is>
          <t>Nakładające się prace (strukturyzacja zbioru w Z2, API i eFTI w Z6).</t>
        </is>
      </c>
      <c r="D62" s="2" t="inlineStr">
        <is>
          <t>Rozdział wprowadzony w tekstach zadań (Opisy_zadan, uzasadnienia kosztu Z2 i Z6) i w 6.1; wpisać w LSI w tej samej postaci.</t>
        </is>
      </c>
      <c r="E62" s="2" t="inlineStr">
        <is>
          <t>K5-02</t>
        </is>
      </c>
      <c r="F62" s="2" t="inlineStr">
        <is>
          <t>ŚREDNI</t>
        </is>
      </c>
      <c r="G62" s="2" t="inlineStr">
        <is>
          <t>TEKST GOTOWY (Sekcja_6.1 i 3.1.2), założenia D37: T23</t>
        </is>
      </c>
    </row>
    <row r="63">
      <c r="A63" s="2" t="inlineStr">
        <is>
          <t>N62</t>
        </is>
      </c>
      <c r="B63" s="2" t="inlineStr">
        <is>
          <t>6.2 Everest11: flota testowa i biuro</t>
        </is>
      </c>
      <c r="C63" s="2" t="inlineStr">
        <is>
          <t>„Zasób w posiadaniu Lidera” przy flocie; biuro bez adresu i tytułu prawnego; Z7 na infrastrukturze PRz.</t>
        </is>
      </c>
      <c r="D63" s="2" t="inlineStr">
        <is>
          <t>Wpisać pozycje z pliku Sekcja_6.2-6.4_zasoby_podwykonawca.docx; pisemne ustalenie PRz o udostępnieniu infrastruktury dla Z7 bez odpłatności.</t>
        </is>
      </c>
      <c r="E63" s="2" t="inlineStr">
        <is>
          <t>K5-12, K5-15, K5-16</t>
        </is>
      </c>
      <c r="F63" s="2" t="inlineStr">
        <is>
          <t>ŚREDNI</t>
        </is>
      </c>
      <c r="G63" s="2" t="inlineStr">
        <is>
          <t>TEKST GOTOWY (Sekcja_6.2-6.4), żółte pola: T25, T26</t>
        </is>
      </c>
    </row>
    <row r="64">
      <c r="A64" s="2" t="inlineStr">
        <is>
          <t>N63</t>
        </is>
      </c>
      <c r="B64" s="2" t="inlineStr">
        <is>
          <t>6.4 podwykonawca montażu</t>
        </is>
      </c>
      <c r="C64" s="2" t="inlineStr">
        <is>
          <t>Warunki minimalne bez liczby osób, doświadczenia i sposobu weryfikacji; niejasny wymóg „bez naruszenia homologacji”.</t>
        </is>
      </c>
      <c r="D64" s="2" t="inlineStr">
        <is>
          <t>Wpisać pola Kadrowe, Aparatura i Infrastruktura z pliku.</t>
        </is>
      </c>
      <c r="E64" s="2" t="inlineStr">
        <is>
          <t>K5-19</t>
        </is>
      </c>
      <c r="F64" s="2" t="inlineStr">
        <is>
          <t>ŚREDNI</t>
        </is>
      </c>
      <c r="G64" s="2" t="inlineStr">
        <is>
          <t>TEKST GOTOWY, do wklejenia w LSI (T09)</t>
        </is>
      </c>
    </row>
    <row r="65">
      <c r="A65" s="2" t="inlineStr">
        <is>
          <t>N64</t>
        </is>
      </c>
      <c r="B65" s="2" t="inlineStr">
        <is>
          <t>7.1, 7.2, 7.3 wniosek</t>
        </is>
      </c>
      <c r="C65" s="2" t="inlineStr">
        <is>
          <t>Stary tekst: zestaw retrofit neutralny (a ma panel HMI i buzzer), 16 osób i 10 stanowisk w zespole, opisy bez konkretnych działań per artykuł</t>
        </is>
      </c>
      <c r="D65" s="2" t="inlineStr">
        <is>
          <t>Wkleić teksty z Sekcja_7_zasady_horyzontalne_6R.docx (7.1 z tabelą 7 pozycji, 7.2, 7.3)</t>
        </is>
      </c>
      <c r="E65" s="2" t="inlineStr">
        <is>
          <t>K10-01..06, K11-01, K12-01</t>
        </is>
      </c>
      <c r="F65" s="2" t="inlineStr">
        <is>
          <t>WYSOKI</t>
        </is>
      </c>
      <c r="G65" s="2" t="inlineStr">
        <is>
          <t>TEKST GOTOWY (Sekcja_7_zasady_horyzontalne_6R.docx), zobowiązania: T27-T29</t>
        </is>
      </c>
    </row>
    <row r="66">
      <c r="A66" s="2" t="inlineStr">
        <is>
          <t>N65</t>
        </is>
      </c>
      <c r="B66" s="2" t="inlineStr">
        <is>
          <t>7.4 i 8.2 wniosek</t>
        </is>
      </c>
      <c r="C66" s="2" t="inlineStr">
        <is>
          <t>Wariant A, reduce 65% do 80% i refuse 0% do 90%, zielone zamówienia, niszczenie w toku badań</t>
        </is>
      </c>
      <c r="D66" s="2" t="inlineStr">
        <is>
          <t>Wariant B, reduce, dwa wskaźniki z pliku; teksty trzech aktów prawnych; 8.1 PLRR051 opisy metodologii i weryfikacji</t>
        </is>
      </c>
      <c r="E66" s="2" t="inlineStr">
        <is>
          <t>K13-01..06, D17, D38</t>
        </is>
      </c>
      <c r="F66" s="2" t="inlineStr">
        <is>
          <t>WYSOKI</t>
        </is>
      </c>
      <c r="G66" s="2" t="inlineStr">
        <is>
          <t>TEKST GOTOWY (Sekcja_7_zasady_horyzontalne_6R.docx), zobowiązania: T27-T29</t>
        </is>
      </c>
    </row>
    <row r="67">
      <c r="A67" s="2" t="inlineStr">
        <is>
          <t>N66</t>
        </is>
      </c>
      <c r="B67" s="2" t="inlineStr">
        <is>
          <t>7.1 opis panelu dyspozytora</t>
        </is>
      </c>
      <c r="C67" s="2" t="inlineStr">
        <is>
          <t>„zaprojektowana i wdrożona” WCAG 2.1 AA</t>
        </is>
      </c>
      <c r="D67" s="2" t="inlineStr">
        <is>
          <t>Panel jako wynik projektu weryfikowany w Z9, wdrożenie komercyjne po projekcie (opisy zadań wyłączają produkcyjny dashboard)</t>
        </is>
      </c>
      <c r="E67" s="2" t="inlineStr">
        <is>
          <t>K10-04, K10-05</t>
        </is>
      </c>
      <c r="F67" s="2" t="inlineStr">
        <is>
          <t>ŚREDNI</t>
        </is>
      </c>
      <c r="G67" s="2" t="inlineStr">
        <is>
          <t>TEKST GOTOWY (Sekcja_7_zasady_horyzontalne_6R.docx), zobowiązania: T27-T29</t>
        </is>
      </c>
    </row>
    <row r="68">
      <c r="A68" s="2" t="inlineStr">
        <is>
          <t>N67</t>
        </is>
      </c>
      <c r="B68" s="2" t="inlineStr">
        <is>
          <t>Opisy Z1, Z6, Z7, Z9</t>
        </is>
      </c>
      <c r="C68" s="2" t="inlineStr">
        <is>
          <t>Brak kryteriów dostępności i pomiaru papieru i danych do chmury</t>
        </is>
      </c>
      <c r="D68" s="2" t="inlineStr">
        <is>
          <t>Dopisać: kryteria dostępności w specyfikacji Z1, test panelu HMI w Z7, lista kontrolna WCAG w UX Z9, liczniki papieru (Z6, Z9) i bajtów (Z7, Z9)</t>
        </is>
      </c>
      <c r="E68" s="2" t="inlineStr">
        <is>
          <t>K10-04, K13-01..04</t>
        </is>
      </c>
      <c r="F68" s="2" t="inlineStr">
        <is>
          <t>ŚREDNI</t>
        </is>
      </c>
      <c r="G68" s="2" t="inlineStr">
        <is>
          <t>TEKST GOTOWY w Opisach zadań (zamknięte), 62 żółte wartości: T11, T35</t>
        </is>
      </c>
    </row>
    <row r="69">
      <c r="A69" s="2" t="inlineStr">
        <is>
          <t>N68</t>
        </is>
      </c>
      <c r="B69" s="2" t="inlineStr">
        <is>
          <t>3.2.5 Koszty uproszczone i 8.1 wskaźnik wyjazdów</t>
        </is>
      </c>
      <c r="C69" s="2" t="inlineStr">
        <is>
          <t>Sekcja 3.2.5 pusta, brak wskaźnika „Zrealizowany wyjazd służbowy na 1 pracownika, Europa”</t>
        </is>
      </c>
      <c r="D69" s="2" t="inlineStr">
        <is>
          <t>Dodać 2 pozycje stawek (10-4, 10-5) i wskaźnik = 3</t>
        </is>
      </c>
      <c r="E69" s="2" t="inlineStr">
        <is>
          <t>K3-65</t>
        </is>
      </c>
      <c r="F69" s="2" t="inlineStr">
        <is>
          <t>WYSOKI</t>
        </is>
      </c>
      <c r="G69" s="2" t="inlineStr">
        <is>
          <t>TEKST GOTOWY (Sekcja_3.2_internacjonalizacja_Z10_Z11.docx), T32, T36</t>
        </is>
      </c>
    </row>
    <row r="70">
      <c r="A70" s="2" t="inlineStr">
        <is>
          <t>N69</t>
        </is>
      </c>
      <c r="B70" s="2" t="inlineStr">
        <is>
          <t>3.2.3 pozycja tłumaczenia EPO</t>
        </is>
      </c>
      <c r="C70" s="2" t="inlineStr">
        <is>
          <t>Wydatki ogółem 3 500 równe kwalifikowalnym mimo VAT 23%</t>
        </is>
      </c>
      <c r="D70" s="2" t="inlineStr">
        <is>
          <t>Ogółem 4 305</t>
        </is>
      </c>
      <c r="E70" s="2" t="inlineStr">
        <is>
          <t>K3-59</t>
        </is>
      </c>
      <c r="F70" s="2" t="inlineStr">
        <is>
          <t>NISKI</t>
        </is>
      </c>
      <c r="G70" s="2" t="inlineStr">
        <is>
          <t>TEKST GOTOWY (Sekcja_3.2_internacjonalizacja_Z10_Z11.docx), T32, T36</t>
        </is>
      </c>
    </row>
    <row r="71">
      <c r="A71" s="2" t="inlineStr">
        <is>
          <t>N70</t>
        </is>
      </c>
      <c r="B71" s="2" t="inlineStr">
        <is>
          <t>8.2 wskaźnik FENGR-001 i komentarz modelu Przychody</t>
        </is>
      </c>
      <c r="C71" s="2" t="inlineStr">
        <is>
          <t>489 300 zł jako przychód poza RP</t>
        </is>
      </c>
      <c r="D71" s="2" t="inlineStr">
        <is>
          <t>0 zł w 2030 r. (D40); model bez zmian</t>
        </is>
      </c>
      <c r="E71" s="2" t="inlineStr">
        <is>
          <t>K14-01; D40</t>
        </is>
      </c>
      <c r="F71" s="2" t="inlineStr">
        <is>
          <t>WYSOKI</t>
        </is>
      </c>
      <c r="G71" s="2" t="inlineStr">
        <is>
          <t>TEKST GOTOWY (Sekcja_3.2_internacjonalizacja_Z10_Z11.docx), T32, T36</t>
        </is>
      </c>
    </row>
    <row r="72">
      <c r="A72" s="2" t="inlineStr">
        <is>
          <t>N71</t>
        </is>
      </c>
      <c r="B72" s="2" t="inlineStr">
        <is>
          <t>3.2.2 Z11 opis i 2.2 prawa</t>
        </is>
      </c>
      <c r="C72" s="2" t="inlineStr">
        <is>
          <t>Prawa PRz przenosi „przed zgłoszeniem”, rozliczenie „12 miesięcy po projekcie”</t>
        </is>
      </c>
      <c r="D72" s="2" t="inlineStr">
        <is>
          <t>Nowy tekst Z11: umowa o wykonywaniu wspólnych praw (§ 11 ust. 5) i terminy z § 11 (28.08.2029, 30.11.2029)</t>
        </is>
      </c>
      <c r="E72" s="2" t="inlineStr">
        <is>
          <t>K2-02; D36</t>
        </is>
      </c>
      <c r="F72" s="2" t="inlineStr">
        <is>
          <t>WYSOKI</t>
        </is>
      </c>
      <c r="G72" s="2" t="inlineStr">
        <is>
          <t>TEKST GOTOWY (Sekcja_3.2_internacjonalizacja_Z10_Z11.docx), T32, T36</t>
        </is>
      </c>
    </row>
    <row r="73">
      <c r="A73" s="2" t="inlineStr">
        <is>
          <t>N72</t>
        </is>
      </c>
      <c r="B73" s="2" t="inlineStr">
        <is>
          <t>3.1.3 pozycje amortyzacji (14)</t>
        </is>
      </c>
      <c r="C73" s="2" t="inlineStr">
        <is>
          <t>Zdanie „tylko celów nie związanych z projektem” (7 pozycji Everest11), brak parametrów odpisu, edge AI 500 zł bez źródła, radar „fill rate”, OAK-D jako ToF</t>
        </is>
      </c>
      <c r="D73" s="2" t="inlineStr">
        <is>
          <t>Wkleić pola z Sekcja_3.1_sprzet_i_amortyzacja.docx, zmienić kwoty w P1, P2, P3 oraz w pozycjach Everest11 wg zestawienia</t>
        </is>
      </c>
      <c r="E73" s="2" t="inlineStr">
        <is>
          <t>K3-48..58; D42</t>
        </is>
      </c>
      <c r="F73" s="2" t="inlineStr">
        <is>
          <t>WYSOKI</t>
        </is>
      </c>
      <c r="G73" s="2" t="inlineStr">
        <is>
          <t>TEKST GOTOWY (Sekcja_3.1_sprzet_i_amortyzacja.docx), ceny: T33, T35</t>
        </is>
      </c>
    </row>
    <row r="74">
      <c r="A74" s="2" t="inlineStr">
        <is>
          <t>N73</t>
        </is>
      </c>
      <c r="B74" s="2" t="inlineStr">
        <is>
          <t>7.4 odpady vs likwidacja po M30</t>
        </is>
      </c>
      <c r="C74" s="2" t="inlineStr">
        <is>
          <t>„Sprawne komponenty trafią do dalszych prac rozwojowych lub zestawów demonstracyjnych”</t>
        </is>
      </c>
      <c r="D74" s="2" t="inlineStr">
        <is>
          <t>Prototypy po Z9 demontaż, likwidacja protokołem, przekazanie ZSEE; bez dalszego użycia (K3-56). Nowy tekst w Sekcja_7_zasady_horyzontalne_6R.docx</t>
        </is>
      </c>
      <c r="E74" s="2" t="inlineStr">
        <is>
          <t>K3-56, K13-06</t>
        </is>
      </c>
      <c r="F74" s="2" t="inlineStr">
        <is>
          <t>ŚREDNI</t>
        </is>
      </c>
      <c r="G74" s="2" t="inlineStr">
        <is>
          <t>TEKST GOTOWY (Sekcja_7_zasady_horyzontalne_6R.docx), zobowiązania: T27-T29</t>
        </is>
      </c>
    </row>
    <row r="75">
      <c r="A75" s="2" t="inlineStr">
        <is>
          <t>N74</t>
        </is>
      </c>
      <c r="B75" s="2" t="inlineStr">
        <is>
          <t>3.1.2 podwykonawstwo Z2, Z9 (nazwa, uzasadnienie, metoda)</t>
        </is>
      </c>
      <c r="C75" s="2" t="inlineStr">
        <is>
          <t>Brak kalkulacji i ofert; „odbiór techniczny” w metodzie Z2; Z9 „finalnych, zwalidowanych”.</t>
        </is>
      </c>
      <c r="D75" s="2" t="inlineStr">
        <is>
          <t>Wkleić pola z Sekcja_3.1_podwykonawstwo_i_stawki_PRz.docx (części 2 i 3): Z2 obejmuje montaż i demontaż po kampanii, rozkład godzin.</t>
        </is>
      </c>
      <c r="E75" s="2" t="inlineStr">
        <is>
          <t>K3-43..47; N26, N29; D08, D44</t>
        </is>
      </c>
      <c r="F75" s="2" t="inlineStr">
        <is>
          <t>WYSOKI</t>
        </is>
      </c>
      <c r="G75" s="2" t="inlineStr">
        <is>
          <t>TEKST GOTOWY, do wklejenia w LSI (T09)</t>
        </is>
      </c>
    </row>
    <row r="76">
      <c r="A76" s="2" t="inlineStr">
        <is>
          <t>N75</t>
        </is>
      </c>
      <c r="B76" s="2" t="inlineStr">
        <is>
          <t>5. Analiza ryzyka R8</t>
        </is>
      </c>
      <c r="C76" s="2" t="inlineStr">
        <is>
          <t>Anotacja jako podwykonawstwo; brak podziału montaż Z2/Z9.</t>
        </is>
      </c>
      <c r="D76" s="2" t="inlineStr">
        <is>
          <t>Wkleić nazwę, opis i zapobieganie R8 (część 5 dokumentu).</t>
        </is>
      </c>
      <c r="E76" s="2" t="inlineStr">
        <is>
          <t>K3-46; N24</t>
        </is>
      </c>
      <c r="F76" s="2" t="inlineStr">
        <is>
          <t>WYSOKI</t>
        </is>
      </c>
      <c r="G76" s="2" t="inlineStr">
        <is>
          <t>TEKST GOTOWY, do wklejenia w LSI (T09)</t>
        </is>
      </c>
    </row>
    <row r="77">
      <c r="A77" s="2" t="inlineStr">
        <is>
          <t>N76</t>
        </is>
      </c>
      <c r="B77" s="2" t="inlineStr">
        <is>
          <t>3.1.2 PRz: 40 pozycji wynagrodzeń; Z8 stawki i godziny; Z4 nazwa kosztu</t>
        </is>
      </c>
      <c r="C77" s="2" t="inlineStr">
        <is>
          <t>Brak dodatku miesięcznego i stopnia/tytułu w metodzie, prefiks „Z4 (prace rozwojowe) ·” w nazwie; godziny Z8 liczone według stawek o 8% niższych niż w Z1-Z5.</t>
        </is>
      </c>
      <c r="D77" s="2" t="inlineStr">
        <is>
          <t>Wkleić nazwy, kwoty (Z8) i metody szacowania (części 6.2, 6.4). Suma Z8 i PRz bez zmian.</t>
        </is>
      </c>
      <c r="E77" s="2" t="inlineStr">
        <is>
          <t>K3-41, K3-42; D43</t>
        </is>
      </c>
      <c r="F77" s="2" t="inlineStr">
        <is>
          <t>WYSOKI</t>
        </is>
      </c>
      <c r="G77" s="2" t="inlineStr">
        <is>
          <t>TEKST GOTOWY (Sekcja_3.1_podwykonawstwo_i_stawki_PRz.docx, wersja ostateczna)</t>
        </is>
      </c>
    </row>
    <row r="78">
      <c r="A78" s="2" t="inlineStr">
        <is>
          <t>N77</t>
        </is>
      </c>
      <c r="B78" s="2" t="inlineStr">
        <is>
          <t>3.1.1 opis Z8 (godziny PRz) i tabela godzin osób w Opisach zadań</t>
        </is>
      </c>
      <c r="C78" s="2" t="inlineStr">
        <is>
          <t>Godziny Z8: 325/325/120/110/242/200/204/200; „Montaż i demontaż sensorów wykona podwykonawca” w Z2.</t>
        </is>
      </c>
      <c r="D78" s="2" t="inlineStr">
        <is>
          <t>Po odblokowaniu Opisów zadań: godziny Z8 301/301/111/102/224/185/189/185; zdanie Z2 wg odpowiedzi T37.</t>
        </is>
      </c>
      <c r="E78" s="2" t="inlineStr">
        <is>
          <t>K3-42, K3-45; D43, T37</t>
        </is>
      </c>
      <c r="F78" s="2" t="inlineStr">
        <is>
          <t>ŚREDNI</t>
        </is>
      </c>
      <c r="G78" s="2" t="inlineStr">
        <is>
          <t>ZROBIONE w Opisach zadań (godziny Z8); zdanie Z2 bez zmian</t>
        </is>
      </c>
    </row>
    <row r="79">
      <c r="A79" s="2" t="inlineStr">
        <is>
          <t>N78</t>
        </is>
      </c>
      <c r="B79" s="2" t="inlineStr">
        <is>
          <t>Model Everest11: Założenia C14, Sprawozdania kol. F (22 komórki), Przychody w. 27, Koszty w. 15, 24, 43, 65 (K:X); komentarze w arkuszach Sprawozdania, Przychody, Koszty (B645), Kapitał pracujący</t>
        </is>
      </c>
      <c r="C79" s="2" t="inlineStr">
        <is>
          <t>Dane za I kwartał 2026 i prognoza „I kwartał x 4”.</t>
        </is>
      </c>
      <c r="D79" s="2" t="inlineStr">
        <is>
          <t>Wprowadzić dane za II kwartał i prognozę „I półrocze x 2” wg Sekcja_K6_sprawozdanie_2Q2026_model.docx, części 2 i 4.</t>
        </is>
      </c>
      <c r="E79" s="2" t="inlineStr">
        <is>
          <t>K6-07, K6-06, K6-09; D45</t>
        </is>
      </c>
      <c r="F79" s="2" t="inlineStr">
        <is>
          <t>WYSOKI</t>
        </is>
      </c>
      <c r="G79" s="2" t="inlineStr">
        <is>
          <t>ZROBIONE w modelu (plik z 05.10); do wklejenia w LSI</t>
        </is>
      </c>
    </row>
    <row r="80">
      <c r="A80" s="2" t="inlineStr">
        <is>
          <t>N79</t>
        </is>
      </c>
      <c r="B80" s="2" t="inlineStr">
        <is>
          <t>Model Everest11, arkusz Ocena kondycji finansowej, komentarz B444</t>
        </is>
      </c>
      <c r="C80" s="2" t="inlineStr">
        <is>
          <t>Środki pieniężne „od 2 618 tys. zł w 2026 r. do 16 679 tys. zł w 2039 r.”, których model nie potwierdzał (przed zmianą 2 648 i 31 195 tys. zł); brak zdania o rentowności (K6-13); opis kontrolek bez wiersza 124.</t>
        </is>
      </c>
      <c r="D80" s="2" t="inlineStr">
        <is>
          <t>Wklejony nowy komentarz (liczby z przeliczonego modelu: 2 564 i 30 650 tys. zł) wraz ze zdaniem o rentowności i uzupełnionym opisem kontrolek.</t>
        </is>
      </c>
      <c r="E80" s="2" t="inlineStr">
        <is>
          <t>K6-13; D45</t>
        </is>
      </c>
      <c r="F80" s="2" t="inlineStr">
        <is>
          <t>WYSOKI</t>
        </is>
      </c>
      <c r="G80" s="2" t="inlineStr">
        <is>
          <t>ZROBIONE w pliku modelu</t>
        </is>
      </c>
    </row>
    <row r="81">
      <c r="A81" s="2" t="inlineStr">
        <is>
          <t>N80</t>
        </is>
      </c>
      <c r="B81" s="2" t="inlineStr">
        <is>
          <t>Model Everest11, arkusz Założenia, komentarz B79 (K6-02)</t>
        </is>
      </c>
      <c r="C81" s="2" t="inlineStr">
        <is>
          <t>Brak uzasadnienia stawki CIT i pustych stawek amortyzacji i oprocentowania.</t>
        </is>
      </c>
      <c r="D81" s="2" t="inlineStr">
        <is>
          <t>Dopisane zdania: CIT 19% (przychód 2025 powyżej 2 mln EUR), brak środków trwałych i kredytów w działalności dotychczasowej. Stawka CIT do potwierdzenia przez księgową (T42).</t>
        </is>
      </c>
      <c r="E81" s="2" t="inlineStr">
        <is>
          <t>K6-02</t>
        </is>
      </c>
      <c r="F81" s="2" t="inlineStr">
        <is>
          <t>ŚREDNI</t>
        </is>
      </c>
      <c r="G81" s="2" t="inlineStr">
        <is>
          <t>ZROBIONE w pliku modelu, do potwierdzenia</t>
        </is>
      </c>
    </row>
    <row r="82">
      <c r="A82" s="2" t="inlineStr">
        <is>
          <t>N81</t>
        </is>
      </c>
      <c r="B82" s="2" t="inlineStr">
        <is>
          <t>Koncentracja sprzedaży (Amazon 95% w 2025, 100% w 2026) vs „ponad 50 aktywnych kontrahentów” (pkt 1.3, 2.1, Przychody, Koszty)</t>
        </is>
      </c>
      <c r="C82" s="2" t="inlineStr">
        <is>
          <t>„Rozszerzenie istniejącej relacji handlowej z ponad 50 aktywnymi kontrahentami spedycyjnymi Everest11”.</t>
        </is>
      </c>
      <c r="D82" s="2" t="inlineStr">
        <is>
          <t>ZROBIONE: usunięte „ponad 50 aktywnych kontrahentów” w pkt 1.3, komentarzach modelu i planie zastępczym R11; dopisany jeden odbiorca (Amazon) w komentarzu Przychody.</t>
        </is>
      </c>
      <c r="E82" s="2" t="inlineStr">
        <is>
          <t>K6-05, K2-01; T45</t>
        </is>
      </c>
      <c r="F82" s="2" t="inlineStr">
        <is>
          <t>WYSOKI</t>
        </is>
      </c>
      <c r="G82" s="2" t="inlineStr">
        <is>
          <t>OTWARTE</t>
        </is>
      </c>
    </row>
    <row r="83">
      <c r="A83" s="2" t="inlineStr">
        <is>
          <t>N82</t>
        </is>
      </c>
      <c r="B83" s="2" t="inlineStr">
        <is>
          <t>Ryzyko cen transferowych (K3-32) i niezależność walidacji (K3-11) vs ok. 95% zakupów usług od Natanek Logistics</t>
        </is>
      </c>
      <c r="C83" s="2" t="inlineStr">
        <is>
          <t>Opis ryzyka mówi ogólnie o współpracy z firmami przyszłego Inwestora.</t>
        </is>
      </c>
      <c r="D83" s="2" t="inlineStr">
        <is>
          <t>ZROBIONE: R12 przepisane (skala 95%, Natanek Logistics powiązany z Inwestorem i głównym dostawcą), zdanie w opisie Z9, informacja w pkt 1.3. Do potwierdzenia przez właścicielkę: sformułowania zobowiązań w R12 (kwartalny monitoring udziału, alternatywni przewoźnicy).</t>
        </is>
      </c>
      <c r="E83" s="2" t="inlineStr">
        <is>
          <t>K3-32, K6-16; T45</t>
        </is>
      </c>
      <c r="F83" s="2" t="inlineStr">
        <is>
          <t>WYSOKI</t>
        </is>
      </c>
      <c r="G83" s="2" t="inlineStr">
        <is>
          <t>OTWARTE</t>
        </is>
      </c>
    </row>
    <row r="84">
      <c r="A84" s="2" t="inlineStr">
        <is>
          <t>N83</t>
        </is>
      </c>
      <c r="B84" s="2" t="inlineStr">
        <is>
          <t>Opisy zadań i Poprawki do wklejenia: R12 (ryzyko), R11 (plan zastępczy), Z9 (niezależność), pkt 1.3 po D47-D48</t>
        </is>
      </c>
      <c r="C84" s="2" t="inlineStr">
        <is>
          <t>„Jeden z trzech niezależnych klientów”, „ponad 50 aktywnych kontrahentów”.</t>
        </is>
      </c>
      <c r="D84" s="2" t="inlineStr">
        <is>
          <t>DO WPROWADZENIA W LSI wg zestawienia Zmiany_do_wprowadzenia_w_plikach_zamknietych.docx (pliki Sekcja_1.3, Poprawki, Opisy są zamknięte i przywrócone do wersji sprzed 05.10).</t>
        </is>
      </c>
      <c r="E84" s="2" t="inlineStr">
        <is>
          <t>D47, D48</t>
        </is>
      </c>
      <c r="F84" s="2" t="inlineStr">
        <is>
          <t>WYSOKI</t>
        </is>
      </c>
      <c r="G84" s="2" t="inlineStr">
        <is>
          <t>ZROBIONE</t>
        </is>
      </c>
    </row>
    <row r="85">
      <c r="A85" s="2" t="inlineStr">
        <is>
          <t>N84</t>
        </is>
      </c>
      <c r="B85" s="2" t="inlineStr">
        <is>
          <t>Możliwe powiązanie: Wojciech Chrzanowski (jedyny wspólnik i prezes) – kancelaria adwokacka dostawcy usług prawnych – Maciej Chrzanowski (kierownik zarządzający)</t>
        </is>
      </c>
      <c r="C85" s="2" t="inlineStr">
        <is>
          <t>Księgowa wymienia „Wojciech Chrzanowski Kancelaria Adwokacka” wśród dostawców; KRS: Wojciech Chrzanowski jedyny wspólnik i prezes.</t>
        </is>
      </c>
      <c r="D85" s="2" t="inlineStr">
        <is>
          <t>ZAMKNIĘTE: kancelaria potwierdzona, brak pokrewieństwa z Maciejem Chrzanowskim (zbieg nazwisk). Pozostaje usunięte słowo „niezależnych” przy dostawcach.</t>
        </is>
      </c>
      <c r="E85" s="2" t="inlineStr">
        <is>
          <t>Odpis KRS 05.10.2026; T45</t>
        </is>
      </c>
      <c r="F85" s="2" t="inlineStr">
        <is>
          <t>WYSOKI</t>
        </is>
      </c>
      <c r="G85" s="2" t="inlineStr">
        <is>
          <t>OTWARTE</t>
        </is>
      </c>
    </row>
    <row r="86">
      <c r="A86" s="2" t="inlineStr">
        <is>
          <t>N85</t>
        </is>
      </c>
      <c r="B86" s="2" t="inlineStr">
        <is>
          <t>Model Everest11, arkusze Zaliczka-refundacja i Zaliczka-refundacja Konsorcjum (K6-14)</t>
        </is>
      </c>
      <c r="C86" s="2" t="inlineStr">
        <is>
          <t>Suma zaliczek 91,63% (Everest11) i 91,21% (konsorcjum) wobec limitu 90%; refundacja końcowa 8,4% i 8,8%.</t>
        </is>
      </c>
      <c r="D86" s="2" t="inlineStr">
        <is>
          <t>Przesunięte 63 048,12 zł dofinansowania z II półrocza 2028 do II półrocza 2029; suma zaliczek 89,5% i 89,63%.</t>
        </is>
      </c>
      <c r="E86" s="2" t="inlineStr">
        <is>
          <t>K6-14; D52</t>
        </is>
      </c>
      <c r="F86" s="2" t="inlineStr">
        <is>
          <t>KRYTYCZNY</t>
        </is>
      </c>
      <c r="G86" s="2" t="inlineStr">
        <is>
          <t>ZROBIONE w modelu</t>
        </is>
      </c>
    </row>
    <row r="87">
      <c r="A87" s="2" t="inlineStr">
        <is>
          <t>N86</t>
        </is>
      </c>
      <c r="B87" s="2" t="inlineStr">
        <is>
          <t>6.1 / biografia PRz w LSI: Andrzej Włoch</t>
        </is>
      </c>
      <c r="C87" s="2" t="inlineStr">
        <is>
          <t>Biografia z wniosku: „profesor uczelni, kierownik Zakładu Modelowania Matematycznego PRz”; wynagrodzenie 81 793,80 zł w kategorii Personel projektu (Z1, Z3, Z4, Z5, Z8).</t>
        </is>
      </c>
      <c r="D87" s="2" t="inlineStr">
        <is>
          <t>Przewodnik 3.3.1 i 3.3.9: funkcja zarządcza u konsorcjanta wyłącza z Personelu projektu, koszt tylko w kosztach pośrednich. Wymaga odpowiedzi PRz i decyzji wariant A/B (Zmiany_do_wprowadzenia, poz. 5.4).</t>
        </is>
      </c>
      <c r="E87" s="2" t="inlineStr">
        <is>
          <t>K3-33; T50</t>
        </is>
      </c>
      <c r="F87" s="2" t="inlineStr">
        <is>
          <t>WYSOKI</t>
        </is>
      </c>
      <c r="G87" s="2" t="inlineStr">
        <is>
          <t>OTWARTE</t>
        </is>
      </c>
    </row>
    <row r="88">
      <c r="A88" s="2" t="inlineStr">
        <is>
          <t>N87</t>
        </is>
      </c>
      <c r="B88" s="2" t="inlineStr">
        <is>
          <t>Wniosek wersja C, opis opłacalności i zdolności finansowej (część VI/„Opłacalność wdrożenia”)</t>
        </is>
      </c>
      <c r="C88" s="2" t="inlineStr">
        <is>
          <t>Tekst nadal zawiera: „środki pieniężne pozostają dodatnie… minimum ok. 2,6 mln zł” (model po danych za II kw.: ok. 0,6 mln zł w 2026 r.), „istniejącej bazie ponad 50 kontrahentów TSL Everest11”, „wiążące zobowiązanie inwestora” (w LSI wpisano „warunkowe”).</t>
        </is>
      </c>
      <c r="D88" s="2" t="inlineStr">
        <is>
          <t>Zamienić 2,6 mln na ok. 0,6 mln zł (minimum w 2026 r.), usunąć „ponad 50 kontrahentów” (D48) i ujednolicić „warunkowe zobowiązanie inwestora”. Teksty w LSI, plik zamknięty. Dodatkowo IRR ok. 26% we wniosku vs model 20% (2034) i 40,5% (2039).</t>
        </is>
      </c>
      <c r="E88" s="2" t="inlineStr">
        <is>
          <t>D46, D48, K6-12</t>
        </is>
      </c>
      <c r="F88" s="2" t="inlineStr">
        <is>
          <t>ŚREDNI</t>
        </is>
      </c>
      <c r="G88" s="2" t="inlineStr">
        <is>
          <t>OTWARTE</t>
        </is>
      </c>
    </row>
    <row r="89">
      <c r="A89" s="2" t="inlineStr">
        <is>
          <t>N88</t>
        </is>
      </c>
      <c r="B89" s="2" t="inlineStr">
        <is>
          <t>1.3 część VI; 2.3 Rynek docelowy i Plan wprowadzenia (etap 1, Strategia); R11 plan zastępczy (plik LSI 06.10)</t>
        </is>
      </c>
      <c r="C89" s="2" t="inlineStr">
        <is>
          <t>„baza ponad 50 aktywnych kontrahentów”, „z bazy klientów”, „aktywnych kontrahentów Everest11”</t>
        </is>
      </c>
      <c r="D89" s="2" t="inlineStr">
        <is>
          <t>Zostawić bazę (D59), usunąć „aktywnych” i „bieżącą współpracę”; Strategia: „z kontaktów handlowych”; K2-01 wymaga struktury bazy (T55)</t>
        </is>
      </c>
      <c r="E89" s="2" t="inlineStr">
        <is>
          <t>Zmiany 7.3 poz. 1; K2-01; D47</t>
        </is>
      </c>
      <c r="F89" s="2" t="inlineStr">
        <is>
          <t>ŚREDNI</t>
        </is>
      </c>
      <c r="G89" s="2" t="inlineStr">
        <is>
          <t>OTWARTE</t>
        </is>
      </c>
    </row>
    <row r="90">
      <c r="A90" s="2" t="inlineStr">
        <is>
          <t>N89</t>
        </is>
      </c>
      <c r="B90" s="2" t="inlineStr">
        <is>
          <t>R11 i R12 oraz Z9 w pliku LSI</t>
        </is>
      </c>
      <c r="C90" s="2" t="inlineStr">
        <is>
          <t>R12 bez ujawnienia ok. 95% zakupów usług od Natanek Logistics; „formalnie ustalamy, czy powiązane”; R11 „żaden podmiot nie jest jednocześnie partnerem testowym i odbiorcą”; brak dopisku Z9</t>
        </is>
      </c>
      <c r="D90" s="2" t="inlineStr">
        <is>
          <t>Wkleić teksty ze Zmiany 3.1, 3.2, 2.3 i dopisek 3.3; zdanie o dywersyfikacji w R11 jak w Zmiany 7.3 poz. 2</t>
        </is>
      </c>
      <c r="E90" s="2" t="inlineStr">
        <is>
          <t>Zmiany 7.3 poz. 2; K3-31, K3-32, K3-11; D47, D48</t>
        </is>
      </c>
      <c r="F90" s="2" t="inlineStr">
        <is>
          <t>WYSOKI</t>
        </is>
      </c>
      <c r="G90" s="2" t="inlineStr">
        <is>
          <t>OTWARTE</t>
        </is>
      </c>
    </row>
    <row r="91">
      <c r="A91" s="2" t="inlineStr">
        <is>
          <t>N90</t>
        </is>
      </c>
      <c r="B91" s="2" t="inlineStr">
        <is>
          <t>Plik LSI: brak pól dla K3-33 i K3-39; zbiorcza zamiana „zakres stanowiska” w 28 polach</t>
        </is>
      </c>
      <c r="C91" s="2" t="inlineStr">
        <is>
          <t>Zbiorcza deklaracja braku funkcji zarządczych bez potwierdzenia osób; pusty nawias przy specjaliście modelowania PRz (Włoch)</t>
        </is>
      </c>
      <c r="D91" s="2" t="inlineStr">
        <is>
          <t>Dodać Zmiany 3.4 i 5.1 do 5.4; deklarację zostawić po potwierdzeniu dla każdej osoby (T50); rozstrzygnąć wariant A albo B dla Włocha</t>
        </is>
      </c>
      <c r="E91" s="2" t="inlineStr">
        <is>
          <t>Zmiany 7.3 poz. 3; K3-33, K3-39; T50</t>
        </is>
      </c>
      <c r="F91" s="2" t="inlineStr">
        <is>
          <t>WYSOKI</t>
        </is>
      </c>
      <c r="G91" s="2" t="inlineStr">
        <is>
          <t>OTWARTE</t>
        </is>
      </c>
    </row>
    <row r="92">
      <c r="A92" s="2" t="inlineStr">
        <is>
          <t>N91</t>
        </is>
      </c>
      <c r="B92" s="2" t="inlineStr">
        <is>
          <t>1.3 część I; 2.3 etap 4 i Segmenty; 2.4 SAM; 3.2.1 (plik LSI)</t>
        </is>
      </c>
      <c r="C92" s="2" t="inlineStr">
        <is>
          <t>Pojazdy w CEE „obniżają udział w polskim SAM poniżej 0,50%” kontra 0,50% SAM w Polsce kontra komentarz modelu (bez sprzedaży zagranicznej) kontra Sekcja_3.2 i D40 (CEE od 2032-2033 w modelu)</t>
        </is>
      </c>
      <c r="D92" s="2" t="inlineStr">
        <is>
          <t>Ujednolicić: 1 000 pojazdów w 2034 r. to sprzedaż w Polsce (0,50% SAM, 0,18% TAM), sprzedaży w CEE nie zakładamy</t>
        </is>
      </c>
      <c r="E92" s="2" t="inlineStr">
        <is>
          <t>Zmiany 7.3 poz. 4; K2-05; K14-01</t>
        </is>
      </c>
      <c r="F92" s="2" t="inlineStr">
        <is>
          <t>ŚREDNI</t>
        </is>
      </c>
      <c r="G92" s="2" t="inlineStr">
        <is>
          <t>OTWARTE</t>
        </is>
      </c>
    </row>
    <row r="93">
      <c r="A93" s="2" t="inlineStr">
        <is>
          <t>N92</t>
        </is>
      </c>
      <c r="B93" s="2" t="inlineStr">
        <is>
          <t>Plik LSI, część B (7.1, 7.3, 7.4, 3.1.3, 3.1.2 stawki PRz, 2.4, 2.1)</t>
        </is>
      </c>
      <c r="C93" s="2" t="inlineStr">
        <is>
          <t>Zdania ZNAJDŹ nie istnieją w wersji C; pochodzą z naszych plików Sekcja_7, Sekcja_3.1_*; w repozytorium wciąż „alarm dźwiękowy w kabinie”</t>
        </is>
      </c>
      <c r="D93" s="2" t="inlineStr">
        <is>
          <t>Poprawić pliki źródłowe albo wkleić pola w całości; po wklejeniu sprawdzić stare zdania (5 500 do 23 000 zł, 3 000 do 15 000 zł, „alerty dźwiękowe” w Z9)</t>
        </is>
      </c>
      <c r="E93" s="2" t="inlineStr">
        <is>
          <t>Zmiany 7.3 poz. 5; T52</t>
        </is>
      </c>
      <c r="F93" s="2" t="inlineStr">
        <is>
          <t>WYSOKI</t>
        </is>
      </c>
      <c r="G93" s="2" t="inlineStr">
        <is>
          <t>OTWARTE</t>
        </is>
      </c>
    </row>
    <row r="94">
      <c r="A94" s="2" t="inlineStr">
        <is>
          <t>N93</t>
        </is>
      </c>
      <c r="B94" s="2" t="inlineStr">
        <is>
          <t>R10 mitygacja kontra 2.2, Z11, 2.3 etap 0</t>
        </is>
      </c>
      <c r="C94" s="2" t="inlineStr">
        <is>
          <t>„Brak przeniesienia nie wstrzymuje wdrożenia” kontra „Do czasu przeniesienia Everest11 nie będzie sprzedawać”; pilotaż 11.2029 przed przeniesieniem 30.11.2029</t>
        </is>
      </c>
      <c r="D94" s="2" t="inlineStr">
        <is>
          <t>Wybrać jedną wersję (D57) i ujednolicić R10, 2.2, Z11</t>
        </is>
      </c>
      <c r="E94" s="2" t="inlineStr">
        <is>
          <t>Zmiany 7.3 poz. 6; K2-02; D57</t>
        </is>
      </c>
      <c r="F94" s="2" t="inlineStr">
        <is>
          <t>ŚREDNI</t>
        </is>
      </c>
      <c r="G94" s="2" t="inlineStr">
        <is>
          <t>OTWARTE</t>
        </is>
      </c>
    </row>
    <row r="95">
      <c r="A95" s="2" t="inlineStr">
        <is>
          <t>N94</t>
        </is>
      </c>
      <c r="B95" s="2" t="inlineStr">
        <is>
          <t>1.3 część IV i 2.4 reklamacja (plik LSI)</t>
        </is>
      </c>
      <c r="C95" s="2" t="inlineStr">
        <is>
          <t>„ok. czterokrotnie droższy”: 349/49 daje 7,1, 349/87 daje 4,0; „jedno roszczenie pokrywa koszt systemu” przy dolnej granicy 8 489 zł wobec 11 688 zł w pierwszym roku</t>
        </is>
      </c>
      <c r="D95" s="2" t="inlineStr">
        <is>
          <t>Wspólne sformułowanie z oboma porównaniami (87 zł UE i 49 zł PL); zdanie o zwrocie tylko dla roszczeń powyżej 11 688 zł</t>
        </is>
      </c>
      <c r="E95" s="2" t="inlineStr">
        <is>
          <t>Zmiany 7.3 poz. 7; K2-15</t>
        </is>
      </c>
      <c r="F95" s="2" t="inlineStr">
        <is>
          <t>ŚREDNI</t>
        </is>
      </c>
      <c r="G95" s="2" t="inlineStr">
        <is>
          <t>OTWARTE</t>
        </is>
      </c>
    </row>
    <row r="96">
      <c r="A96" s="2" t="inlineStr">
        <is>
          <t>N95</t>
        </is>
      </c>
      <c r="B96" s="2" t="inlineStr">
        <is>
          <t>Z2, Z9, 6.3 (plik LSI)</t>
        </is>
      </c>
      <c r="C96" s="2" t="inlineStr">
        <is>
          <t>Hajduk (dyrektor operacyjny Natanek) prowadzi inspekcje ground truth, a Natanek „nie ma dostępu do zbioru”; brak zdania o poufności wobec Natanek i MJA Partners</t>
        </is>
      </c>
      <c r="D96" s="2" t="inlineStr">
        <is>
          <t>Dopisać w 6.3 zdanie o dostępie Hajduka wyłącznie jako pracownika Everest11; potwierdzić fakty</t>
        </is>
      </c>
      <c r="E96" s="2" t="inlineStr">
        <is>
          <t>Zmiany 7.3 poz. 8; K3-11, K5-07; T51</t>
        </is>
      </c>
      <c r="F96" s="2" t="inlineStr">
        <is>
          <t>ŚREDNI</t>
        </is>
      </c>
      <c r="G96" s="2" t="inlineStr">
        <is>
          <t>OTWARTE</t>
        </is>
      </c>
    </row>
    <row r="97">
      <c r="A97" s="2" t="inlineStr">
        <is>
          <t>N96</t>
        </is>
      </c>
      <c r="B97" s="2" t="inlineStr">
        <is>
          <t>Z11 (M29) i Z9 (M30) (plik LSI)</t>
        </is>
      </c>
      <c r="C97" s="2" t="inlineStr">
        <is>
          <t>Raport techniczny Z9 jako „wejście do Z11”, a Z11 kończy się w M29</t>
        </is>
      </c>
      <c r="D97" s="2" t="inlineStr">
        <is>
          <t>Wejściem do Z11 są wyniki Fazy B do M29; okno korekt w M30 nie zmienia zgłoszenia</t>
        </is>
      </c>
      <c r="E97" s="2" t="inlineStr">
        <is>
          <t>Zmiany 7.3 poz. 9; K3-09, K3-22</t>
        </is>
      </c>
      <c r="F97" s="2" t="inlineStr">
        <is>
          <t>ŚREDNI</t>
        </is>
      </c>
      <c r="G97" s="2" t="inlineStr">
        <is>
          <t>OTWARTE</t>
        </is>
      </c>
    </row>
    <row r="98">
      <c r="A98" s="2" t="inlineStr">
        <is>
          <t>N97</t>
        </is>
      </c>
      <c r="B98" s="2" t="inlineStr">
        <is>
          <t>Z8 i Z9 (plik LSI)</t>
        </is>
      </c>
      <c r="C98" s="2" t="inlineStr">
        <is>
          <t>Reanotacja klas w M22 do M26, a anotatorzy Z2 kończą w M18; nie wskazano wykonawcy</t>
        </is>
      </c>
      <c r="D98" s="2" t="inlineStr">
        <is>
          <t>Dopisać, że reanotację wykonują specjaliści danych PRz w godzinach Z8; sprawdzić wystarczalność godzin (T53)</t>
        </is>
      </c>
      <c r="E98" s="2" t="inlineStr">
        <is>
          <t>Zmiany 7.3 poz. 10; K3-09, K3-12</t>
        </is>
      </c>
      <c r="F98" s="2" t="inlineStr">
        <is>
          <t>ŚREDNI</t>
        </is>
      </c>
      <c r="G98" s="2" t="inlineStr">
        <is>
          <t>OTWARTE</t>
        </is>
      </c>
    </row>
    <row r="99">
      <c r="A99" s="2" t="inlineStr">
        <is>
          <t>N98</t>
        </is>
      </c>
      <c r="B99" s="2" t="inlineStr">
        <is>
          <t>3.2.1 i wskaźnik 8.2 „Przychody poza RP” (plik LSI)</t>
        </is>
      </c>
      <c r="C99" s="2" t="inlineStr">
        <is>
          <t>Pole 8.2 w wersji C ma jeszcze 489 300 zł; Sekcja_3.2 część 6 mówi, że przychody poza RP wynikają z modelu od 2032-2033, a model tego nie zawiera</t>
        </is>
      </c>
      <c r="D99" s="2" t="inlineStr">
        <is>
          <t>Wkleić 8.2 z Sekcja_3.2 (0 zł, 2030, D40), zdanie o modelu zamienić na „nie zakładamy w prognozie”</t>
        </is>
      </c>
      <c r="E99" s="2" t="inlineStr">
        <is>
          <t>Zmiany 7.3 poz. 11; K14-01; D40</t>
        </is>
      </c>
      <c r="F99" s="2" t="inlineStr">
        <is>
          <t>ŚREDNI</t>
        </is>
      </c>
      <c r="G99" s="2" t="inlineStr">
        <is>
          <t>OTWARTE (do wklejenia)</t>
        </is>
      </c>
    </row>
    <row r="100">
      <c r="A100" s="2" t="inlineStr">
        <is>
          <t>N99</t>
        </is>
      </c>
      <c r="B100" s="2" t="inlineStr">
        <is>
          <t>Z10, 3.2.1, 3.2.3 (plik LSI i wersja C)</t>
        </is>
      </c>
      <c r="C100" s="2" t="inlineStr">
        <is>
          <t>Wydarzenie „misja gospodarcza do CEE (np. Czechy/Rumunia)” w budżecie, a w tekście misja do Czech; 2,15% kosztów B+R do przeliczenia; podróż osoby z kosztów pośrednich</t>
        </is>
      </c>
      <c r="D100" s="2" t="inlineStr">
        <is>
          <t>Ujednolicić nazwę, przeliczyć udział, sprawdzić 5.3.3 w Przewodniku</t>
        </is>
      </c>
      <c r="E100" s="2" t="inlineStr">
        <is>
          <t>Zmiany 7.3 poz. 12; K3-24, K3-65</t>
        </is>
      </c>
      <c r="F100" s="2" t="inlineStr">
        <is>
          <t>NISKI</t>
        </is>
      </c>
      <c r="G100" s="2" t="inlineStr">
        <is>
          <t>OTWARTE</t>
        </is>
      </c>
    </row>
    <row r="101">
      <c r="A101" s="2" t="inlineStr">
        <is>
          <t>N100</t>
        </is>
      </c>
      <c r="B101" s="2" t="inlineStr">
        <is>
          <t>Z1, Z3, Z5, Z7 (plik LSI)</t>
        </is>
      </c>
      <c r="C101" s="2" t="inlineStr">
        <is>
          <t>Gwiazdki „ToF*”, „kamery*”, „Z1*” bez objaśnienia (oznaczenie zależności od D06)</t>
        </is>
      </c>
      <c r="D101" s="2" t="inlineStr">
        <is>
          <t>Usunąć gwiazdki po D06 i D53; do tego czasu nie wklejać pól</t>
        </is>
      </c>
      <c r="E101" s="2" t="inlineStr">
        <is>
          <t>Zmiany 7.3 poz. 13; D06, D53, K3-55</t>
        </is>
      </c>
      <c r="F101" s="2" t="inlineStr">
        <is>
          <t>NISKI</t>
        </is>
      </c>
      <c r="G101" s="2" t="inlineStr">
        <is>
          <t>OTWARTE</t>
        </is>
      </c>
    </row>
    <row r="102">
      <c r="A102" s="2" t="inlineStr">
        <is>
          <t>N101</t>
        </is>
      </c>
      <c r="B102" s="2" t="inlineStr">
        <is>
          <t>Sekcja_3.2: pozycja 10-4 (uzasadnienie), nazwa wydarzenia misji w tabeli 3.2.1 wersji C, opis delegatów Z10</t>
        </is>
      </c>
      <c r="C102" s="2" t="inlineStr">
        <is>
          <t>10-4 powołuje „Przewodnik 5.3.4” (powinno być 5.3.3); misja „np. Czechy/Rumunia” wobec Czech w tekście; „obie osoby zatrudnione w Everest11”, a kierownik zarządzający jest na zleceniu i w kosztach pośrednich</t>
        </is>
      </c>
      <c r="D102" s="2" t="inlineStr">
        <is>
          <t>Zamienić na 5.3.3; nazwa „misja gospodarcza do Czech”; sprawdzić w Przewodniku wymóg zatrudnienia delegata i ewentualnie wskazać pracownika</t>
        </is>
      </c>
      <c r="E102" s="2" t="inlineStr">
        <is>
          <t>Zmiany 8.5; K3-24, K3-65</t>
        </is>
      </c>
      <c r="F102" s="2" t="inlineStr">
        <is>
          <t>NISKI</t>
        </is>
      </c>
      <c r="G102" s="2" t="inlineStr">
        <is>
          <t>OTWARTE</t>
        </is>
      </c>
    </row>
    <row r="103">
      <c r="A103" s="2" t="inlineStr">
        <is>
          <t>N102</t>
        </is>
      </c>
      <c r="B103" s="2" t="inlineStr">
        <is>
          <t>R11 plan zastępczy (plik LSI, Opisy_zadan) i 6.2 Flota testowa</t>
        </is>
      </c>
      <c r="C103" s="2" t="inlineStr">
        <is>
          <t>Opisy_zadan miały czwarty element: pojazdy w najmie Everest11 (5 do 20); plik LSI go pomija, a 6.2 opisuje flotę jako udostępnioną przez Natanek Logistics</t>
        </is>
      </c>
      <c r="D103" s="2" t="inlineStr">
        <is>
          <t>Potwierdzić, czy aneks do umów najmu (T02) powstaje; jeśli tak, dopisać element; jeśli nie, zostawić trzy</t>
        </is>
      </c>
      <c r="E103" s="2" t="inlineStr">
        <is>
          <t>Zmiany 8.2; T02</t>
        </is>
      </c>
      <c r="F103" s="2" t="inlineStr">
        <is>
          <t>NISKI</t>
        </is>
      </c>
      <c r="G103" s="2" t="inlineStr">
        <is>
          <t>OTWARTE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54"/>
  <sheetViews>
    <sheetView workbookViewId="0">
      <pane xSplit="3" ySplit="22" topLeftCell="D23"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4" customWidth="1" min="16" max="16"/>
    <col width="14" customWidth="1" min="17" max="17"/>
    <col width="14" customWidth="1" min="18" max="18"/>
  </cols>
  <sheetData>
    <row r="1">
      <c r="A1" t="inlineStr">
        <is>
          <t>D29 (wariant właściciela): udziały czasu pracy w projekcie w trzech okresach (komórki żółte edytowalne), nakłady miesięczne = etat x udział. Wiersze kontrolne i kolumna "suma udziałów" muszą dawać 1 / 0.</t>
        </is>
      </c>
    </row>
    <row r="2">
      <c r="A2" s="19" t="inlineStr">
        <is>
          <t>Stanowisko</t>
        </is>
      </c>
      <c r="B2" s="19" t="inlineStr">
        <is>
          <t>Okres</t>
        </is>
      </c>
      <c r="C2" s="19" t="inlineStr">
        <is>
          <t>Z6</t>
        </is>
      </c>
      <c r="D2" s="19" t="inlineStr">
        <is>
          <t>Z7</t>
        </is>
      </c>
      <c r="E2" s="19" t="inlineStr">
        <is>
          <t>Z9</t>
        </is>
      </c>
      <c r="F2" s="19" t="inlineStr">
        <is>
          <t>Suma udziałów (=1)</t>
        </is>
      </c>
    </row>
    <row r="3">
      <c r="A3" t="inlineStr">
        <is>
          <t>AI Lead</t>
        </is>
      </c>
      <c r="B3" t="inlineStr">
        <is>
          <t>M19-M21</t>
        </is>
      </c>
      <c r="C3" s="20" t="n">
        <v>0.4</v>
      </c>
      <c r="D3" s="20" t="n">
        <v>0.6</v>
      </c>
      <c r="E3" s="20" t="n">
        <v>0</v>
      </c>
      <c r="F3">
        <f>SUM(C3:E3)</f>
        <v/>
      </c>
    </row>
    <row r="4">
      <c r="A4" t="inlineStr">
        <is>
          <t>AI Lead</t>
        </is>
      </c>
      <c r="B4" t="inlineStr">
        <is>
          <t>M22-M27</t>
        </is>
      </c>
      <c r="C4" s="20">
        <f>1/3</f>
        <v/>
      </c>
      <c r="D4" s="20">
        <f>1/3</f>
        <v/>
      </c>
      <c r="E4" s="20">
        <f>1/3</f>
        <v/>
      </c>
      <c r="F4">
        <f>SUM(C4:E4)</f>
        <v/>
      </c>
    </row>
    <row r="5">
      <c r="A5" t="inlineStr">
        <is>
          <t>AI Lead</t>
        </is>
      </c>
      <c r="B5" t="inlineStr">
        <is>
          <t>M28-M30</t>
        </is>
      </c>
      <c r="C5" s="20" t="n">
        <v>0</v>
      </c>
      <c r="D5" s="20" t="n">
        <v>0</v>
      </c>
      <c r="E5" s="20" t="n">
        <v>1</v>
      </c>
      <c r="F5">
        <f>SUM(C5:E5)</f>
        <v/>
      </c>
    </row>
    <row r="6">
      <c r="A6" t="inlineStr">
        <is>
          <t>AI Senior Engineer</t>
        </is>
      </c>
      <c r="B6" t="inlineStr">
        <is>
          <t>M19-M21</t>
        </is>
      </c>
      <c r="C6" s="20" t="n">
        <v>0.4</v>
      </c>
      <c r="D6" s="20" t="n">
        <v>0.6</v>
      </c>
      <c r="E6" s="20" t="n">
        <v>0</v>
      </c>
      <c r="F6">
        <f>SUM(C6:E6)</f>
        <v/>
      </c>
    </row>
    <row r="7">
      <c r="A7" t="inlineStr">
        <is>
          <t>AI Senior Engineer</t>
        </is>
      </c>
      <c r="B7" t="inlineStr">
        <is>
          <t>M22-M27</t>
        </is>
      </c>
      <c r="C7" s="20">
        <f>1/3</f>
        <v/>
      </c>
      <c r="D7" s="20">
        <f>1/3</f>
        <v/>
      </c>
      <c r="E7" s="20">
        <f>1/3</f>
        <v/>
      </c>
      <c r="F7">
        <f>SUM(C7:E7)</f>
        <v/>
      </c>
    </row>
    <row r="8">
      <c r="A8" t="inlineStr">
        <is>
          <t>AI Senior Engineer</t>
        </is>
      </c>
      <c r="B8" t="inlineStr">
        <is>
          <t>M28-M30</t>
        </is>
      </c>
      <c r="C8" s="20" t="n">
        <v>0</v>
      </c>
      <c r="D8" s="20" t="n">
        <v>0</v>
      </c>
      <c r="E8" s="20" t="n">
        <v>1</v>
      </c>
      <c r="F8">
        <f>SUM(C8:E8)</f>
        <v/>
      </c>
    </row>
    <row r="9">
      <c r="A9" t="inlineStr">
        <is>
          <t>Cybersecurity / AI Act Specialist</t>
        </is>
      </c>
      <c r="B9" t="inlineStr">
        <is>
          <t>M19-M21</t>
        </is>
      </c>
      <c r="C9" s="20" t="n">
        <v>0.4</v>
      </c>
      <c r="D9" s="20" t="n">
        <v>0.6</v>
      </c>
      <c r="E9" s="20" t="n">
        <v>0</v>
      </c>
      <c r="F9">
        <f>SUM(C9:E9)</f>
        <v/>
      </c>
    </row>
    <row r="10">
      <c r="A10" t="inlineStr">
        <is>
          <t>Cybersecurity / AI Act Specialist</t>
        </is>
      </c>
      <c r="B10" t="inlineStr">
        <is>
          <t>M22-M27</t>
        </is>
      </c>
      <c r="C10" s="20" t="n">
        <v>0.2</v>
      </c>
      <c r="D10" s="20" t="n">
        <v>0.4</v>
      </c>
      <c r="E10" s="20" t="n">
        <v>0.4</v>
      </c>
      <c r="F10">
        <f>SUM(C10:E10)</f>
        <v/>
      </c>
    </row>
    <row r="11">
      <c r="A11" t="inlineStr">
        <is>
          <t>Cybersecurity / AI Act Specialist</t>
        </is>
      </c>
      <c r="B11" t="inlineStr">
        <is>
          <t>M28-M30</t>
        </is>
      </c>
      <c r="C11" s="20" t="n">
        <v>0</v>
      </c>
      <c r="D11" s="20" t="n">
        <v>0</v>
      </c>
      <c r="E11" s="20" t="n">
        <v>1</v>
      </c>
      <c r="F11">
        <f>SUM(C11:E11)</f>
        <v/>
      </c>
    </row>
    <row r="12">
      <c r="A12" t="inlineStr">
        <is>
          <t>IT Specialist</t>
        </is>
      </c>
      <c r="B12" t="inlineStr">
        <is>
          <t>M19-M21</t>
        </is>
      </c>
      <c r="C12" s="20" t="n">
        <v>0.4</v>
      </c>
      <c r="D12" s="20" t="n">
        <v>0.6</v>
      </c>
      <c r="E12" s="20" t="n">
        <v>0</v>
      </c>
      <c r="F12">
        <f>SUM(C12:E12)</f>
        <v/>
      </c>
    </row>
    <row r="13">
      <c r="A13" t="inlineStr">
        <is>
          <t>IT Specialist</t>
        </is>
      </c>
      <c r="B13" t="inlineStr">
        <is>
          <t>M22-M27</t>
        </is>
      </c>
      <c r="C13" s="20">
        <f>1/3</f>
        <v/>
      </c>
      <c r="D13" s="20">
        <f>1/3</f>
        <v/>
      </c>
      <c r="E13" s="20">
        <f>1/3</f>
        <v/>
      </c>
      <c r="F13">
        <f>SUM(C13:E13)</f>
        <v/>
      </c>
    </row>
    <row r="14">
      <c r="A14" t="inlineStr">
        <is>
          <t>IT Specialist</t>
        </is>
      </c>
      <c r="B14" t="inlineStr">
        <is>
          <t>M28-M30</t>
        </is>
      </c>
      <c r="C14" s="20" t="n">
        <v>0</v>
      </c>
      <c r="D14" s="20" t="n">
        <v>0</v>
      </c>
      <c r="E14" s="20" t="n">
        <v>1</v>
      </c>
      <c r="F14">
        <f>SUM(C14:E14)</f>
        <v/>
      </c>
    </row>
    <row r="15">
      <c r="A15" t="inlineStr">
        <is>
          <t>IoT Specialist</t>
        </is>
      </c>
      <c r="B15" t="inlineStr">
        <is>
          <t>M19-M21</t>
        </is>
      </c>
      <c r="C15" s="20" t="n">
        <v>0.4</v>
      </c>
      <c r="D15" s="20" t="n">
        <v>0.6</v>
      </c>
      <c r="E15" s="20" t="n">
        <v>0</v>
      </c>
      <c r="F15">
        <f>SUM(C15:E15)</f>
        <v/>
      </c>
    </row>
    <row r="16">
      <c r="A16" t="inlineStr">
        <is>
          <t>IoT Specialist</t>
        </is>
      </c>
      <c r="B16" t="inlineStr">
        <is>
          <t>M22-M27</t>
        </is>
      </c>
      <c r="C16" s="20" t="n">
        <v>0.2</v>
      </c>
      <c r="D16" s="20" t="n">
        <v>0.4</v>
      </c>
      <c r="E16" s="20" t="n">
        <v>0.4</v>
      </c>
      <c r="F16">
        <f>SUM(C16:E16)</f>
        <v/>
      </c>
    </row>
    <row r="17">
      <c r="A17" t="inlineStr">
        <is>
          <t>IoT Specialist</t>
        </is>
      </c>
      <c r="B17" t="inlineStr">
        <is>
          <t>M28-M30</t>
        </is>
      </c>
      <c r="C17" s="20" t="n">
        <v>0</v>
      </c>
      <c r="D17" s="20" t="n">
        <v>0</v>
      </c>
      <c r="E17" s="20" t="n">
        <v>1</v>
      </c>
      <c r="F17">
        <f>SUM(C17:E17)</f>
        <v/>
      </c>
    </row>
    <row r="18">
      <c r="A18" t="inlineStr">
        <is>
          <t>Specjalista ds. logistyki TSL</t>
        </is>
      </c>
      <c r="B18" t="inlineStr">
        <is>
          <t>M19-M21</t>
        </is>
      </c>
      <c r="C18" s="20" t="n">
        <v>0.4</v>
      </c>
      <c r="D18" s="20" t="n">
        <v>0.6</v>
      </c>
      <c r="E18" s="20" t="n">
        <v>0</v>
      </c>
      <c r="F18">
        <f>SUM(C18:E18)</f>
        <v/>
      </c>
    </row>
    <row r="19">
      <c r="A19" t="inlineStr">
        <is>
          <t>Specjalista ds. logistyki TSL</t>
        </is>
      </c>
      <c r="B19" t="inlineStr">
        <is>
          <t>M22-M27</t>
        </is>
      </c>
      <c r="C19" s="20" t="n">
        <v>0.2</v>
      </c>
      <c r="D19" s="20" t="n">
        <v>0.3</v>
      </c>
      <c r="E19" s="20" t="n">
        <v>0.5</v>
      </c>
      <c r="F19">
        <f>SUM(C19:E19)</f>
        <v/>
      </c>
    </row>
    <row r="20">
      <c r="A20" t="inlineStr">
        <is>
          <t>Specjalista ds. logistyki TSL</t>
        </is>
      </c>
      <c r="B20" t="inlineStr">
        <is>
          <t>M28-M30</t>
        </is>
      </c>
      <c r="C20" s="20" t="n">
        <v>0</v>
      </c>
      <c r="D20" s="20" t="n">
        <v>0</v>
      </c>
      <c r="E20" s="20" t="n">
        <v>1</v>
      </c>
      <c r="F20">
        <f>SUM(C20:E20)</f>
        <v/>
      </c>
    </row>
    <row r="22">
      <c r="A22" s="15" t="inlineStr">
        <is>
          <t>Stanowisko</t>
        </is>
      </c>
      <c r="B22" s="15" t="inlineStr">
        <is>
          <t>Zadanie</t>
        </is>
      </c>
      <c r="C22" s="15" t="inlineStr">
        <is>
          <t>Etat</t>
        </is>
      </c>
      <c r="D22" s="15" t="inlineStr">
        <is>
          <t>M19</t>
        </is>
      </c>
      <c r="E22" s="15" t="inlineStr">
        <is>
          <t>M20</t>
        </is>
      </c>
      <c r="F22" s="15" t="inlineStr">
        <is>
          <t>M21</t>
        </is>
      </c>
      <c r="G22" s="15" t="inlineStr">
        <is>
          <t>M22</t>
        </is>
      </c>
      <c r="H22" s="15" t="inlineStr">
        <is>
          <t>M23</t>
        </is>
      </c>
      <c r="I22" s="15" t="inlineStr">
        <is>
          <t>M24</t>
        </is>
      </c>
      <c r="J22" s="15" t="inlineStr">
        <is>
          <t>M25</t>
        </is>
      </c>
      <c r="K22" s="15" t="inlineStr">
        <is>
          <t>M26</t>
        </is>
      </c>
      <c r="L22" s="15" t="inlineStr">
        <is>
          <t>M27</t>
        </is>
      </c>
      <c r="M22" s="15" t="inlineStr">
        <is>
          <t>M28</t>
        </is>
      </c>
      <c r="N22" s="15" t="inlineStr">
        <is>
          <t>M29</t>
        </is>
      </c>
      <c r="O22" s="15" t="inlineStr">
        <is>
          <t>M30</t>
        </is>
      </c>
      <c r="P22" s="15" t="inlineStr">
        <is>
          <t>Etatomiesiące</t>
        </is>
      </c>
      <c r="Q22" s="15" t="inlineStr">
        <is>
          <t>Stawka brutto/mc</t>
        </is>
      </c>
      <c r="R22" s="15" t="inlineStr">
        <is>
          <t>Koszt zł</t>
        </is>
      </c>
    </row>
    <row r="23">
      <c r="A23" t="inlineStr">
        <is>
          <t>AI Lead</t>
        </is>
      </c>
      <c r="B23" t="inlineStr">
        <is>
          <t>Z6</t>
        </is>
      </c>
      <c r="C23" t="n">
        <v>0.75</v>
      </c>
      <c r="D23">
        <f>$C23*$C$3</f>
        <v/>
      </c>
      <c r="E23">
        <f>$C23*$C$3</f>
        <v/>
      </c>
      <c r="F23">
        <f>$C23*$C$3</f>
        <v/>
      </c>
      <c r="G23">
        <f>$C23*$C$4</f>
        <v/>
      </c>
      <c r="H23">
        <f>$C23*$C$4</f>
        <v/>
      </c>
      <c r="I23">
        <f>$C23*$C$4</f>
        <v/>
      </c>
      <c r="J23">
        <f>$C23*$C$4</f>
        <v/>
      </c>
      <c r="K23">
        <f>$C23*$C$4</f>
        <v/>
      </c>
      <c r="L23">
        <f>$C23*$C$4</f>
        <v/>
      </c>
      <c r="M23">
        <f>$C23*$C$5</f>
        <v/>
      </c>
      <c r="N23">
        <f>$C23*$C$5</f>
        <v/>
      </c>
      <c r="O23">
        <f>$C23*$C$5</f>
        <v/>
      </c>
      <c r="P23">
        <f>SUM(D23:O23)</f>
        <v/>
      </c>
      <c r="Q23" t="n">
        <v>23000</v>
      </c>
      <c r="R23">
        <f>ROUND(Q23*1.205*P23,2)</f>
        <v/>
      </c>
    </row>
    <row r="24">
      <c r="A24" t="inlineStr">
        <is>
          <t>AI Lead</t>
        </is>
      </c>
      <c r="B24" t="inlineStr">
        <is>
          <t>Z7</t>
        </is>
      </c>
      <c r="C24" t="n">
        <v>0.75</v>
      </c>
      <c r="D24">
        <f>$C24*$D$3</f>
        <v/>
      </c>
      <c r="E24">
        <f>$C24*$D$3</f>
        <v/>
      </c>
      <c r="F24">
        <f>$C24*$D$3</f>
        <v/>
      </c>
      <c r="G24">
        <f>$C24*$D$4</f>
        <v/>
      </c>
      <c r="H24">
        <f>$C24*$D$4</f>
        <v/>
      </c>
      <c r="I24">
        <f>$C24*$D$4</f>
        <v/>
      </c>
      <c r="J24">
        <f>$C24*$D$4</f>
        <v/>
      </c>
      <c r="K24">
        <f>$C24*$D$4</f>
        <v/>
      </c>
      <c r="L24">
        <f>$C24*$D$4</f>
        <v/>
      </c>
      <c r="M24">
        <f>$C24*$D$5</f>
        <v/>
      </c>
      <c r="N24">
        <f>$C24*$D$5</f>
        <v/>
      </c>
      <c r="O24">
        <f>$C24*$D$5</f>
        <v/>
      </c>
      <c r="P24">
        <f>SUM(D24:O24)</f>
        <v/>
      </c>
      <c r="Q24" t="n">
        <v>23000</v>
      </c>
      <c r="R24">
        <f>ROUND(Q24*1.205*P24,2)</f>
        <v/>
      </c>
    </row>
    <row r="25">
      <c r="A25" t="inlineStr">
        <is>
          <t>AI Lead</t>
        </is>
      </c>
      <c r="B25" t="inlineStr">
        <is>
          <t>Z9</t>
        </is>
      </c>
      <c r="C25" t="n">
        <v>0.75</v>
      </c>
      <c r="D25">
        <f>$C25*$E$3</f>
        <v/>
      </c>
      <c r="E25">
        <f>$C25*$E$3</f>
        <v/>
      </c>
      <c r="F25">
        <f>$C25*$E$3</f>
        <v/>
      </c>
      <c r="G25">
        <f>$C25*$E$4</f>
        <v/>
      </c>
      <c r="H25">
        <f>$C25*$E$4</f>
        <v/>
      </c>
      <c r="I25">
        <f>$C25*$E$4</f>
        <v/>
      </c>
      <c r="J25">
        <f>$C25*$E$4</f>
        <v/>
      </c>
      <c r="K25">
        <f>$C25*$E$4</f>
        <v/>
      </c>
      <c r="L25">
        <f>$C25*$E$4</f>
        <v/>
      </c>
      <c r="M25">
        <f>$C25*$E$5</f>
        <v/>
      </c>
      <c r="N25">
        <f>$C25*$E$5</f>
        <v/>
      </c>
      <c r="O25">
        <f>$C25*$E$5</f>
        <v/>
      </c>
      <c r="P25">
        <f>SUM(D25:O25)</f>
        <v/>
      </c>
      <c r="Q25" t="n">
        <v>23000</v>
      </c>
      <c r="R25">
        <f>ROUND(Q23*1.205*C23*12,2)-R23-R24</f>
        <v/>
      </c>
    </row>
    <row r="26">
      <c r="A26" s="17" t="inlineStr">
        <is>
          <t>kontrola: suma miesięczna - etat (AI Lead)</t>
        </is>
      </c>
      <c r="B26" s="17" t="inlineStr"/>
      <c r="C26" s="17" t="inlineStr"/>
      <c r="D26" s="17">
        <f>ROUND(D23+D24+D25-$C$23,6)</f>
        <v/>
      </c>
      <c r="E26" s="17">
        <f>ROUND(E23+E24+E25-$C$23,6)</f>
        <v/>
      </c>
      <c r="F26" s="17">
        <f>ROUND(F23+F24+F25-$C$23,6)</f>
        <v/>
      </c>
      <c r="G26" s="17">
        <f>ROUND(G23+G24+G25-$C$23,6)</f>
        <v/>
      </c>
      <c r="H26" s="17">
        <f>ROUND(H23+H24+H25-$C$23,6)</f>
        <v/>
      </c>
      <c r="I26" s="17">
        <f>ROUND(I23+I24+I25-$C$23,6)</f>
        <v/>
      </c>
      <c r="J26" s="17">
        <f>ROUND(J23+J24+J25-$C$23,6)</f>
        <v/>
      </c>
      <c r="K26" s="17">
        <f>ROUND(K23+K24+K25-$C$23,6)</f>
        <v/>
      </c>
      <c r="L26" s="17">
        <f>ROUND(L23+L24+L25-$C$23,6)</f>
        <v/>
      </c>
      <c r="M26" s="17">
        <f>ROUND(M23+M24+M25-$C$23,6)</f>
        <v/>
      </c>
      <c r="N26" s="17">
        <f>ROUND(N23+N24+N25-$C$23,6)</f>
        <v/>
      </c>
      <c r="O26" s="17">
        <f>ROUND(O23+O24+O25-$C$23,6)</f>
        <v/>
      </c>
      <c r="P26" s="17">
        <f>ROUND(P23+P24+P25-12*C23,6)</f>
        <v/>
      </c>
      <c r="Q26" s="17" t="inlineStr"/>
      <c r="R26" s="17">
        <f>R23+R24+R25</f>
        <v/>
      </c>
    </row>
    <row r="27">
      <c r="A27" t="inlineStr">
        <is>
          <t>AI Senior Engineer</t>
        </is>
      </c>
      <c r="B27" t="inlineStr">
        <is>
          <t>Z6</t>
        </is>
      </c>
      <c r="C27" t="n">
        <v>0.75</v>
      </c>
      <c r="D27">
        <f>$C27*$C$6</f>
        <v/>
      </c>
      <c r="E27">
        <f>$C27*$C$6</f>
        <v/>
      </c>
      <c r="F27">
        <f>$C27*$C$6</f>
        <v/>
      </c>
      <c r="G27">
        <f>$C27*$C$7</f>
        <v/>
      </c>
      <c r="H27">
        <f>$C27*$C$7</f>
        <v/>
      </c>
      <c r="I27">
        <f>$C27*$C$7</f>
        <v/>
      </c>
      <c r="J27">
        <f>$C27*$C$7</f>
        <v/>
      </c>
      <c r="K27">
        <f>$C27*$C$7</f>
        <v/>
      </c>
      <c r="L27">
        <f>$C27*$C$7</f>
        <v/>
      </c>
      <c r="M27">
        <f>$C27*$C$8</f>
        <v/>
      </c>
      <c r="N27">
        <f>$C27*$C$8</f>
        <v/>
      </c>
      <c r="O27">
        <f>$C27*$C$8</f>
        <v/>
      </c>
      <c r="P27">
        <f>SUM(D27:O27)</f>
        <v/>
      </c>
      <c r="Q27" t="n">
        <v>16500</v>
      </c>
      <c r="R27">
        <f>ROUND(Q27*1.205*P27,2)</f>
        <v/>
      </c>
    </row>
    <row r="28">
      <c r="A28" t="inlineStr">
        <is>
          <t>AI Senior Engineer</t>
        </is>
      </c>
      <c r="B28" t="inlineStr">
        <is>
          <t>Z7</t>
        </is>
      </c>
      <c r="C28" t="n">
        <v>0.75</v>
      </c>
      <c r="D28">
        <f>$C28*$D$6</f>
        <v/>
      </c>
      <c r="E28">
        <f>$C28*$D$6</f>
        <v/>
      </c>
      <c r="F28">
        <f>$C28*$D$6</f>
        <v/>
      </c>
      <c r="G28">
        <f>$C28*$D$7</f>
        <v/>
      </c>
      <c r="H28">
        <f>$C28*$D$7</f>
        <v/>
      </c>
      <c r="I28">
        <f>$C28*$D$7</f>
        <v/>
      </c>
      <c r="J28">
        <f>$C28*$D$7</f>
        <v/>
      </c>
      <c r="K28">
        <f>$C28*$D$7</f>
        <v/>
      </c>
      <c r="L28">
        <f>$C28*$D$7</f>
        <v/>
      </c>
      <c r="M28">
        <f>$C28*$D$8</f>
        <v/>
      </c>
      <c r="N28">
        <f>$C28*$D$8</f>
        <v/>
      </c>
      <c r="O28">
        <f>$C28*$D$8</f>
        <v/>
      </c>
      <c r="P28">
        <f>SUM(D28:O28)</f>
        <v/>
      </c>
      <c r="Q28" t="n">
        <v>16500</v>
      </c>
      <c r="R28">
        <f>ROUND(Q28*1.205*P28,2)</f>
        <v/>
      </c>
    </row>
    <row r="29">
      <c r="A29" t="inlineStr">
        <is>
          <t>AI Senior Engineer</t>
        </is>
      </c>
      <c r="B29" t="inlineStr">
        <is>
          <t>Z9</t>
        </is>
      </c>
      <c r="C29" t="n">
        <v>0.75</v>
      </c>
      <c r="D29">
        <f>$C29*$E$6</f>
        <v/>
      </c>
      <c r="E29">
        <f>$C29*$E$6</f>
        <v/>
      </c>
      <c r="F29">
        <f>$C29*$E$6</f>
        <v/>
      </c>
      <c r="G29">
        <f>$C29*$E$7</f>
        <v/>
      </c>
      <c r="H29">
        <f>$C29*$E$7</f>
        <v/>
      </c>
      <c r="I29">
        <f>$C29*$E$7</f>
        <v/>
      </c>
      <c r="J29">
        <f>$C29*$E$7</f>
        <v/>
      </c>
      <c r="K29">
        <f>$C29*$E$7</f>
        <v/>
      </c>
      <c r="L29">
        <f>$C29*$E$7</f>
        <v/>
      </c>
      <c r="M29">
        <f>$C29*$E$8</f>
        <v/>
      </c>
      <c r="N29">
        <f>$C29*$E$8</f>
        <v/>
      </c>
      <c r="O29">
        <f>$C29*$E$8</f>
        <v/>
      </c>
      <c r="P29">
        <f>SUM(D29:O29)</f>
        <v/>
      </c>
      <c r="Q29" t="n">
        <v>16500</v>
      </c>
      <c r="R29">
        <f>ROUND(Q27*1.205*C27*12,2)-R27-R28</f>
        <v/>
      </c>
    </row>
    <row r="30">
      <c r="A30" s="17" t="inlineStr">
        <is>
          <t>kontrola: suma miesięczna - etat (AI Senior Engineer)</t>
        </is>
      </c>
      <c r="B30" s="17" t="inlineStr"/>
      <c r="C30" s="17" t="inlineStr"/>
      <c r="D30" s="17">
        <f>ROUND(D27+D28+D29-$C$27,6)</f>
        <v/>
      </c>
      <c r="E30" s="17">
        <f>ROUND(E27+E28+E29-$C$27,6)</f>
        <v/>
      </c>
      <c r="F30" s="17">
        <f>ROUND(F27+F28+F29-$C$27,6)</f>
        <v/>
      </c>
      <c r="G30" s="17">
        <f>ROUND(G27+G28+G29-$C$27,6)</f>
        <v/>
      </c>
      <c r="H30" s="17">
        <f>ROUND(H27+H28+H29-$C$27,6)</f>
        <v/>
      </c>
      <c r="I30" s="17">
        <f>ROUND(I27+I28+I29-$C$27,6)</f>
        <v/>
      </c>
      <c r="J30" s="17">
        <f>ROUND(J27+J28+J29-$C$27,6)</f>
        <v/>
      </c>
      <c r="K30" s="17">
        <f>ROUND(K27+K28+K29-$C$27,6)</f>
        <v/>
      </c>
      <c r="L30" s="17">
        <f>ROUND(L27+L28+L29-$C$27,6)</f>
        <v/>
      </c>
      <c r="M30" s="17">
        <f>ROUND(M27+M28+M29-$C$27,6)</f>
        <v/>
      </c>
      <c r="N30" s="17">
        <f>ROUND(N27+N28+N29-$C$27,6)</f>
        <v/>
      </c>
      <c r="O30" s="17">
        <f>ROUND(O27+O28+O29-$C$27,6)</f>
        <v/>
      </c>
      <c r="P30" s="17">
        <f>ROUND(P27+P28+P29-12*C27,6)</f>
        <v/>
      </c>
      <c r="Q30" s="17" t="inlineStr"/>
      <c r="R30" s="17">
        <f>R27+R28+R29</f>
        <v/>
      </c>
    </row>
    <row r="31">
      <c r="A31" t="inlineStr">
        <is>
          <t>Cybersecurity / AI Act Specialist</t>
        </is>
      </c>
      <c r="B31" t="inlineStr">
        <is>
          <t>Z6</t>
        </is>
      </c>
      <c r="C31" t="n">
        <v>0.25</v>
      </c>
      <c r="D31">
        <f>$C31*$C$9</f>
        <v/>
      </c>
      <c r="E31">
        <f>$C31*$C$9</f>
        <v/>
      </c>
      <c r="F31">
        <f>$C31*$C$9</f>
        <v/>
      </c>
      <c r="G31">
        <f>$C31*$C$10</f>
        <v/>
      </c>
      <c r="H31">
        <f>$C31*$C$10</f>
        <v/>
      </c>
      <c r="I31">
        <f>$C31*$C$10</f>
        <v/>
      </c>
      <c r="J31">
        <f>$C31*$C$10</f>
        <v/>
      </c>
      <c r="K31">
        <f>$C31*$C$10</f>
        <v/>
      </c>
      <c r="L31">
        <f>$C31*$C$10</f>
        <v/>
      </c>
      <c r="M31">
        <f>$C31*$C$11</f>
        <v/>
      </c>
      <c r="N31">
        <f>$C31*$C$11</f>
        <v/>
      </c>
      <c r="O31">
        <f>$C31*$C$11</f>
        <v/>
      </c>
      <c r="P31">
        <f>SUM(D31:O31)</f>
        <v/>
      </c>
      <c r="Q31" t="n">
        <v>21000</v>
      </c>
      <c r="R31">
        <f>ROUND(Q31*1.205*P31,2)</f>
        <v/>
      </c>
    </row>
    <row r="32">
      <c r="A32" t="inlineStr">
        <is>
          <t>Cybersecurity / AI Act Specialist</t>
        </is>
      </c>
      <c r="B32" t="inlineStr">
        <is>
          <t>Z7</t>
        </is>
      </c>
      <c r="C32" t="n">
        <v>0.25</v>
      </c>
      <c r="D32">
        <f>$C32*$D$9</f>
        <v/>
      </c>
      <c r="E32">
        <f>$C32*$D$9</f>
        <v/>
      </c>
      <c r="F32">
        <f>$C32*$D$9</f>
        <v/>
      </c>
      <c r="G32">
        <f>$C32*$D$10</f>
        <v/>
      </c>
      <c r="H32">
        <f>$C32*$D$10</f>
        <v/>
      </c>
      <c r="I32">
        <f>$C32*$D$10</f>
        <v/>
      </c>
      <c r="J32">
        <f>$C32*$D$10</f>
        <v/>
      </c>
      <c r="K32">
        <f>$C32*$D$10</f>
        <v/>
      </c>
      <c r="L32">
        <f>$C32*$D$10</f>
        <v/>
      </c>
      <c r="M32">
        <f>$C32*$D$11</f>
        <v/>
      </c>
      <c r="N32">
        <f>$C32*$D$11</f>
        <v/>
      </c>
      <c r="O32">
        <f>$C32*$D$11</f>
        <v/>
      </c>
      <c r="P32">
        <f>SUM(D32:O32)</f>
        <v/>
      </c>
      <c r="Q32" t="n">
        <v>21000</v>
      </c>
      <c r="R32">
        <f>ROUND(Q32*1.205*P32,2)</f>
        <v/>
      </c>
    </row>
    <row r="33">
      <c r="A33" t="inlineStr">
        <is>
          <t>Cybersecurity / AI Act Specialist</t>
        </is>
      </c>
      <c r="B33" t="inlineStr">
        <is>
          <t>Z9</t>
        </is>
      </c>
      <c r="C33" t="n">
        <v>0.25</v>
      </c>
      <c r="D33">
        <f>$C33*$E$9</f>
        <v/>
      </c>
      <c r="E33">
        <f>$C33*$E$9</f>
        <v/>
      </c>
      <c r="F33">
        <f>$C33*$E$9</f>
        <v/>
      </c>
      <c r="G33">
        <f>$C33*$E$10</f>
        <v/>
      </c>
      <c r="H33">
        <f>$C33*$E$10</f>
        <v/>
      </c>
      <c r="I33">
        <f>$C33*$E$10</f>
        <v/>
      </c>
      <c r="J33">
        <f>$C33*$E$10</f>
        <v/>
      </c>
      <c r="K33">
        <f>$C33*$E$10</f>
        <v/>
      </c>
      <c r="L33">
        <f>$C33*$E$10</f>
        <v/>
      </c>
      <c r="M33">
        <f>$C33*$E$11</f>
        <v/>
      </c>
      <c r="N33">
        <f>$C33*$E$11</f>
        <v/>
      </c>
      <c r="O33">
        <f>$C33*$E$11</f>
        <v/>
      </c>
      <c r="P33">
        <f>SUM(D33:O33)</f>
        <v/>
      </c>
      <c r="Q33" t="n">
        <v>21000</v>
      </c>
      <c r="R33">
        <f>ROUND(Q31*1.205*C31*12,2)-R31-R32</f>
        <v/>
      </c>
    </row>
    <row r="34">
      <c r="A34" s="17" t="inlineStr">
        <is>
          <t>kontrola: suma miesięczna - etat (Cybersecurity / AI Act Specialist)</t>
        </is>
      </c>
      <c r="B34" s="17" t="inlineStr"/>
      <c r="C34" s="17" t="inlineStr"/>
      <c r="D34" s="17">
        <f>ROUND(D31+D32+D33-$C$31,6)</f>
        <v/>
      </c>
      <c r="E34" s="17">
        <f>ROUND(E31+E32+E33-$C$31,6)</f>
        <v/>
      </c>
      <c r="F34" s="17">
        <f>ROUND(F31+F32+F33-$C$31,6)</f>
        <v/>
      </c>
      <c r="G34" s="17">
        <f>ROUND(G31+G32+G33-$C$31,6)</f>
        <v/>
      </c>
      <c r="H34" s="17">
        <f>ROUND(H31+H32+H33-$C$31,6)</f>
        <v/>
      </c>
      <c r="I34" s="17">
        <f>ROUND(I31+I32+I33-$C$31,6)</f>
        <v/>
      </c>
      <c r="J34" s="17">
        <f>ROUND(J31+J32+J33-$C$31,6)</f>
        <v/>
      </c>
      <c r="K34" s="17">
        <f>ROUND(K31+K32+K33-$C$31,6)</f>
        <v/>
      </c>
      <c r="L34" s="17">
        <f>ROUND(L31+L32+L33-$C$31,6)</f>
        <v/>
      </c>
      <c r="M34" s="17">
        <f>ROUND(M31+M32+M33-$C$31,6)</f>
        <v/>
      </c>
      <c r="N34" s="17">
        <f>ROUND(N31+N32+N33-$C$31,6)</f>
        <v/>
      </c>
      <c r="O34" s="17">
        <f>ROUND(O31+O32+O33-$C$31,6)</f>
        <v/>
      </c>
      <c r="P34" s="17">
        <f>ROUND(P31+P32+P33-12*C31,6)</f>
        <v/>
      </c>
      <c r="Q34" s="17" t="inlineStr"/>
      <c r="R34" s="17">
        <f>R31+R32+R33</f>
        <v/>
      </c>
    </row>
    <row r="35">
      <c r="A35" t="inlineStr">
        <is>
          <t>IT Specialist</t>
        </is>
      </c>
      <c r="B35" t="inlineStr">
        <is>
          <t>Z6</t>
        </is>
      </c>
      <c r="C35" t="n">
        <v>1</v>
      </c>
      <c r="D35">
        <f>$C35*$C$12</f>
        <v/>
      </c>
      <c r="E35">
        <f>$C35*$C$12</f>
        <v/>
      </c>
      <c r="F35">
        <f>$C35*$C$12</f>
        <v/>
      </c>
      <c r="G35">
        <f>$C35*$C$13</f>
        <v/>
      </c>
      <c r="H35">
        <f>$C35*$C$13</f>
        <v/>
      </c>
      <c r="I35">
        <f>$C35*$C$13</f>
        <v/>
      </c>
      <c r="J35">
        <f>$C35*$C$13</f>
        <v/>
      </c>
      <c r="K35">
        <f>$C35*$C$13</f>
        <v/>
      </c>
      <c r="L35">
        <f>$C35*$C$13</f>
        <v/>
      </c>
      <c r="M35">
        <f>$C35*$C$14</f>
        <v/>
      </c>
      <c r="N35">
        <f>$C35*$C$14</f>
        <v/>
      </c>
      <c r="O35">
        <f>$C35*$C$14</f>
        <v/>
      </c>
      <c r="P35">
        <f>SUM(D35:O35)</f>
        <v/>
      </c>
      <c r="Q35" t="n">
        <v>19000</v>
      </c>
      <c r="R35">
        <f>ROUND(Q35*1.205*P35,2)</f>
        <v/>
      </c>
    </row>
    <row r="36">
      <c r="A36" t="inlineStr">
        <is>
          <t>IT Specialist</t>
        </is>
      </c>
      <c r="B36" t="inlineStr">
        <is>
          <t>Z7</t>
        </is>
      </c>
      <c r="C36" t="n">
        <v>1</v>
      </c>
      <c r="D36">
        <f>$C36*$D$12</f>
        <v/>
      </c>
      <c r="E36">
        <f>$C36*$D$12</f>
        <v/>
      </c>
      <c r="F36">
        <f>$C36*$D$12</f>
        <v/>
      </c>
      <c r="G36">
        <f>$C36*$D$13</f>
        <v/>
      </c>
      <c r="H36">
        <f>$C36*$D$13</f>
        <v/>
      </c>
      <c r="I36">
        <f>$C36*$D$13</f>
        <v/>
      </c>
      <c r="J36">
        <f>$C36*$D$13</f>
        <v/>
      </c>
      <c r="K36">
        <f>$C36*$D$13</f>
        <v/>
      </c>
      <c r="L36">
        <f>$C36*$D$13</f>
        <v/>
      </c>
      <c r="M36">
        <f>$C36*$D$14</f>
        <v/>
      </c>
      <c r="N36">
        <f>$C36*$D$14</f>
        <v/>
      </c>
      <c r="O36">
        <f>$C36*$D$14</f>
        <v/>
      </c>
      <c r="P36">
        <f>SUM(D36:O36)</f>
        <v/>
      </c>
      <c r="Q36" t="n">
        <v>19000</v>
      </c>
      <c r="R36">
        <f>ROUND(Q36*1.205*P36,2)</f>
        <v/>
      </c>
    </row>
    <row r="37">
      <c r="A37" t="inlineStr">
        <is>
          <t>IT Specialist</t>
        </is>
      </c>
      <c r="B37" t="inlineStr">
        <is>
          <t>Z9</t>
        </is>
      </c>
      <c r="C37" t="n">
        <v>1</v>
      </c>
      <c r="D37">
        <f>$C37*$E$12</f>
        <v/>
      </c>
      <c r="E37">
        <f>$C37*$E$12</f>
        <v/>
      </c>
      <c r="F37">
        <f>$C37*$E$12</f>
        <v/>
      </c>
      <c r="G37">
        <f>$C37*$E$13</f>
        <v/>
      </c>
      <c r="H37">
        <f>$C37*$E$13</f>
        <v/>
      </c>
      <c r="I37">
        <f>$C37*$E$13</f>
        <v/>
      </c>
      <c r="J37">
        <f>$C37*$E$13</f>
        <v/>
      </c>
      <c r="K37">
        <f>$C37*$E$13</f>
        <v/>
      </c>
      <c r="L37">
        <f>$C37*$E$13</f>
        <v/>
      </c>
      <c r="M37">
        <f>$C37*$E$14</f>
        <v/>
      </c>
      <c r="N37">
        <f>$C37*$E$14</f>
        <v/>
      </c>
      <c r="O37">
        <f>$C37*$E$14</f>
        <v/>
      </c>
      <c r="P37">
        <f>SUM(D37:O37)</f>
        <v/>
      </c>
      <c r="Q37" t="n">
        <v>19000</v>
      </c>
      <c r="R37">
        <f>ROUND(Q35*1.205*C35*12,2)-R35-R36</f>
        <v/>
      </c>
    </row>
    <row r="38">
      <c r="A38" s="17" t="inlineStr">
        <is>
          <t>kontrola: suma miesięczna - etat (IT Specialist)</t>
        </is>
      </c>
      <c r="B38" s="17" t="inlineStr"/>
      <c r="C38" s="17" t="inlineStr"/>
      <c r="D38" s="17">
        <f>ROUND(D35+D36+D37-$C$35,6)</f>
        <v/>
      </c>
      <c r="E38" s="17">
        <f>ROUND(E35+E36+E37-$C$35,6)</f>
        <v/>
      </c>
      <c r="F38" s="17">
        <f>ROUND(F35+F36+F37-$C$35,6)</f>
        <v/>
      </c>
      <c r="G38" s="17">
        <f>ROUND(G35+G36+G37-$C$35,6)</f>
        <v/>
      </c>
      <c r="H38" s="17">
        <f>ROUND(H35+H36+H37-$C$35,6)</f>
        <v/>
      </c>
      <c r="I38" s="17">
        <f>ROUND(I35+I36+I37-$C$35,6)</f>
        <v/>
      </c>
      <c r="J38" s="17">
        <f>ROUND(J35+J36+J37-$C$35,6)</f>
        <v/>
      </c>
      <c r="K38" s="17">
        <f>ROUND(K35+K36+K37-$C$35,6)</f>
        <v/>
      </c>
      <c r="L38" s="17">
        <f>ROUND(L35+L36+L37-$C$35,6)</f>
        <v/>
      </c>
      <c r="M38" s="17">
        <f>ROUND(M35+M36+M37-$C$35,6)</f>
        <v/>
      </c>
      <c r="N38" s="17">
        <f>ROUND(N35+N36+N37-$C$35,6)</f>
        <v/>
      </c>
      <c r="O38" s="17">
        <f>ROUND(O35+O36+O37-$C$35,6)</f>
        <v/>
      </c>
      <c r="P38" s="17">
        <f>ROUND(P35+P36+P37-12*C35,6)</f>
        <v/>
      </c>
      <c r="Q38" s="17" t="inlineStr"/>
      <c r="R38" s="17">
        <f>R35+R36+R37</f>
        <v/>
      </c>
    </row>
    <row r="39">
      <c r="A39" t="inlineStr">
        <is>
          <t>IoT Specialist</t>
        </is>
      </c>
      <c r="B39" t="inlineStr">
        <is>
          <t>Z6</t>
        </is>
      </c>
      <c r="C39" t="n">
        <v>0.5</v>
      </c>
      <c r="D39">
        <f>$C39*$C$15</f>
        <v/>
      </c>
      <c r="E39">
        <f>$C39*$C$15</f>
        <v/>
      </c>
      <c r="F39">
        <f>$C39*$C$15</f>
        <v/>
      </c>
      <c r="G39">
        <f>$C39*$C$16</f>
        <v/>
      </c>
      <c r="H39">
        <f>$C39*$C$16</f>
        <v/>
      </c>
      <c r="I39">
        <f>$C39*$C$16</f>
        <v/>
      </c>
      <c r="J39">
        <f>$C39*$C$16</f>
        <v/>
      </c>
      <c r="K39">
        <f>$C39*$C$16</f>
        <v/>
      </c>
      <c r="L39">
        <f>$C39*$C$16</f>
        <v/>
      </c>
      <c r="M39">
        <f>$C39*$C$17</f>
        <v/>
      </c>
      <c r="N39">
        <f>$C39*$C$17</f>
        <v/>
      </c>
      <c r="O39">
        <f>$C39*$C$17</f>
        <v/>
      </c>
      <c r="P39">
        <f>SUM(D39:O39)</f>
        <v/>
      </c>
      <c r="Q39" t="n">
        <v>15000</v>
      </c>
      <c r="R39">
        <f>ROUND(Q39*1.205*P39,2)</f>
        <v/>
      </c>
    </row>
    <row r="40">
      <c r="A40" t="inlineStr">
        <is>
          <t>IoT Specialist</t>
        </is>
      </c>
      <c r="B40" t="inlineStr">
        <is>
          <t>Z7</t>
        </is>
      </c>
      <c r="C40" t="n">
        <v>0.5</v>
      </c>
      <c r="D40">
        <f>$C40*$D$15</f>
        <v/>
      </c>
      <c r="E40">
        <f>$C40*$D$15</f>
        <v/>
      </c>
      <c r="F40">
        <f>$C40*$D$15</f>
        <v/>
      </c>
      <c r="G40">
        <f>$C40*$D$16</f>
        <v/>
      </c>
      <c r="H40">
        <f>$C40*$D$16</f>
        <v/>
      </c>
      <c r="I40">
        <f>$C40*$D$16</f>
        <v/>
      </c>
      <c r="J40">
        <f>$C40*$D$16</f>
        <v/>
      </c>
      <c r="K40">
        <f>$C40*$D$16</f>
        <v/>
      </c>
      <c r="L40">
        <f>$C40*$D$16</f>
        <v/>
      </c>
      <c r="M40">
        <f>$C40*$D$17</f>
        <v/>
      </c>
      <c r="N40">
        <f>$C40*$D$17</f>
        <v/>
      </c>
      <c r="O40">
        <f>$C40*$D$17</f>
        <v/>
      </c>
      <c r="P40">
        <f>SUM(D40:O40)</f>
        <v/>
      </c>
      <c r="Q40" t="n">
        <v>15000</v>
      </c>
      <c r="R40">
        <f>ROUND(Q40*1.205*P40,2)</f>
        <v/>
      </c>
    </row>
    <row r="41">
      <c r="A41" t="inlineStr">
        <is>
          <t>IoT Specialist</t>
        </is>
      </c>
      <c r="B41" t="inlineStr">
        <is>
          <t>Z9</t>
        </is>
      </c>
      <c r="C41" t="n">
        <v>0.5</v>
      </c>
      <c r="D41">
        <f>$C41*$E$15</f>
        <v/>
      </c>
      <c r="E41">
        <f>$C41*$E$15</f>
        <v/>
      </c>
      <c r="F41">
        <f>$C41*$E$15</f>
        <v/>
      </c>
      <c r="G41">
        <f>$C41*$E$16</f>
        <v/>
      </c>
      <c r="H41">
        <f>$C41*$E$16</f>
        <v/>
      </c>
      <c r="I41">
        <f>$C41*$E$16</f>
        <v/>
      </c>
      <c r="J41">
        <f>$C41*$E$16</f>
        <v/>
      </c>
      <c r="K41">
        <f>$C41*$E$16</f>
        <v/>
      </c>
      <c r="L41">
        <f>$C41*$E$16</f>
        <v/>
      </c>
      <c r="M41">
        <f>$C41*$E$17</f>
        <v/>
      </c>
      <c r="N41">
        <f>$C41*$E$17</f>
        <v/>
      </c>
      <c r="O41">
        <f>$C41*$E$17</f>
        <v/>
      </c>
      <c r="P41">
        <f>SUM(D41:O41)</f>
        <v/>
      </c>
      <c r="Q41" t="n">
        <v>15000</v>
      </c>
      <c r="R41">
        <f>ROUND(Q39*1.205*C39*12,2)-R39-R40</f>
        <v/>
      </c>
    </row>
    <row r="42">
      <c r="A42" s="17" t="inlineStr">
        <is>
          <t>kontrola: suma miesięczna - etat (IoT Specialist)</t>
        </is>
      </c>
      <c r="B42" s="17" t="inlineStr"/>
      <c r="C42" s="17" t="inlineStr"/>
      <c r="D42" s="17">
        <f>ROUND(D39+D40+D41-$C$39,6)</f>
        <v/>
      </c>
      <c r="E42" s="17">
        <f>ROUND(E39+E40+E41-$C$39,6)</f>
        <v/>
      </c>
      <c r="F42" s="17">
        <f>ROUND(F39+F40+F41-$C$39,6)</f>
        <v/>
      </c>
      <c r="G42" s="17">
        <f>ROUND(G39+G40+G41-$C$39,6)</f>
        <v/>
      </c>
      <c r="H42" s="17">
        <f>ROUND(H39+H40+H41-$C$39,6)</f>
        <v/>
      </c>
      <c r="I42" s="17">
        <f>ROUND(I39+I40+I41-$C$39,6)</f>
        <v/>
      </c>
      <c r="J42" s="17">
        <f>ROUND(J39+J40+J41-$C$39,6)</f>
        <v/>
      </c>
      <c r="K42" s="17">
        <f>ROUND(K39+K40+K41-$C$39,6)</f>
        <v/>
      </c>
      <c r="L42" s="17">
        <f>ROUND(L39+L40+L41-$C$39,6)</f>
        <v/>
      </c>
      <c r="M42" s="17">
        <f>ROUND(M39+M40+M41-$C$39,6)</f>
        <v/>
      </c>
      <c r="N42" s="17">
        <f>ROUND(N39+N40+N41-$C$39,6)</f>
        <v/>
      </c>
      <c r="O42" s="17">
        <f>ROUND(O39+O40+O41-$C$39,6)</f>
        <v/>
      </c>
      <c r="P42" s="17">
        <f>ROUND(P39+P40+P41-12*C39,6)</f>
        <v/>
      </c>
      <c r="Q42" s="17" t="inlineStr"/>
      <c r="R42" s="17">
        <f>R39+R40+R41</f>
        <v/>
      </c>
    </row>
    <row r="43">
      <c r="A43" t="inlineStr">
        <is>
          <t>Specjalista ds. logistyki TSL</t>
        </is>
      </c>
      <c r="B43" t="inlineStr">
        <is>
          <t>Z6</t>
        </is>
      </c>
      <c r="C43" t="n">
        <v>0.5</v>
      </c>
      <c r="D43">
        <f>$C43*$C$18</f>
        <v/>
      </c>
      <c r="E43">
        <f>$C43*$C$18</f>
        <v/>
      </c>
      <c r="F43">
        <f>$C43*$C$18</f>
        <v/>
      </c>
      <c r="G43">
        <f>$C43*$C$19</f>
        <v/>
      </c>
      <c r="H43">
        <f>$C43*$C$19</f>
        <v/>
      </c>
      <c r="I43">
        <f>$C43*$C$19</f>
        <v/>
      </c>
      <c r="J43">
        <f>$C43*$C$19</f>
        <v/>
      </c>
      <c r="K43">
        <f>$C43*$C$19</f>
        <v/>
      </c>
      <c r="L43">
        <f>$C43*$C$19</f>
        <v/>
      </c>
      <c r="M43">
        <f>$C43*$C$20</f>
        <v/>
      </c>
      <c r="N43">
        <f>$C43*$C$20</f>
        <v/>
      </c>
      <c r="O43">
        <f>$C43*$C$20</f>
        <v/>
      </c>
      <c r="P43">
        <f>SUM(D43:O43)</f>
        <v/>
      </c>
      <c r="Q43" t="n">
        <v>10000</v>
      </c>
      <c r="R43">
        <f>ROUND(Q43*1.205*P43,2)</f>
        <v/>
      </c>
    </row>
    <row r="44">
      <c r="A44" t="inlineStr">
        <is>
          <t>Specjalista ds. logistyki TSL</t>
        </is>
      </c>
      <c r="B44" t="inlineStr">
        <is>
          <t>Z7</t>
        </is>
      </c>
      <c r="C44" t="n">
        <v>0.5</v>
      </c>
      <c r="D44">
        <f>$C44*$D$18</f>
        <v/>
      </c>
      <c r="E44">
        <f>$C44*$D$18</f>
        <v/>
      </c>
      <c r="F44">
        <f>$C44*$D$18</f>
        <v/>
      </c>
      <c r="G44">
        <f>$C44*$D$19</f>
        <v/>
      </c>
      <c r="H44">
        <f>$C44*$D$19</f>
        <v/>
      </c>
      <c r="I44">
        <f>$C44*$D$19</f>
        <v/>
      </c>
      <c r="J44">
        <f>$C44*$D$19</f>
        <v/>
      </c>
      <c r="K44">
        <f>$C44*$D$19</f>
        <v/>
      </c>
      <c r="L44">
        <f>$C44*$D$19</f>
        <v/>
      </c>
      <c r="M44">
        <f>$C44*$D$20</f>
        <v/>
      </c>
      <c r="N44">
        <f>$C44*$D$20</f>
        <v/>
      </c>
      <c r="O44">
        <f>$C44*$D$20</f>
        <v/>
      </c>
      <c r="P44">
        <f>SUM(D44:O44)</f>
        <v/>
      </c>
      <c r="Q44" t="n">
        <v>10000</v>
      </c>
      <c r="R44">
        <f>ROUND(Q44*1.205*P44,2)</f>
        <v/>
      </c>
    </row>
    <row r="45">
      <c r="A45" t="inlineStr">
        <is>
          <t>Specjalista ds. logistyki TSL</t>
        </is>
      </c>
      <c r="B45" t="inlineStr">
        <is>
          <t>Z9</t>
        </is>
      </c>
      <c r="C45" t="n">
        <v>0.5</v>
      </c>
      <c r="D45">
        <f>$C45*$E$18</f>
        <v/>
      </c>
      <c r="E45">
        <f>$C45*$E$18</f>
        <v/>
      </c>
      <c r="F45">
        <f>$C45*$E$18</f>
        <v/>
      </c>
      <c r="G45">
        <f>$C45*$E$19</f>
        <v/>
      </c>
      <c r="H45">
        <f>$C45*$E$19</f>
        <v/>
      </c>
      <c r="I45">
        <f>$C45*$E$19</f>
        <v/>
      </c>
      <c r="J45">
        <f>$C45*$E$19</f>
        <v/>
      </c>
      <c r="K45">
        <f>$C45*$E$19</f>
        <v/>
      </c>
      <c r="L45">
        <f>$C45*$E$19</f>
        <v/>
      </c>
      <c r="M45">
        <f>$C45*$E$20</f>
        <v/>
      </c>
      <c r="N45">
        <f>$C45*$E$20</f>
        <v/>
      </c>
      <c r="O45">
        <f>$C45*$E$20</f>
        <v/>
      </c>
      <c r="P45">
        <f>SUM(D45:O45)</f>
        <v/>
      </c>
      <c r="Q45" t="n">
        <v>10000</v>
      </c>
      <c r="R45">
        <f>ROUND(Q43*1.205*C43*12,2)-R43-R44</f>
        <v/>
      </c>
    </row>
    <row r="46">
      <c r="A46" s="17" t="inlineStr">
        <is>
          <t>kontrola: suma miesięczna - etat (Specjalista ds. logistyki TSL)</t>
        </is>
      </c>
      <c r="B46" s="17" t="inlineStr"/>
      <c r="C46" s="17" t="inlineStr"/>
      <c r="D46" s="17">
        <f>ROUND(D43+D44+D45-$C$43,6)</f>
        <v/>
      </c>
      <c r="E46" s="17">
        <f>ROUND(E43+E44+E45-$C$43,6)</f>
        <v/>
      </c>
      <c r="F46" s="17">
        <f>ROUND(F43+F44+F45-$C$43,6)</f>
        <v/>
      </c>
      <c r="G46" s="17">
        <f>ROUND(G43+G44+G45-$C$43,6)</f>
        <v/>
      </c>
      <c r="H46" s="17">
        <f>ROUND(H43+H44+H45-$C$43,6)</f>
        <v/>
      </c>
      <c r="I46" s="17">
        <f>ROUND(I43+I44+I45-$C$43,6)</f>
        <v/>
      </c>
      <c r="J46" s="17">
        <f>ROUND(J43+J44+J45-$C$43,6)</f>
        <v/>
      </c>
      <c r="K46" s="17">
        <f>ROUND(K43+K44+K45-$C$43,6)</f>
        <v/>
      </c>
      <c r="L46" s="17">
        <f>ROUND(L43+L44+L45-$C$43,6)</f>
        <v/>
      </c>
      <c r="M46" s="17">
        <f>ROUND(M43+M44+M45-$C$43,6)</f>
        <v/>
      </c>
      <c r="N46" s="17">
        <f>ROUND(N43+N44+N45-$C$43,6)</f>
        <v/>
      </c>
      <c r="O46" s="17">
        <f>ROUND(O43+O44+O45-$C$43,6)</f>
        <v/>
      </c>
      <c r="P46" s="17">
        <f>ROUND(P43+P44+P45-12*C43,6)</f>
        <v/>
      </c>
      <c r="Q46" s="17" t="inlineStr"/>
      <c r="R46" s="17">
        <f>R43+R44+R45</f>
        <v/>
      </c>
    </row>
    <row r="47">
      <c r="A47" t="inlineStr">
        <is>
          <t>Backend/Full-Stack Developer</t>
        </is>
      </c>
      <c r="B47" t="inlineStr">
        <is>
          <t>Z6</t>
        </is>
      </c>
      <c r="C47" t="n">
        <v>1</v>
      </c>
      <c r="D47" t="n">
        <v>1</v>
      </c>
      <c r="E47" t="n">
        <v>1</v>
      </c>
      <c r="F47" t="n">
        <v>1</v>
      </c>
      <c r="G47" t="n">
        <v>1</v>
      </c>
      <c r="H47" t="n">
        <v>1</v>
      </c>
      <c r="I47" t="n">
        <v>1</v>
      </c>
      <c r="J47" t="n">
        <v>1</v>
      </c>
      <c r="K47" t="n">
        <v>1</v>
      </c>
      <c r="L47" t="n">
        <v>1</v>
      </c>
      <c r="M47" t="n">
        <v>0</v>
      </c>
      <c r="N47" t="n">
        <v>0</v>
      </c>
      <c r="O47" t="n">
        <v>0</v>
      </c>
      <c r="P47">
        <f>SUM(D47:O47)</f>
        <v/>
      </c>
      <c r="Q47" t="n">
        <v>18000</v>
      </c>
      <c r="R47">
        <f>ROUND(Q47*1.205*P47,2)</f>
        <v/>
      </c>
    </row>
    <row r="48">
      <c r="A48" t="inlineStr">
        <is>
          <t>Backend/Full-Stack Developer</t>
        </is>
      </c>
      <c r="B48" t="inlineStr">
        <is>
          <t>Z9</t>
        </is>
      </c>
      <c r="C48" t="n">
        <v>1</v>
      </c>
      <c r="D48" t="n">
        <v>0</v>
      </c>
      <c r="E48" t="n">
        <v>0</v>
      </c>
      <c r="F48" t="n">
        <v>0</v>
      </c>
      <c r="G48" t="n">
        <v>0</v>
      </c>
      <c r="H48" t="n">
        <v>0</v>
      </c>
      <c r="I48" t="n">
        <v>0</v>
      </c>
      <c r="J48" t="n">
        <v>0</v>
      </c>
      <c r="K48" t="n">
        <v>0</v>
      </c>
      <c r="L48" t="n">
        <v>0</v>
      </c>
      <c r="M48" t="n">
        <v>1</v>
      </c>
      <c r="N48" t="n">
        <v>1</v>
      </c>
      <c r="O48" t="n">
        <v>1</v>
      </c>
      <c r="P48">
        <f>SUM(D48:O48)</f>
        <v/>
      </c>
      <c r="Q48" t="n">
        <v>18000</v>
      </c>
      <c r="R48">
        <f>ROUND(Q48*1.205*P48,2)</f>
        <v/>
      </c>
    </row>
    <row r="49">
      <c r="A49" t="inlineStr">
        <is>
          <t>Razem personel Everest11 Z6</t>
        </is>
      </c>
      <c r="R49">
        <f>SUMIF(B23:B48,"Z6",R23:R48)</f>
        <v/>
      </c>
    </row>
    <row r="50">
      <c r="A50" t="inlineStr">
        <is>
          <t>Razem personel Everest11 Z7</t>
        </is>
      </c>
      <c r="R50">
        <f>SUMIF(B23:B48,"Z7",R23:R48)</f>
        <v/>
      </c>
    </row>
    <row r="51">
      <c r="A51" t="inlineStr">
        <is>
          <t>Razem personel Everest11 Z9</t>
        </is>
      </c>
      <c r="R51">
        <f>SUMIF(B23:B48,"Z9",R23:R48)</f>
        <v/>
      </c>
    </row>
    <row r="52">
      <c r="A52" t="inlineStr">
        <is>
          <t>Suma Z6+Z7+Z9</t>
        </is>
      </c>
      <c r="R52">
        <f>SUM(R49:R51)</f>
        <v/>
      </c>
    </row>
    <row r="53">
      <c r="A53" t="inlineStr">
        <is>
          <t>Stan dotychczasowy (6 stanowisk /3 + Backend Z6 12 mc)</t>
        </is>
      </c>
      <c r="R53">
        <f>959782.5+260280</f>
        <v/>
      </c>
    </row>
    <row r="54">
      <c r="A54" t="inlineStr">
        <is>
          <t>Różnica (powinna wynosić 0)</t>
        </is>
      </c>
      <c r="R54">
        <f>ROUND(R52-R53,2)</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44" customWidth="1" min="1" max="1"/>
    <col width="70" customWidth="1" min="2" max="2"/>
    <col width="36" customWidth="1" min="3" max="3"/>
    <col width="70" customWidth="1" min="4" max="4"/>
  </cols>
  <sheetData>
    <row r="1">
      <c r="A1" s="21" t="inlineStr">
        <is>
          <t>Dokument</t>
        </is>
      </c>
      <c r="B1" s="21" t="inlineStr">
        <is>
          <t>Zakres (uwagi, pola wniosku)</t>
        </is>
      </c>
      <c r="C1" s="21" t="inlineStr">
        <is>
          <t>Status</t>
        </is>
      </c>
      <c r="D1" s="21" t="inlineStr">
        <is>
          <t>Co jeszcze potwierdzić i kto</t>
        </is>
      </c>
    </row>
    <row r="2">
      <c r="A2" s="2" t="inlineStr">
        <is>
          <t>Opisy_zadan_z_kamieniami_milowymi.docx</t>
        </is>
      </c>
      <c r="B2" s="2" t="inlineStr">
        <is>
          <t>WP01-WP03: opisy zadań Z1-Z9, kamienie milowe, ryzyka, uzasadnienia kosztów i metoda szacowania personelu Everest11, podział etatów (D29)</t>
        </is>
      </c>
      <c r="C2" s="2" t="inlineStr">
        <is>
          <t>GOTOWY po potwierdzeniu 62 wartości (żółte)</t>
        </is>
      </c>
      <c r="D2" s="2" t="inlineStr">
        <is>
          <t>Dział techniczny: 62 wartości liczbowe (progi, liczności, czasy). Aneks C pliku. | Godziny Z8 PRz zaktualizowane (N77). | ZAMKNIĘTY (D50): zmiany wyłącznie wg Zmiany_do_wprowadzenia_w_plikach_zamknietych.docx</t>
        </is>
      </c>
    </row>
    <row r="3">
      <c r="A3" s="2" t="inlineStr">
        <is>
          <t>Wskazniki_innowacyjnosci_1.2_i_1.4.docx</t>
        </is>
      </c>
      <c r="B3" s="2" t="inlineStr">
        <is>
          <t>WP04: wskaźniki 1.2 (W1-W5), tekst 1.4 i wskaźniki I1-I2, zmiany w opisie innowacji, produkty referencyjne</t>
        </is>
      </c>
      <c r="C3" s="2" t="inlineStr">
        <is>
          <t>GOTOWY po potwierdzeniu 6 parametrów (żółte)</t>
        </is>
      </c>
      <c r="D3" s="2" t="inlineStr">
        <is>
          <t>Dział techniczny: błąd przemieszczenia względnego 0,03 m i 0,05 m, baza AUC 0,70, baza mAP 0,40, zdarzenie inicjujące PoC, zgodność treści 90%.</t>
        </is>
      </c>
    </row>
    <row r="4">
      <c r="A4" s="2" t="inlineStr">
        <is>
          <t>Sekcja_1.3_i_ceny.docx</t>
        </is>
      </c>
      <c r="B4" s="2" t="inlineStr">
        <is>
          <t>WP05: pkt 1.3, pkt 2.3 (rynek docelowy, plan wprowadzenia), zmiany w 2.1, 2.4 i modelu (tabela 5.3), źródła</t>
        </is>
      </c>
      <c r="C4" s="2" t="inlineStr">
        <is>
          <t>GOTOWY (0 żółtych)</t>
        </is>
      </c>
      <c r="D4" s="2" t="inlineStr">
        <is>
          <t>Właścicielka: ręczne zmiany w 2.1, 2.4 i komentarzach modelu (N40-N50, N57-N58). | ZAMKNIĘTY (D50): zmiany wyłącznie wg Zmiany_do_wprowadzenia_w_plikach_zamknietych.docx</t>
        </is>
      </c>
    </row>
    <row r="5">
      <c r="A5" s="2" t="inlineStr">
        <is>
          <t>Sekcja_2.2_i_2.5_prawa_FTO_zasoby.docx</t>
        </is>
      </c>
      <c r="B5" s="2" t="inlineStr">
        <is>
          <t>WP10: pkt 2.2 (brak barier, stan techniki, prawa), pkt 2.5 (zasoby kadrowe, techniczne, pozostałe)</t>
        </is>
      </c>
      <c r="C5" s="2" t="inlineStr">
        <is>
          <t>GOTOWY (0 żółtych)</t>
        </is>
      </c>
      <c r="D5" s="2" t="inlineStr">
        <is>
          <t>Właścicielka: potwierdzenie, że badanie patentowe nie wykazało patentów EP/PL ograniczających wdrożenie (zdanie w 2.2); harmonogram przeniesienia praw z PRz (plan do 30.11.2029).</t>
        </is>
      </c>
    </row>
    <row r="6">
      <c r="A6" s="2" t="inlineStr">
        <is>
          <t>CargoDT_plan_pracy_i_rejestr_decyzji.xlsx</t>
        </is>
      </c>
      <c r="B6" s="2" t="inlineStr">
        <is>
          <t>Rejestr decyzji, niespójności, zadania, źródła, podział etatów</t>
        </is>
      </c>
      <c r="C6" s="2" t="inlineStr">
        <is>
          <t>Aktualizowany na bieżąco</t>
        </is>
      </c>
      <c r="D6" s="2" t="inlineStr">
        <is>
          <t>-</t>
        </is>
      </c>
    </row>
    <row r="7">
      <c r="A7" s="2" t="inlineStr">
        <is>
          <t>Sekcja_6.1_zespol_projektowy.docx</t>
        </is>
      </c>
      <c r="B7" s="2" t="inlineStr">
        <is>
          <t>WP06: sekcja 6.1 (K5-01 do K5-11); Hajduk: dopisano Z10</t>
        </is>
      </c>
      <c r="C7" s="2" t="inlineStr">
        <is>
          <t>GOTOWY (0 żółtych), założenia D37 do potwierdzenia</t>
        </is>
      </c>
      <c r="D7" s="2" t="inlineStr">
        <is>
          <t>Właścicielka: T23 (formy umów, etaty poza projektem, rola Natanek, oświadczenia).</t>
        </is>
      </c>
    </row>
    <row r="8">
      <c r="A8" s="2" t="inlineStr">
        <is>
          <t>Sekcja_6.2-6.4_zasoby_podwykonawca.docx</t>
        </is>
      </c>
      <c r="B8" s="2" t="inlineStr">
        <is>
          <t>WP06: sekcje 6.2, 6.3, 6.4 (K5-12 do K5-19)</t>
        </is>
      </c>
      <c r="C8" s="2" t="inlineStr">
        <is>
          <t>GOTOWY, 7 żółtych pól do uzupełnienia</t>
        </is>
      </c>
      <c r="D8" s="2" t="inlineStr">
        <is>
          <t>PRz i Everest11: T25, T26.</t>
        </is>
      </c>
    </row>
    <row r="9">
      <c r="A9" s="2" t="inlineStr">
        <is>
          <t>Sekcja_7_zasady_horyzontalne_6R.docx</t>
        </is>
      </c>
      <c r="B9" s="2" t="inlineStr">
        <is>
          <t>WP12: pkt 7.1 do 7.4, 8.1 PLRR051, 8.2 wskaźniki 6R (K10-01 do K13-06)</t>
        </is>
      </c>
      <c r="C9" s="2" t="inlineStr">
        <is>
          <t>GOTOWY (0 żółtych), zobowiązania do potwierdzenia</t>
        </is>
      </c>
      <c r="D9" s="2" t="inlineStr">
        <is>
          <t>Zarząd Everest11, PRz, dział techniczny: T27, T28, T29 (część 8 dokumentu).</t>
        </is>
      </c>
    </row>
    <row r="10">
      <c r="A10" s="2" t="inlineStr">
        <is>
          <t>Sekcja_3.2_internacjonalizacja_Z10_Z11.docx</t>
        </is>
      </c>
      <c r="B10" s="2" t="inlineStr">
        <is>
          <t>WP09: pkt 3.2, Z10, Z11, budżet internacjonalizacji, koszty uproszczone, wskaźnik przychodów poza RP (K3-23, K3-24, K3-59..66, K14-01)</t>
        </is>
      </c>
      <c r="C10" s="2" t="inlineStr">
        <is>
          <t>GOTOWY (0 żółtych), czas przyszły; zadania T32</t>
        </is>
      </c>
      <c r="D10" s="2" t="inlineStr">
        <is>
          <t>Właścicielka, PRz: T32.</t>
        </is>
      </c>
    </row>
    <row r="11">
      <c r="A11" s="2" t="inlineStr">
        <is>
          <t>Sekcja_3.1_sprzet_i_amortyzacja.docx</t>
        </is>
      </c>
      <c r="B11" s="2" t="inlineStr">
        <is>
          <t>WP08: 14 pozycji Amortyzacja (aparatura i sprzęt), K3-48 do K3-58</t>
        </is>
      </c>
      <c r="C11" s="2" t="inlineStr">
        <is>
          <t>GOTOWY (0 żółtych), czas przyszły; decyzje D42, D06</t>
        </is>
      </c>
      <c r="D11" s="2" t="inlineStr">
        <is>
          <t>Dział techniczny, księgowa, zakupy: T33, T34, T35.</t>
        </is>
      </c>
    </row>
    <row r="12">
      <c r="A12" s="2" t="inlineStr">
        <is>
          <t>Sekcja_3.1_podwykonawstwo_i_stawki_PRz.docx</t>
        </is>
      </c>
      <c r="B12" s="2" t="inlineStr">
        <is>
          <t>WP07 i część WP06: podwykonawstwo Z2/Z9 (K3-43..47), R8, stawki wynagrodzeń PRz 40 pozycji (K3-41, K3-42)</t>
        </is>
      </c>
      <c r="C12" s="2" t="inlineStr">
        <is>
          <t>WERSJA OSTATECZNA (poprawki właścicielki), czas przyszły, 0 żółtych</t>
        </is>
      </c>
      <c r="D12" s="2" t="inlineStr">
        <is>
          <t>Opcjonalnie T37.</t>
        </is>
      </c>
    </row>
    <row r="13">
      <c r="A13" s="2" t="inlineStr">
        <is>
          <t>Sekcja_K6_sprawozdanie_2Q2026_model.docx</t>
        </is>
      </c>
      <c r="B13" s="2" t="inlineStr">
        <is>
          <t>WP11 (część K6): dane za II kwartał 2026 w modelu Everest11, prognoza, wpływ na wyniki, komentarze, wariant rotacji zobowiązań</t>
        </is>
      </c>
      <c r="C13" s="2" t="inlineStr">
        <is>
          <t>GOTOWY: części 2 (zmiany w modelu, w tym 2.4 rotacje i 2.5 harmonogram płatności), 3, 4 (komentarze), 5-7, 8 (propozycje D53)</t>
        </is>
      </c>
      <c r="D13" s="2" t="inlineStr">
        <is>
          <t>Właścicielka: D46 (rotacje), D53 (zatwierdzenie propozycji); dział techniczny: T46; załączniki: T41.</t>
        </is>
      </c>
    </row>
    <row r="14">
      <c r="A14" s="2" t="inlineStr">
        <is>
          <t>Model_finansowy_CargoDT_Everest_II_kwartal_2026.xlsm</t>
        </is>
      </c>
      <c r="B14" s="2" t="inlineStr">
        <is>
          <t>WP11: model Everest11 z danymi za II kwartał 2026, prognozą I półrocze x2, rotacjami z I półrocza (po odpowiedzi księgowej) i poprawionymi komentarzami (Sprawozdania, Przychody, Koszty, Kapitał pracujący, Ocena kondycji, Założenia); przeliczony kontrolnie (57 581 liczb zgodnych) | 05.10: komentarze po D47-D49 (Przychody, Koszty, Opłacalność, Finansowanie, Kapitał pracujący) | 05.10 wieczór: harmonogram płatności skorygowany (K6-14), dopisek Koszty (K2-13, N58), tekst K6-12 bez 6,3 mln zł, zdanie o tajemnicy umowy z Amazon</t>
        </is>
      </c>
      <c r="C14" s="2" t="inlineStr">
        <is>
          <t>GOTOWY; D46 wprowadzona (do potwierdzenia); po otwarciu w Excelu zapisać plik</t>
        </is>
      </c>
      <c r="D14" s="2" t="inlineStr">
        <is>
          <t>Właścicielka: D46; Excel: otworzyć, zapisać, sprawdzić kontrolki.</t>
        </is>
      </c>
    </row>
    <row r="15">
      <c r="A15" s="2" t="inlineStr">
        <is>
          <t>Zmiany_do_wprowadzenia_w_plikach_zamknietych.docx</t>
        </is>
      </c>
      <c r="B15" s="2" t="inlineStr">
        <is>
          <t>Zestawienie zmian w Sekcja_1.3, Poprawki (R11, R12), Opisy zadań (R12, Z9) i w polach LSI po odpowiedziach księgowej, odpisie KRS i decyzjach D47-D49</t>
        </is>
      </c>
      <c r="C15" s="2" t="inlineStr">
        <is>
          <t>GOTOWY</t>
        </is>
      </c>
      <c r="D15" s="2" t="inlineStr">
        <is>
          <t>Właścicielka: T48</t>
        </is>
      </c>
    </row>
    <row r="16">
      <c r="A16" s="2" t="inlineStr">
        <is>
          <t>Poprawki_do_wklejenia_WP01-WP03.docx</t>
        </is>
      </c>
      <c r="B16" s="2" t="inlineStr">
        <is>
          <t>WP01-WP03: poprawki do pól 3.1.1, kamieni milowych i ryzyk (w tym R11, R12)</t>
        </is>
      </c>
      <c r="C16" s="2" t="inlineStr">
        <is>
          <t>ZAMKNIĘTY (D50)</t>
        </is>
      </c>
      <c r="D16" s="2" t="inlineStr">
        <is>
          <t>Zmiany wyłącznie wg Zmiany_do_wprowadzenia_w_plikach_zamknietych.docx.</t>
        </is>
      </c>
    </row>
    <row r="17">
      <c r="A17" s="2" t="inlineStr">
        <is>
          <t>Komentarze_model_finansowy_PRz.docx</t>
        </is>
      </c>
      <c r="B17" s="2" t="inlineStr">
        <is>
          <t>WP11 (K6): komentarze do 10 arkuszy modelu PRz, mapa wymagań Instrukcji, odpowiedzi na K6-14 i K6-17, błędy starych komentarzy, decyzje do modelu</t>
        </is>
      </c>
      <c r="C17" s="2" t="inlineStr">
        <is>
          <t>GOTOWY do wklejenia po potwierdzeniach PRz (żółte, T58)</t>
        </is>
      </c>
      <c r="D17" s="2" t="inlineStr">
        <is>
          <t>PRz (kwestor): potwierdzenia z części 6. Model PRz zmieniony 06.10 (koszty pośrednie, stawka 0%). Komentarze Everest: po akceptacji tego kroku (T57).</t>
        </is>
      </c>
    </row>
    <row r="18">
      <c r="A18" s="2" t="inlineStr">
        <is>
          <t>Komentarze_model_finansowy_Everest.docx</t>
        </is>
      </c>
      <c r="B18" s="2" t="inlineStr">
        <is>
          <t>WP11 (K6): komentarze do 11 arkuszy modelu Everest11, mapa wymagań Instrukcji, odpowiedzi na K6-01..K6-18, zmiana wkładu własnego (zastępuje części 4 i 9 Sekcja_K6)</t>
        </is>
      </c>
      <c r="C18" s="2" t="inlineStr">
        <is>
          <t>GOTOWY do wklejenia po uzupełnieniu żółtych pól (T61)</t>
        </is>
      </c>
      <c r="D18" s="2" t="inlineStr">
        <is>
          <t>Właścicielka i inwestor: część 6 dokumentu.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2026-10-01T16:37:34Z</dcterms:created>
  <dcterms:modified xmlns:dcterms="http://purl.org/dc/terms/" xmlns:xsi="http://www.w3.org/2001/XMLSchema-instance" xsi:type="dcterms:W3CDTF">2026-10-06T18:51:43Z</dcterms:modified>
</cp:coreProperties>
</file>