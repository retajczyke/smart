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 z moim doprecyzowaniem: M19-M21 40% Z6 i 60% Z7 (Z7 wymaga wcześniej projektu sprzętu i pierwszych egzemplarzy na M22; średnia ważona etatami z podziału szczegółowego to ok. 35/65), M22-M27 po 1/3, M28-M30 100% Z9. Koszt łączny bez zmian. Nowe koszty (personel Everest11 z Backendem Z6 195 210 zł i Z9 65 070 zł): Z6 451 152,00 zł, Z7 303 931,12 zł, Z9 464 979,38 zł; razem 1 220 062,50 zł. Dofinansowanie bez zmian (60%). Słabsze punkty: IoT, cyber i TSL w Z6 w M22-M27.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M19-M21 40% Z6 i 60% Z7; M22-M27 po 1/3 na Z6, Z7, Z9; M28-M30 100% na Z9. Udziały w komórkach B3:D5 (edytowalne), nakłady miesięczne = etat x udział. Wiersze kontrolne muszą dawać 0.</t>
        </is>
      </c>
    </row>
    <row r="2">
      <c r="A2" s="18" t="inlineStr">
        <is>
          <t>Udział Z6 / Z7 / Z9</t>
        </is>
      </c>
      <c r="B2" s="18" t="inlineStr">
        <is>
          <t>M19-M21</t>
        </is>
      </c>
      <c r="C2" s="18" t="inlineStr">
        <is>
          <t>M22-M27</t>
        </is>
      </c>
      <c r="D2" s="18" t="inlineStr">
        <is>
          <t>M28-M30</t>
        </is>
      </c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</row>
    <row r="3">
      <c r="A3" t="inlineStr">
        <is>
          <t>Z6</t>
        </is>
      </c>
      <c r="B3" t="n">
        <v>0.4</v>
      </c>
      <c r="C3">
        <f>1/3</f>
        <v/>
      </c>
      <c r="D3" t="n">
        <v>0</v>
      </c>
    </row>
    <row r="4">
      <c r="A4" t="inlineStr">
        <is>
          <t>Z7</t>
        </is>
      </c>
      <c r="B4" t="n">
        <v>0.6</v>
      </c>
      <c r="C4">
        <f>1/3</f>
        <v/>
      </c>
      <c r="D4" t="n">
        <v>0</v>
      </c>
    </row>
    <row r="5">
      <c r="A5" t="inlineStr">
        <is>
          <t>Z9</t>
        </is>
      </c>
      <c r="B5" t="n">
        <v>0</v>
      </c>
      <c r="C5">
        <f>1/3</f>
        <v/>
      </c>
      <c r="D5" t="n">
        <v>1</v>
      </c>
    </row>
    <row r="7">
      <c r="A7" s="15" t="inlineStr">
        <is>
          <t>Stanowisko</t>
        </is>
      </c>
      <c r="B7" s="15" t="inlineStr">
        <is>
          <t>Zadanie</t>
        </is>
      </c>
      <c r="C7" s="15" t="inlineStr">
        <is>
          <t>Etat</t>
        </is>
      </c>
      <c r="D7" s="15" t="inlineStr">
        <is>
          <t>M19</t>
        </is>
      </c>
      <c r="E7" s="15" t="inlineStr">
        <is>
          <t>M20</t>
        </is>
      </c>
      <c r="F7" s="15" t="inlineStr">
        <is>
          <t>M21</t>
        </is>
      </c>
      <c r="G7" s="15" t="inlineStr">
        <is>
          <t>M22</t>
        </is>
      </c>
      <c r="H7" s="15" t="inlineStr">
        <is>
          <t>M23</t>
        </is>
      </c>
      <c r="I7" s="15" t="inlineStr">
        <is>
          <t>M24</t>
        </is>
      </c>
      <c r="J7" s="15" t="inlineStr">
        <is>
          <t>M25</t>
        </is>
      </c>
      <c r="K7" s="15" t="inlineStr">
        <is>
          <t>M26</t>
        </is>
      </c>
      <c r="L7" s="15" t="inlineStr">
        <is>
          <t>M27</t>
        </is>
      </c>
      <c r="M7" s="15" t="inlineStr">
        <is>
          <t>M28</t>
        </is>
      </c>
      <c r="N7" s="15" t="inlineStr">
        <is>
          <t>M29</t>
        </is>
      </c>
      <c r="O7" s="15" t="inlineStr">
        <is>
          <t>M30</t>
        </is>
      </c>
      <c r="P7" s="15" t="inlineStr">
        <is>
          <t>Etatomiesiące</t>
        </is>
      </c>
      <c r="Q7" s="15" t="inlineStr">
        <is>
          <t>Stawka brutto/mc</t>
        </is>
      </c>
      <c r="R7" s="15" t="inlineStr">
        <is>
          <t>Koszt zł</t>
        </is>
      </c>
    </row>
    <row r="8">
      <c r="A8" t="inlineStr">
        <is>
          <t>AI Lead</t>
        </is>
      </c>
      <c r="B8" t="inlineStr">
        <is>
          <t>Z6</t>
        </is>
      </c>
      <c r="C8" t="n">
        <v>0.75</v>
      </c>
      <c r="D8">
        <f>$C8*$B$3</f>
        <v/>
      </c>
      <c r="E8">
        <f>$C8*$B$3</f>
        <v/>
      </c>
      <c r="F8">
        <f>$C8*$B$3</f>
        <v/>
      </c>
      <c r="G8">
        <f>$C8*$C$3</f>
        <v/>
      </c>
      <c r="H8">
        <f>$C8*$C$3</f>
        <v/>
      </c>
      <c r="I8">
        <f>$C8*$C$3</f>
        <v/>
      </c>
      <c r="J8">
        <f>$C8*$C$3</f>
        <v/>
      </c>
      <c r="K8">
        <f>$C8*$C$3</f>
        <v/>
      </c>
      <c r="L8">
        <f>$C8*$C$3</f>
        <v/>
      </c>
      <c r="M8">
        <f>$C8*$D$3</f>
        <v/>
      </c>
      <c r="N8">
        <f>$C8*$D$3</f>
        <v/>
      </c>
      <c r="O8">
        <f>$C8*$D$3</f>
        <v/>
      </c>
      <c r="P8">
        <f>SUM(D8:O8)</f>
        <v/>
      </c>
      <c r="Q8" t="n">
        <v>23000</v>
      </c>
      <c r="R8">
        <f>ROUND(Q8*1.205*P8,2)</f>
        <v/>
      </c>
    </row>
    <row r="9">
      <c r="A9" t="inlineStr">
        <is>
          <t>AI Lead</t>
        </is>
      </c>
      <c r="B9" t="inlineStr">
        <is>
          <t>Z7</t>
        </is>
      </c>
      <c r="C9" t="n">
        <v>0.75</v>
      </c>
      <c r="D9">
        <f>$C9*$B$4</f>
        <v/>
      </c>
      <c r="E9">
        <f>$C9*$B$4</f>
        <v/>
      </c>
      <c r="F9">
        <f>$C9*$B$4</f>
        <v/>
      </c>
      <c r="G9">
        <f>$C9*$C$4</f>
        <v/>
      </c>
      <c r="H9">
        <f>$C9*$C$4</f>
        <v/>
      </c>
      <c r="I9">
        <f>$C9*$C$4</f>
        <v/>
      </c>
      <c r="J9">
        <f>$C9*$C$4</f>
        <v/>
      </c>
      <c r="K9">
        <f>$C9*$C$4</f>
        <v/>
      </c>
      <c r="L9">
        <f>$C9*$C$4</f>
        <v/>
      </c>
      <c r="M9">
        <f>$C9*$D$4</f>
        <v/>
      </c>
      <c r="N9">
        <f>$C9*$D$4</f>
        <v/>
      </c>
      <c r="O9">
        <f>$C9*$D$4</f>
        <v/>
      </c>
      <c r="P9">
        <f>SUM(D9:O9)</f>
        <v/>
      </c>
      <c r="Q9" t="n">
        <v>23000</v>
      </c>
      <c r="R9">
        <f>ROUND(Q9*1.205*P9,2)</f>
        <v/>
      </c>
    </row>
    <row r="10">
      <c r="A10" t="inlineStr">
        <is>
          <t>AI Lead</t>
        </is>
      </c>
      <c r="B10" t="inlineStr">
        <is>
          <t>Z9</t>
        </is>
      </c>
      <c r="C10" t="n">
        <v>0.75</v>
      </c>
      <c r="D10">
        <f>$C10*$B$5</f>
        <v/>
      </c>
      <c r="E10">
        <f>$C10*$B$5</f>
        <v/>
      </c>
      <c r="F10">
        <f>$C10*$B$5</f>
        <v/>
      </c>
      <c r="G10">
        <f>$C10*$C$5</f>
        <v/>
      </c>
      <c r="H10">
        <f>$C10*$C$5</f>
        <v/>
      </c>
      <c r="I10">
        <f>$C10*$C$5</f>
        <v/>
      </c>
      <c r="J10">
        <f>$C10*$C$5</f>
        <v/>
      </c>
      <c r="K10">
        <f>$C10*$C$5</f>
        <v/>
      </c>
      <c r="L10">
        <f>$C10*$C$5</f>
        <v/>
      </c>
      <c r="M10">
        <f>$C10*$D$5</f>
        <v/>
      </c>
      <c r="N10">
        <f>$C10*$D$5</f>
        <v/>
      </c>
      <c r="O10">
        <f>$C10*$D$5</f>
        <v/>
      </c>
      <c r="P10">
        <f>SUM(D10:O10)</f>
        <v/>
      </c>
      <c r="Q10" t="n">
        <v>23000</v>
      </c>
      <c r="R10">
        <f>ROUND(Q8*1.205*C8*12,2)-R8-R9</f>
        <v/>
      </c>
    </row>
    <row r="11">
      <c r="A11" s="17" t="inlineStr">
        <is>
          <t>kontrola: suma miesięczna - etat (AI Lead)</t>
        </is>
      </c>
      <c r="B11" s="17" t="inlineStr"/>
      <c r="C11" s="17" t="inlineStr"/>
      <c r="D11" s="17">
        <f>ROUND(D8+D9+D10-$C$8,6)</f>
        <v/>
      </c>
      <c r="E11" s="17">
        <f>ROUND(E8+E9+E10-$C$8,6)</f>
        <v/>
      </c>
      <c r="F11" s="17">
        <f>ROUND(F8+F9+F10-$C$8,6)</f>
        <v/>
      </c>
      <c r="G11" s="17">
        <f>ROUND(G8+G9+G10-$C$8,6)</f>
        <v/>
      </c>
      <c r="H11" s="17">
        <f>ROUND(H8+H9+H10-$C$8,6)</f>
        <v/>
      </c>
      <c r="I11" s="17">
        <f>ROUND(I8+I9+I10-$C$8,6)</f>
        <v/>
      </c>
      <c r="J11" s="17">
        <f>ROUND(J8+J9+J10-$C$8,6)</f>
        <v/>
      </c>
      <c r="K11" s="17">
        <f>ROUND(K8+K9+K10-$C$8,6)</f>
        <v/>
      </c>
      <c r="L11" s="17">
        <f>ROUND(L8+L9+L10-$C$8,6)</f>
        <v/>
      </c>
      <c r="M11" s="17">
        <f>ROUND(M8+M9+M10-$C$8,6)</f>
        <v/>
      </c>
      <c r="N11" s="17">
        <f>ROUND(N8+N9+N10-$C$8,6)</f>
        <v/>
      </c>
      <c r="O11" s="17">
        <f>ROUND(O8+O9+O10-$C$8,6)</f>
        <v/>
      </c>
      <c r="P11" s="17">
        <f>ROUND(P8+P9+P10-12*C8,6)</f>
        <v/>
      </c>
      <c r="Q11" s="17" t="inlineStr"/>
      <c r="R11" s="17">
        <f>R8+R9+R10</f>
        <v/>
      </c>
    </row>
    <row r="12">
      <c r="A12" t="inlineStr">
        <is>
          <t>AI Senior Engineer</t>
        </is>
      </c>
      <c r="B12" t="inlineStr">
        <is>
          <t>Z6</t>
        </is>
      </c>
      <c r="C12" t="n">
        <v>0.75</v>
      </c>
      <c r="D12">
        <f>$C12*$B$3</f>
        <v/>
      </c>
      <c r="E12">
        <f>$C12*$B$3</f>
        <v/>
      </c>
      <c r="F12">
        <f>$C12*$B$3</f>
        <v/>
      </c>
      <c r="G12">
        <f>$C12*$C$3</f>
        <v/>
      </c>
      <c r="H12">
        <f>$C12*$C$3</f>
        <v/>
      </c>
      <c r="I12">
        <f>$C12*$C$3</f>
        <v/>
      </c>
      <c r="J12">
        <f>$C12*$C$3</f>
        <v/>
      </c>
      <c r="K12">
        <f>$C12*$C$3</f>
        <v/>
      </c>
      <c r="L12">
        <f>$C12*$C$3</f>
        <v/>
      </c>
      <c r="M12">
        <f>$C12*$D$3</f>
        <v/>
      </c>
      <c r="N12">
        <f>$C12*$D$3</f>
        <v/>
      </c>
      <c r="O12">
        <f>$C12*$D$3</f>
        <v/>
      </c>
      <c r="P12">
        <f>SUM(D12:O12)</f>
        <v/>
      </c>
      <c r="Q12" t="n">
        <v>16500</v>
      </c>
      <c r="R12">
        <f>ROUND(Q12*1.205*P12,2)</f>
        <v/>
      </c>
    </row>
    <row r="13">
      <c r="A13" t="inlineStr">
        <is>
          <t>AI Senior Engineer</t>
        </is>
      </c>
      <c r="B13" t="inlineStr">
        <is>
          <t>Z7</t>
        </is>
      </c>
      <c r="C13" t="n">
        <v>0.75</v>
      </c>
      <c r="D13">
        <f>$C13*$B$4</f>
        <v/>
      </c>
      <c r="E13">
        <f>$C13*$B$4</f>
        <v/>
      </c>
      <c r="F13">
        <f>$C13*$B$4</f>
        <v/>
      </c>
      <c r="G13">
        <f>$C13*$C$4</f>
        <v/>
      </c>
      <c r="H13">
        <f>$C13*$C$4</f>
        <v/>
      </c>
      <c r="I13">
        <f>$C13*$C$4</f>
        <v/>
      </c>
      <c r="J13">
        <f>$C13*$C$4</f>
        <v/>
      </c>
      <c r="K13">
        <f>$C13*$C$4</f>
        <v/>
      </c>
      <c r="L13">
        <f>$C13*$C$4</f>
        <v/>
      </c>
      <c r="M13">
        <f>$C13*$D$4</f>
        <v/>
      </c>
      <c r="N13">
        <f>$C13*$D$4</f>
        <v/>
      </c>
      <c r="O13">
        <f>$C13*$D$4</f>
        <v/>
      </c>
      <c r="P13">
        <f>SUM(D13:O13)</f>
        <v/>
      </c>
      <c r="Q13" t="n">
        <v>16500</v>
      </c>
      <c r="R13">
        <f>ROUND(Q13*1.205*P13,2)</f>
        <v/>
      </c>
    </row>
    <row r="14">
      <c r="A14" t="inlineStr">
        <is>
          <t>AI Senior Engineer</t>
        </is>
      </c>
      <c r="B14" t="inlineStr">
        <is>
          <t>Z9</t>
        </is>
      </c>
      <c r="C14" t="n">
        <v>0.75</v>
      </c>
      <c r="D14">
        <f>$C14*$B$5</f>
        <v/>
      </c>
      <c r="E14">
        <f>$C14*$B$5</f>
        <v/>
      </c>
      <c r="F14">
        <f>$C14*$B$5</f>
        <v/>
      </c>
      <c r="G14">
        <f>$C14*$C$5</f>
        <v/>
      </c>
      <c r="H14">
        <f>$C14*$C$5</f>
        <v/>
      </c>
      <c r="I14">
        <f>$C14*$C$5</f>
        <v/>
      </c>
      <c r="J14">
        <f>$C14*$C$5</f>
        <v/>
      </c>
      <c r="K14">
        <f>$C14*$C$5</f>
        <v/>
      </c>
      <c r="L14">
        <f>$C14*$C$5</f>
        <v/>
      </c>
      <c r="M14">
        <f>$C14*$D$5</f>
        <v/>
      </c>
      <c r="N14">
        <f>$C14*$D$5</f>
        <v/>
      </c>
      <c r="O14">
        <f>$C14*$D$5</f>
        <v/>
      </c>
      <c r="P14">
        <f>SUM(D14:O14)</f>
        <v/>
      </c>
      <c r="Q14" t="n">
        <v>16500</v>
      </c>
      <c r="R14">
        <f>ROUND(Q12*1.205*C12*12,2)-R12-R13</f>
        <v/>
      </c>
    </row>
    <row r="15">
      <c r="A15" s="17" t="inlineStr">
        <is>
          <t>kontrola: suma miesięczna - etat (AI Senior Engineer)</t>
        </is>
      </c>
      <c r="B15" s="17" t="inlineStr"/>
      <c r="C15" s="17" t="inlineStr"/>
      <c r="D15" s="17">
        <f>ROUND(D12+D13+D14-$C$12,6)</f>
        <v/>
      </c>
      <c r="E15" s="17">
        <f>ROUND(E12+E13+E14-$C$12,6)</f>
        <v/>
      </c>
      <c r="F15" s="17">
        <f>ROUND(F12+F13+F14-$C$12,6)</f>
        <v/>
      </c>
      <c r="G15" s="17">
        <f>ROUND(G12+G13+G14-$C$12,6)</f>
        <v/>
      </c>
      <c r="H15" s="17">
        <f>ROUND(H12+H13+H14-$C$12,6)</f>
        <v/>
      </c>
      <c r="I15" s="17">
        <f>ROUND(I12+I13+I14-$C$12,6)</f>
        <v/>
      </c>
      <c r="J15" s="17">
        <f>ROUND(J12+J13+J14-$C$12,6)</f>
        <v/>
      </c>
      <c r="K15" s="17">
        <f>ROUND(K12+K13+K14-$C$12,6)</f>
        <v/>
      </c>
      <c r="L15" s="17">
        <f>ROUND(L12+L13+L14-$C$12,6)</f>
        <v/>
      </c>
      <c r="M15" s="17">
        <f>ROUND(M12+M13+M14-$C$12,6)</f>
        <v/>
      </c>
      <c r="N15" s="17">
        <f>ROUND(N12+N13+N14-$C$12,6)</f>
        <v/>
      </c>
      <c r="O15" s="17">
        <f>ROUND(O12+O13+O14-$C$12,6)</f>
        <v/>
      </c>
      <c r="P15" s="17">
        <f>ROUND(P12+P13+P14-12*C12,6)</f>
        <v/>
      </c>
      <c r="Q15" s="17" t="inlineStr"/>
      <c r="R15" s="17">
        <f>R12+R13+R14</f>
        <v/>
      </c>
    </row>
    <row r="16">
      <c r="A16" t="inlineStr">
        <is>
          <t>Cybersecurity / AI Act Specialist</t>
        </is>
      </c>
      <c r="B16" t="inlineStr">
        <is>
          <t>Z6</t>
        </is>
      </c>
      <c r="C16" t="n">
        <v>0.25</v>
      </c>
      <c r="D16">
        <f>$C16*$B$3</f>
        <v/>
      </c>
      <c r="E16">
        <f>$C16*$B$3</f>
        <v/>
      </c>
      <c r="F16">
        <f>$C16*$B$3</f>
        <v/>
      </c>
      <c r="G16">
        <f>$C16*$C$3</f>
        <v/>
      </c>
      <c r="H16">
        <f>$C16*$C$3</f>
        <v/>
      </c>
      <c r="I16">
        <f>$C16*$C$3</f>
        <v/>
      </c>
      <c r="J16">
        <f>$C16*$C$3</f>
        <v/>
      </c>
      <c r="K16">
        <f>$C16*$C$3</f>
        <v/>
      </c>
      <c r="L16">
        <f>$C16*$C$3</f>
        <v/>
      </c>
      <c r="M16">
        <f>$C16*$D$3</f>
        <v/>
      </c>
      <c r="N16">
        <f>$C16*$D$3</f>
        <v/>
      </c>
      <c r="O16">
        <f>$C16*$D$3</f>
        <v/>
      </c>
      <c r="P16">
        <f>SUM(D16:O16)</f>
        <v/>
      </c>
      <c r="Q16" t="n">
        <v>21000</v>
      </c>
      <c r="R16">
        <f>ROUND(Q16*1.205*P16,2)</f>
        <v/>
      </c>
    </row>
    <row r="17">
      <c r="A17" t="inlineStr">
        <is>
          <t>Cybersecurity / AI Act Specialist</t>
        </is>
      </c>
      <c r="B17" t="inlineStr">
        <is>
          <t>Z7</t>
        </is>
      </c>
      <c r="C17" t="n">
        <v>0.25</v>
      </c>
      <c r="D17">
        <f>$C17*$B$4</f>
        <v/>
      </c>
      <c r="E17">
        <f>$C17*$B$4</f>
        <v/>
      </c>
      <c r="F17">
        <f>$C17*$B$4</f>
        <v/>
      </c>
      <c r="G17">
        <f>$C17*$C$4</f>
        <v/>
      </c>
      <c r="H17">
        <f>$C17*$C$4</f>
        <v/>
      </c>
      <c r="I17">
        <f>$C17*$C$4</f>
        <v/>
      </c>
      <c r="J17">
        <f>$C17*$C$4</f>
        <v/>
      </c>
      <c r="K17">
        <f>$C17*$C$4</f>
        <v/>
      </c>
      <c r="L17">
        <f>$C17*$C$4</f>
        <v/>
      </c>
      <c r="M17">
        <f>$C17*$D$4</f>
        <v/>
      </c>
      <c r="N17">
        <f>$C17*$D$4</f>
        <v/>
      </c>
      <c r="O17">
        <f>$C17*$D$4</f>
        <v/>
      </c>
      <c r="P17">
        <f>SUM(D17:O17)</f>
        <v/>
      </c>
      <c r="Q17" t="n">
        <v>21000</v>
      </c>
      <c r="R17">
        <f>ROUND(Q17*1.205*P17,2)</f>
        <v/>
      </c>
    </row>
    <row r="18">
      <c r="A18" t="inlineStr">
        <is>
          <t>Cybersecurity / AI Act Specialist</t>
        </is>
      </c>
      <c r="B18" t="inlineStr">
        <is>
          <t>Z9</t>
        </is>
      </c>
      <c r="C18" t="n">
        <v>0.25</v>
      </c>
      <c r="D18">
        <f>$C18*$B$5</f>
        <v/>
      </c>
      <c r="E18">
        <f>$C18*$B$5</f>
        <v/>
      </c>
      <c r="F18">
        <f>$C18*$B$5</f>
        <v/>
      </c>
      <c r="G18">
        <f>$C18*$C$5</f>
        <v/>
      </c>
      <c r="H18">
        <f>$C18*$C$5</f>
        <v/>
      </c>
      <c r="I18">
        <f>$C18*$C$5</f>
        <v/>
      </c>
      <c r="J18">
        <f>$C18*$C$5</f>
        <v/>
      </c>
      <c r="K18">
        <f>$C18*$C$5</f>
        <v/>
      </c>
      <c r="L18">
        <f>$C18*$C$5</f>
        <v/>
      </c>
      <c r="M18">
        <f>$C18*$D$5</f>
        <v/>
      </c>
      <c r="N18">
        <f>$C18*$D$5</f>
        <v/>
      </c>
      <c r="O18">
        <f>$C18*$D$5</f>
        <v/>
      </c>
      <c r="P18">
        <f>SUM(D18:O18)</f>
        <v/>
      </c>
      <c r="Q18" t="n">
        <v>21000</v>
      </c>
      <c r="R18">
        <f>ROUND(Q16*1.205*C16*12,2)-R16-R17</f>
        <v/>
      </c>
    </row>
    <row r="19">
      <c r="A19" s="17" t="inlineStr">
        <is>
          <t>kontrola: suma miesięczna - etat (Cybersecurity / AI Act Specialist)</t>
        </is>
      </c>
      <c r="B19" s="17" t="inlineStr"/>
      <c r="C19" s="17" t="inlineStr"/>
      <c r="D19" s="17">
        <f>ROUND(D16+D17+D18-$C$16,6)</f>
        <v/>
      </c>
      <c r="E19" s="17">
        <f>ROUND(E16+E17+E18-$C$16,6)</f>
        <v/>
      </c>
      <c r="F19" s="17">
        <f>ROUND(F16+F17+F18-$C$16,6)</f>
        <v/>
      </c>
      <c r="G19" s="17">
        <f>ROUND(G16+G17+G18-$C$16,6)</f>
        <v/>
      </c>
      <c r="H19" s="17">
        <f>ROUND(H16+H17+H18-$C$16,6)</f>
        <v/>
      </c>
      <c r="I19" s="17">
        <f>ROUND(I16+I17+I18-$C$16,6)</f>
        <v/>
      </c>
      <c r="J19" s="17">
        <f>ROUND(J16+J17+J18-$C$16,6)</f>
        <v/>
      </c>
      <c r="K19" s="17">
        <f>ROUND(K16+K17+K18-$C$16,6)</f>
        <v/>
      </c>
      <c r="L19" s="17">
        <f>ROUND(L16+L17+L18-$C$16,6)</f>
        <v/>
      </c>
      <c r="M19" s="17">
        <f>ROUND(M16+M17+M18-$C$16,6)</f>
        <v/>
      </c>
      <c r="N19" s="17">
        <f>ROUND(N16+N17+N18-$C$16,6)</f>
        <v/>
      </c>
      <c r="O19" s="17">
        <f>ROUND(O16+O17+O18-$C$16,6)</f>
        <v/>
      </c>
      <c r="P19" s="17">
        <f>ROUND(P16+P17+P18-12*C16,6)</f>
        <v/>
      </c>
      <c r="Q19" s="17" t="inlineStr"/>
      <c r="R19" s="17">
        <f>R16+R17+R18</f>
        <v/>
      </c>
    </row>
    <row r="20">
      <c r="A20" t="inlineStr">
        <is>
          <t>IT Specialist</t>
        </is>
      </c>
      <c r="B20" t="inlineStr">
        <is>
          <t>Z6</t>
        </is>
      </c>
      <c r="C20" t="n">
        <v>1</v>
      </c>
      <c r="D20">
        <f>$C20*$B$3</f>
        <v/>
      </c>
      <c r="E20">
        <f>$C20*$B$3</f>
        <v/>
      </c>
      <c r="F20">
        <f>$C20*$B$3</f>
        <v/>
      </c>
      <c r="G20">
        <f>$C20*$C$3</f>
        <v/>
      </c>
      <c r="H20">
        <f>$C20*$C$3</f>
        <v/>
      </c>
      <c r="I20">
        <f>$C20*$C$3</f>
        <v/>
      </c>
      <c r="J20">
        <f>$C20*$C$3</f>
        <v/>
      </c>
      <c r="K20">
        <f>$C20*$C$3</f>
        <v/>
      </c>
      <c r="L20">
        <f>$C20*$C$3</f>
        <v/>
      </c>
      <c r="M20">
        <f>$C20*$D$3</f>
        <v/>
      </c>
      <c r="N20">
        <f>$C20*$D$3</f>
        <v/>
      </c>
      <c r="O20">
        <f>$C20*$D$3</f>
        <v/>
      </c>
      <c r="P20">
        <f>SUM(D20:O20)</f>
        <v/>
      </c>
      <c r="Q20" t="n">
        <v>19000</v>
      </c>
      <c r="R20">
        <f>ROUND(Q20*1.205*P20,2)</f>
        <v/>
      </c>
    </row>
    <row r="21">
      <c r="A21" t="inlineStr">
        <is>
          <t>IT Specialist</t>
        </is>
      </c>
      <c r="B21" t="inlineStr">
        <is>
          <t>Z7</t>
        </is>
      </c>
      <c r="C21" t="n">
        <v>1</v>
      </c>
      <c r="D21">
        <f>$C21*$B$4</f>
        <v/>
      </c>
      <c r="E21">
        <f>$C21*$B$4</f>
        <v/>
      </c>
      <c r="F21">
        <f>$C21*$B$4</f>
        <v/>
      </c>
      <c r="G21">
        <f>$C21*$C$4</f>
        <v/>
      </c>
      <c r="H21">
        <f>$C21*$C$4</f>
        <v/>
      </c>
      <c r="I21">
        <f>$C21*$C$4</f>
        <v/>
      </c>
      <c r="J21">
        <f>$C21*$C$4</f>
        <v/>
      </c>
      <c r="K21">
        <f>$C21*$C$4</f>
        <v/>
      </c>
      <c r="L21">
        <f>$C21*$C$4</f>
        <v/>
      </c>
      <c r="M21">
        <f>$C21*$D$4</f>
        <v/>
      </c>
      <c r="N21">
        <f>$C21*$D$4</f>
        <v/>
      </c>
      <c r="O21">
        <f>$C21*$D$4</f>
        <v/>
      </c>
      <c r="P21">
        <f>SUM(D21:O21)</f>
        <v/>
      </c>
      <c r="Q21" t="n">
        <v>19000</v>
      </c>
      <c r="R21">
        <f>ROUND(Q21*1.205*P21,2)</f>
        <v/>
      </c>
    </row>
    <row r="22">
      <c r="A22" t="inlineStr">
        <is>
          <t>IT Specialist</t>
        </is>
      </c>
      <c r="B22" t="inlineStr">
        <is>
          <t>Z9</t>
        </is>
      </c>
      <c r="C22" t="n">
        <v>1</v>
      </c>
      <c r="D22">
        <f>$C22*$B$5</f>
        <v/>
      </c>
      <c r="E22">
        <f>$C22*$B$5</f>
        <v/>
      </c>
      <c r="F22">
        <f>$C22*$B$5</f>
        <v/>
      </c>
      <c r="G22">
        <f>$C22*$C$5</f>
        <v/>
      </c>
      <c r="H22">
        <f>$C22*$C$5</f>
        <v/>
      </c>
      <c r="I22">
        <f>$C22*$C$5</f>
        <v/>
      </c>
      <c r="J22">
        <f>$C22*$C$5</f>
        <v/>
      </c>
      <c r="K22">
        <f>$C22*$C$5</f>
        <v/>
      </c>
      <c r="L22">
        <f>$C22*$C$5</f>
        <v/>
      </c>
      <c r="M22">
        <f>$C22*$D$5</f>
        <v/>
      </c>
      <c r="N22">
        <f>$C22*$D$5</f>
        <v/>
      </c>
      <c r="O22">
        <f>$C22*$D$5</f>
        <v/>
      </c>
      <c r="P22">
        <f>SUM(D22:O22)</f>
        <v/>
      </c>
      <c r="Q22" t="n">
        <v>19000</v>
      </c>
      <c r="R22">
        <f>ROUND(Q20*1.205*C20*12,2)-R20-R21</f>
        <v/>
      </c>
    </row>
    <row r="23">
      <c r="A23" s="17" t="inlineStr">
        <is>
          <t>kontrola: suma miesięczna - etat (IT Specialist)</t>
        </is>
      </c>
      <c r="B23" s="17" t="inlineStr"/>
      <c r="C23" s="17" t="inlineStr"/>
      <c r="D23" s="17">
        <f>ROUND(D20+D21+D22-$C$20,6)</f>
        <v/>
      </c>
      <c r="E23" s="17">
        <f>ROUND(E20+E21+E22-$C$20,6)</f>
        <v/>
      </c>
      <c r="F23" s="17">
        <f>ROUND(F20+F21+F22-$C$20,6)</f>
        <v/>
      </c>
      <c r="G23" s="17">
        <f>ROUND(G20+G21+G22-$C$20,6)</f>
        <v/>
      </c>
      <c r="H23" s="17">
        <f>ROUND(H20+H21+H22-$C$20,6)</f>
        <v/>
      </c>
      <c r="I23" s="17">
        <f>ROUND(I20+I21+I22-$C$20,6)</f>
        <v/>
      </c>
      <c r="J23" s="17">
        <f>ROUND(J20+J21+J22-$C$20,6)</f>
        <v/>
      </c>
      <c r="K23" s="17">
        <f>ROUND(K20+K21+K22-$C$20,6)</f>
        <v/>
      </c>
      <c r="L23" s="17">
        <f>ROUND(L20+L21+L22-$C$20,6)</f>
        <v/>
      </c>
      <c r="M23" s="17">
        <f>ROUND(M20+M21+M22-$C$20,6)</f>
        <v/>
      </c>
      <c r="N23" s="17">
        <f>ROUND(N20+N21+N22-$C$20,6)</f>
        <v/>
      </c>
      <c r="O23" s="17">
        <f>ROUND(O20+O21+O22-$C$20,6)</f>
        <v/>
      </c>
      <c r="P23" s="17">
        <f>ROUND(P20+P21+P22-12*C20,6)</f>
        <v/>
      </c>
      <c r="Q23" s="17" t="inlineStr"/>
      <c r="R23" s="17">
        <f>R20+R21+R22</f>
        <v/>
      </c>
    </row>
    <row r="24">
      <c r="A24" t="inlineStr">
        <is>
          <t>IoT Specialist</t>
        </is>
      </c>
      <c r="B24" t="inlineStr">
        <is>
          <t>Z6</t>
        </is>
      </c>
      <c r="C24" t="n">
        <v>0.5</v>
      </c>
      <c r="D24">
        <f>$C24*$B$3</f>
        <v/>
      </c>
      <c r="E24">
        <f>$C24*$B$3</f>
        <v/>
      </c>
      <c r="F24">
        <f>$C24*$B$3</f>
        <v/>
      </c>
      <c r="G24">
        <f>$C24*$C$3</f>
        <v/>
      </c>
      <c r="H24">
        <f>$C24*$C$3</f>
        <v/>
      </c>
      <c r="I24">
        <f>$C24*$C$3</f>
        <v/>
      </c>
      <c r="J24">
        <f>$C24*$C$3</f>
        <v/>
      </c>
      <c r="K24">
        <f>$C24*$C$3</f>
        <v/>
      </c>
      <c r="L24">
        <f>$C24*$C$3</f>
        <v/>
      </c>
      <c r="M24">
        <f>$C24*$D$3</f>
        <v/>
      </c>
      <c r="N24">
        <f>$C24*$D$3</f>
        <v/>
      </c>
      <c r="O24">
        <f>$C24*$D$3</f>
        <v/>
      </c>
      <c r="P24">
        <f>SUM(D24:O24)</f>
        <v/>
      </c>
      <c r="Q24" t="n">
        <v>15000</v>
      </c>
      <c r="R24">
        <f>ROUND(Q24*1.205*P24,2)</f>
        <v/>
      </c>
    </row>
    <row r="25">
      <c r="A25" t="inlineStr">
        <is>
          <t>IoT Specialist</t>
        </is>
      </c>
      <c r="B25" t="inlineStr">
        <is>
          <t>Z7</t>
        </is>
      </c>
      <c r="C25" t="n">
        <v>0.5</v>
      </c>
      <c r="D25">
        <f>$C25*$B$4</f>
        <v/>
      </c>
      <c r="E25">
        <f>$C25*$B$4</f>
        <v/>
      </c>
      <c r="F25">
        <f>$C25*$B$4</f>
        <v/>
      </c>
      <c r="G25">
        <f>$C25*$C$4</f>
        <v/>
      </c>
      <c r="H25">
        <f>$C25*$C$4</f>
        <v/>
      </c>
      <c r="I25">
        <f>$C25*$C$4</f>
        <v/>
      </c>
      <c r="J25">
        <f>$C25*$C$4</f>
        <v/>
      </c>
      <c r="K25">
        <f>$C25*$C$4</f>
        <v/>
      </c>
      <c r="L25">
        <f>$C25*$C$4</f>
        <v/>
      </c>
      <c r="M25">
        <f>$C25*$D$4</f>
        <v/>
      </c>
      <c r="N25">
        <f>$C25*$D$4</f>
        <v/>
      </c>
      <c r="O25">
        <f>$C25*$D$4</f>
        <v/>
      </c>
      <c r="P25">
        <f>SUM(D25:O25)</f>
        <v/>
      </c>
      <c r="Q25" t="n">
        <v>15000</v>
      </c>
      <c r="R25">
        <f>ROUND(Q25*1.205*P25,2)</f>
        <v/>
      </c>
    </row>
    <row r="26">
      <c r="A26" t="inlineStr">
        <is>
          <t>IoT Specialist</t>
        </is>
      </c>
      <c r="B26" t="inlineStr">
        <is>
          <t>Z9</t>
        </is>
      </c>
      <c r="C26" t="n">
        <v>0.5</v>
      </c>
      <c r="D26">
        <f>$C26*$B$5</f>
        <v/>
      </c>
      <c r="E26">
        <f>$C26*$B$5</f>
        <v/>
      </c>
      <c r="F26">
        <f>$C26*$B$5</f>
        <v/>
      </c>
      <c r="G26">
        <f>$C26*$C$5</f>
        <v/>
      </c>
      <c r="H26">
        <f>$C26*$C$5</f>
        <v/>
      </c>
      <c r="I26">
        <f>$C26*$C$5</f>
        <v/>
      </c>
      <c r="J26">
        <f>$C26*$C$5</f>
        <v/>
      </c>
      <c r="K26">
        <f>$C26*$C$5</f>
        <v/>
      </c>
      <c r="L26">
        <f>$C26*$C$5</f>
        <v/>
      </c>
      <c r="M26">
        <f>$C26*$D$5</f>
        <v/>
      </c>
      <c r="N26">
        <f>$C26*$D$5</f>
        <v/>
      </c>
      <c r="O26">
        <f>$C26*$D$5</f>
        <v/>
      </c>
      <c r="P26">
        <f>SUM(D26:O26)</f>
        <v/>
      </c>
      <c r="Q26" t="n">
        <v>15000</v>
      </c>
      <c r="R26">
        <f>ROUND(Q24*1.205*C24*12,2)-R24-R25</f>
        <v/>
      </c>
    </row>
    <row r="27">
      <c r="A27" s="17" t="inlineStr">
        <is>
          <t>kontrola: suma miesięczna - etat (IoT Specialist)</t>
        </is>
      </c>
      <c r="B27" s="17" t="inlineStr"/>
      <c r="C27" s="17" t="inlineStr"/>
      <c r="D27" s="17">
        <f>ROUND(D24+D25+D26-$C$24,6)</f>
        <v/>
      </c>
      <c r="E27" s="17">
        <f>ROUND(E24+E25+E26-$C$24,6)</f>
        <v/>
      </c>
      <c r="F27" s="17">
        <f>ROUND(F24+F25+F26-$C$24,6)</f>
        <v/>
      </c>
      <c r="G27" s="17">
        <f>ROUND(G24+G25+G26-$C$24,6)</f>
        <v/>
      </c>
      <c r="H27" s="17">
        <f>ROUND(H24+H25+H26-$C$24,6)</f>
        <v/>
      </c>
      <c r="I27" s="17">
        <f>ROUND(I24+I25+I26-$C$24,6)</f>
        <v/>
      </c>
      <c r="J27" s="17">
        <f>ROUND(J24+J25+J26-$C$24,6)</f>
        <v/>
      </c>
      <c r="K27" s="17">
        <f>ROUND(K24+K25+K26-$C$24,6)</f>
        <v/>
      </c>
      <c r="L27" s="17">
        <f>ROUND(L24+L25+L26-$C$24,6)</f>
        <v/>
      </c>
      <c r="M27" s="17">
        <f>ROUND(M24+M25+M26-$C$24,6)</f>
        <v/>
      </c>
      <c r="N27" s="17">
        <f>ROUND(N24+N25+N26-$C$24,6)</f>
        <v/>
      </c>
      <c r="O27" s="17">
        <f>ROUND(O24+O25+O26-$C$24,6)</f>
        <v/>
      </c>
      <c r="P27" s="17">
        <f>ROUND(P24+P25+P26-12*C24,6)</f>
        <v/>
      </c>
      <c r="Q27" s="17" t="inlineStr"/>
      <c r="R27" s="17">
        <f>R24+R25+R26</f>
        <v/>
      </c>
    </row>
    <row r="28">
      <c r="A28" t="inlineStr">
        <is>
          <t>Specjalista ds. logistyki TSL</t>
        </is>
      </c>
      <c r="B28" t="inlineStr">
        <is>
          <t>Z6</t>
        </is>
      </c>
      <c r="C28" t="n">
        <v>0.5</v>
      </c>
      <c r="D28">
        <f>$C28*$B$3</f>
        <v/>
      </c>
      <c r="E28">
        <f>$C28*$B$3</f>
        <v/>
      </c>
      <c r="F28">
        <f>$C28*$B$3</f>
        <v/>
      </c>
      <c r="G28">
        <f>$C28*$C$3</f>
        <v/>
      </c>
      <c r="H28">
        <f>$C28*$C$3</f>
        <v/>
      </c>
      <c r="I28">
        <f>$C28*$C$3</f>
        <v/>
      </c>
      <c r="J28">
        <f>$C28*$C$3</f>
        <v/>
      </c>
      <c r="K28">
        <f>$C28*$C$3</f>
        <v/>
      </c>
      <c r="L28">
        <f>$C28*$C$3</f>
        <v/>
      </c>
      <c r="M28">
        <f>$C28*$D$3</f>
        <v/>
      </c>
      <c r="N28">
        <f>$C28*$D$3</f>
        <v/>
      </c>
      <c r="O28">
        <f>$C28*$D$3</f>
        <v/>
      </c>
      <c r="P28">
        <f>SUM(D28:O28)</f>
        <v/>
      </c>
      <c r="Q28" t="n">
        <v>10000</v>
      </c>
      <c r="R28">
        <f>ROUND(Q28*1.205*P28,2)</f>
        <v/>
      </c>
    </row>
    <row r="29">
      <c r="A29" t="inlineStr">
        <is>
          <t>Specjalista ds. logistyki TSL</t>
        </is>
      </c>
      <c r="B29" t="inlineStr">
        <is>
          <t>Z7</t>
        </is>
      </c>
      <c r="C29" t="n">
        <v>0.5</v>
      </c>
      <c r="D29">
        <f>$C29*$B$4</f>
        <v/>
      </c>
      <c r="E29">
        <f>$C29*$B$4</f>
        <v/>
      </c>
      <c r="F29">
        <f>$C29*$B$4</f>
        <v/>
      </c>
      <c r="G29">
        <f>$C29*$C$4</f>
        <v/>
      </c>
      <c r="H29">
        <f>$C29*$C$4</f>
        <v/>
      </c>
      <c r="I29">
        <f>$C29*$C$4</f>
        <v/>
      </c>
      <c r="J29">
        <f>$C29*$C$4</f>
        <v/>
      </c>
      <c r="K29">
        <f>$C29*$C$4</f>
        <v/>
      </c>
      <c r="L29">
        <f>$C29*$C$4</f>
        <v/>
      </c>
      <c r="M29">
        <f>$C29*$D$4</f>
        <v/>
      </c>
      <c r="N29">
        <f>$C29*$D$4</f>
        <v/>
      </c>
      <c r="O29">
        <f>$C29*$D$4</f>
        <v/>
      </c>
      <c r="P29">
        <f>SUM(D29:O29)</f>
        <v/>
      </c>
      <c r="Q29" t="n">
        <v>10000</v>
      </c>
      <c r="R29">
        <f>ROUND(Q29*1.205*P29,2)</f>
        <v/>
      </c>
    </row>
    <row r="30">
      <c r="A30" t="inlineStr">
        <is>
          <t>Specjalista ds. logistyki TSL</t>
        </is>
      </c>
      <c r="B30" t="inlineStr">
        <is>
          <t>Z9</t>
        </is>
      </c>
      <c r="C30" t="n">
        <v>0.5</v>
      </c>
      <c r="D30">
        <f>$C30*$B$5</f>
        <v/>
      </c>
      <c r="E30">
        <f>$C30*$B$5</f>
        <v/>
      </c>
      <c r="F30">
        <f>$C30*$B$5</f>
        <v/>
      </c>
      <c r="G30">
        <f>$C30*$C$5</f>
        <v/>
      </c>
      <c r="H30">
        <f>$C30*$C$5</f>
        <v/>
      </c>
      <c r="I30">
        <f>$C30*$C$5</f>
        <v/>
      </c>
      <c r="J30">
        <f>$C30*$C$5</f>
        <v/>
      </c>
      <c r="K30">
        <f>$C30*$C$5</f>
        <v/>
      </c>
      <c r="L30">
        <f>$C30*$C$5</f>
        <v/>
      </c>
      <c r="M30">
        <f>$C30*$D$5</f>
        <v/>
      </c>
      <c r="N30">
        <f>$C30*$D$5</f>
        <v/>
      </c>
      <c r="O30">
        <f>$C30*$D$5</f>
        <v/>
      </c>
      <c r="P30">
        <f>SUM(D30:O30)</f>
        <v/>
      </c>
      <c r="Q30" t="n">
        <v>10000</v>
      </c>
      <c r="R30">
        <f>ROUND(Q28*1.205*C28*12,2)-R28-R29</f>
        <v/>
      </c>
    </row>
    <row r="31">
      <c r="A31" s="17" t="inlineStr">
        <is>
          <t>kontrola: suma miesięczna - etat (Specjalista ds. logistyki TSL)</t>
        </is>
      </c>
      <c r="B31" s="17" t="inlineStr"/>
      <c r="C31" s="17" t="inlineStr"/>
      <c r="D31" s="17">
        <f>ROUND(D28+D29+D30-$C$28,6)</f>
        <v/>
      </c>
      <c r="E31" s="17">
        <f>ROUND(E28+E29+E30-$C$28,6)</f>
        <v/>
      </c>
      <c r="F31" s="17">
        <f>ROUND(F28+F29+F30-$C$28,6)</f>
        <v/>
      </c>
      <c r="G31" s="17">
        <f>ROUND(G28+G29+G30-$C$28,6)</f>
        <v/>
      </c>
      <c r="H31" s="17">
        <f>ROUND(H28+H29+H30-$C$28,6)</f>
        <v/>
      </c>
      <c r="I31" s="17">
        <f>ROUND(I28+I29+I30-$C$28,6)</f>
        <v/>
      </c>
      <c r="J31" s="17">
        <f>ROUND(J28+J29+J30-$C$28,6)</f>
        <v/>
      </c>
      <c r="K31" s="17">
        <f>ROUND(K28+K29+K30-$C$28,6)</f>
        <v/>
      </c>
      <c r="L31" s="17">
        <f>ROUND(L28+L29+L30-$C$28,6)</f>
        <v/>
      </c>
      <c r="M31" s="17">
        <f>ROUND(M28+M29+M30-$C$28,6)</f>
        <v/>
      </c>
      <c r="N31" s="17">
        <f>ROUND(N28+N29+N30-$C$28,6)</f>
        <v/>
      </c>
      <c r="O31" s="17">
        <f>ROUND(O28+O29+O30-$C$28,6)</f>
        <v/>
      </c>
      <c r="P31" s="17">
        <f>ROUND(P28+P29+P30-12*C28,6)</f>
        <v/>
      </c>
      <c r="Q31" s="17" t="inlineStr"/>
      <c r="R31" s="17">
        <f>R28+R29+R30</f>
        <v/>
      </c>
    </row>
    <row r="32">
      <c r="A32" t="inlineStr">
        <is>
          <t>Backend/Full-Stack Developer</t>
        </is>
      </c>
      <c r="B32" t="inlineStr">
        <is>
          <t>Z6</t>
        </is>
      </c>
      <c r="C32" t="n">
        <v>1</v>
      </c>
      <c r="D32" t="n">
        <v>1</v>
      </c>
      <c r="E32" t="n">
        <v>1</v>
      </c>
      <c r="F32" t="n">
        <v>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>
        <f>SUM(D32:O32)</f>
        <v/>
      </c>
      <c r="Q32" t="n">
        <v>18000</v>
      </c>
      <c r="R32">
        <f>ROUND(Q32*1.205*P32,2)</f>
        <v/>
      </c>
    </row>
    <row r="33">
      <c r="A33" t="inlineStr">
        <is>
          <t>Backend/Full-Stack Developer</t>
        </is>
      </c>
      <c r="B33" t="inlineStr">
        <is>
          <t>Z9</t>
        </is>
      </c>
      <c r="C33" t="n">
        <v>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1</v>
      </c>
      <c r="O33" t="n">
        <v>1</v>
      </c>
      <c r="P33">
        <f>SUM(D33:O33)</f>
        <v/>
      </c>
      <c r="Q33" t="n">
        <v>18000</v>
      </c>
      <c r="R33">
        <f>ROUND(Q33*1.205*P33,2)</f>
        <v/>
      </c>
    </row>
    <row r="35">
      <c r="A35" t="inlineStr">
        <is>
          <t>Razem personel Everest11 Z6</t>
        </is>
      </c>
      <c r="R35">
        <f>SUMIF(B8:B33,"Z6",R8:R33)</f>
        <v/>
      </c>
    </row>
    <row r="36">
      <c r="A36" t="inlineStr">
        <is>
          <t>Razem personel Everest11 Z7</t>
        </is>
      </c>
      <c r="R36">
        <f>SUMIF(B8:B33,"Z7",R8:R33)</f>
        <v/>
      </c>
    </row>
    <row r="37">
      <c r="A37" t="inlineStr">
        <is>
          <t>Razem personel Everest11 Z9</t>
        </is>
      </c>
      <c r="R37">
        <f>SUMIF(B8:B33,"Z9",R8:R33)</f>
        <v/>
      </c>
    </row>
    <row r="38">
      <c r="A38" t="inlineStr">
        <is>
          <t>Suma Z6+Z7+Z9</t>
        </is>
      </c>
      <c r="R38">
        <f>SUM(R35:R37)</f>
        <v/>
      </c>
    </row>
    <row r="39">
      <c r="A39" t="inlineStr">
        <is>
          <t>Stan dotychczasowy (6 stanowisk /3 + Backend Z6 12 mc)</t>
        </is>
      </c>
      <c r="R39">
        <f>959782.5+260280</f>
        <v/>
      </c>
    </row>
    <row r="40">
      <c r="A40" t="inlineStr">
        <is>
          <t>Różnica (powinna wynosić 0)</t>
        </is>
      </c>
      <c r="R40">
        <f>ROUND(R38-R39,2)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2026-10-02T06:18:43Z</dcterms:modified>
</cp:coreProperties>
</file>