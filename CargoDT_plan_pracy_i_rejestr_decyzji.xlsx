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50" customWidth="1" min="1" max="1"/>
  </cols>
  <sheetData>
    <row r="1">
      <c r="A1" s="1" t="inlineStr">
        <is>
          <t>CargoDT - plan pracy i rejestr decyzji (stan: 02.10.2026,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W TOKU: Eurostat road_eqs_semit (2023: 544,97 tys.), GITD (licencje wspólnotowe 43 280 na 07.2026). Do pobrania: wartość Eurostat 2024 z datą. "76 tys. firm" i "200 tys. naczep MŚP" bez źródła.</t>
        </is>
      </c>
      <c r="D21" s="7" t="inlineStr">
        <is>
          <t>W TOKU</t>
        </is>
      </c>
      <c r="E21" s="4" t="inlineStr">
        <is>
          <t>Claude + właściciel</t>
        </is>
      </c>
      <c r="F21" s="4" t="inlineStr">
        <is>
          <t>K2-05, K2-11, K1-05</t>
        </is>
      </c>
    </row>
    <row r="22">
      <c r="A22" s="2" t="inlineStr">
        <is>
          <t>D21</t>
        </is>
      </c>
      <c r="B22" s="2" t="inlineStr">
        <is>
          <t>K3-05: drugi anotator próby κ</t>
        </is>
      </c>
      <c r="C22" s="2" t="inlineStr">
        <is>
          <t>Trzech anotatorów Everest11 + konsensus ze specjalistą TSL; PRz tylko odbiera dataset (zakaz wzajemnego zlecania zadań personelowi, Instrukcja i Przewodnik). Zmiana względem Rejestru.</t>
        </is>
      </c>
      <c r="D22" s="12" t="inlineStr">
        <is>
          <t>DO POTWIERDZENIA</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przy niezwiększonym dofinansowaniu</t>
        </is>
      </c>
      <c r="C42" s="2" t="inlineStr">
        <is>
          <t>Suma 85 952 zł kwalifikowalnych (było 86 871), dofinansowanie 42 976 zł (było 43 435,50). Doradztwo 13 dni zamiast 16, rzecznik 20 000 zł (górna granica oferty) zamiast 22 000, materiały promocyjne 1 200 zł (element dekoracyjny 5.3.1), podróże stawką 5 489 zł: 2 osoby kongres, 1 osoba misja. Rozwija D02. Podział pakietu TRANSLOG 24 000 zł: 16 000 (rezerwacja, rejestracja, katalog, de minimis) i 8 000 (stoisko, art. 19), oszacowanie, bo organizator nie publikuje cennika. Zatwierdzona 02.10.2026.</t>
        </is>
      </c>
      <c r="D42" s="16" t="inlineStr">
        <is>
          <t>ZATWIERDZONA</t>
        </is>
      </c>
      <c r="E42" s="2" t="inlineStr">
        <is>
          <t>Właścicielka</t>
        </is>
      </c>
      <c r="F42" s="2" t="inlineStr">
        <is>
          <t>K3-24, K3-59..66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OTWARTE</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OTWARTE</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OTWARTE</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OTWARTE</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OTWARTE</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TRANSLOG: zachować korespondencję e-mail z organizatorem (ceny porównywalne z podobnymi wydarzeniami)</t>
        </is>
      </c>
      <c r="C31" s="4" t="inlineStr">
        <is>
          <t>Podział 24 000 zł jest oszacowaniem (16 000 + 8 000); tekst powołuje się na korespondencję.</t>
        </is>
      </c>
      <c r="D31" s="4" t="inlineStr">
        <is>
          <t>Właścicielka</t>
        </is>
      </c>
      <c r="E31" s="4" t="inlineStr">
        <is>
          <t>05.10</t>
        </is>
      </c>
      <c r="F31" s="4" t="inlineStr">
        <is>
          <t>K3-64</t>
        </is>
      </c>
      <c r="G31" s="4" t="inlineStr">
        <is>
          <t>OTWARTE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de minimis Everest11 z 3 lat; wniosek o PKD do 31.03.2027</t>
        </is>
      </c>
      <c r="C33" s="4" t="inlineStr">
        <is>
          <t>Umowa o wykonywaniu wspólnych praw z PRz przed Z11; wniosek o PKD do 31.03.2027; oświadczenie de minimis (Everest11: 0 zł w ostatnich 3 latach). Zob. część 8 pliku.</t>
        </is>
      </c>
      <c r="D33" s="4" t="inlineStr">
        <is>
          <t>Właścicielka, PRz, księgowość</t>
        </is>
      </c>
      <c r="E33" s="4" t="inlineStr">
        <is>
          <t>06.10</t>
        </is>
      </c>
      <c r="F33" s="4" t="inlineStr">
        <is>
          <t>K3-23, K3-24, K2-02</t>
        </is>
      </c>
      <c r="G33"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t>
        </is>
      </c>
      <c r="G1" s="3" t="inlineStr">
        <is>
          <t>W trakcie</t>
        </is>
      </c>
      <c r="H1" s="3" t="inlineStr">
        <is>
          <t>Do weryf.</t>
        </is>
      </c>
      <c r="I1" s="3" t="inlineStr">
        <is>
          <t>Zweryf. (wg Rejestru)</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Wersja 2 ryzyk w pliku Opisy_zadan_z_kamieniami_milowymi.docx, część druga (R1-R5, R9-R12, odwołania do Rady Konsorcjum z § 9 umowy konsorcjum, D27). K3-23/24 w WP09.</t>
        </is>
      </c>
    </row>
    <row r="5">
      <c r="A5" s="4" t="inlineStr">
        <is>
          <t>WP04 Innowacyjność i wskaźniki</t>
        </is>
      </c>
      <c r="B5" s="4" t="inlineStr">
        <is>
          <t>P1</t>
        </is>
      </c>
      <c r="C5" s="4" t="inlineStr">
        <is>
          <t>pon 05.10</t>
        </is>
      </c>
      <c r="D5" s="4" t="n">
        <v>7</v>
      </c>
      <c r="E5" s="4" t="inlineStr">
        <is>
          <t>K1-01, K1-02, K1-03, K1-04, K1-05, K1-06, K14-01</t>
        </is>
      </c>
      <c r="F5" s="4" t="n">
        <v>1</v>
      </c>
      <c r="G5" s="4" t="n">
        <v>0</v>
      </c>
      <c r="H5" s="4" t="n">
        <v>6</v>
      </c>
      <c r="I5" s="4" t="n">
        <v>0</v>
      </c>
      <c r="J5" s="4" t="inlineStr">
        <is>
          <t>Wersja robocza gotowa: Wskazniki_innowacyjnosci_1.2_i_1.4.docx (wskaźniki W1-W5 w 1.2, tekst 1.4 i I1-I3, zmiany w opisie innowacji, produkty referencyjne ze źródłami). Zmiany do wprowadzenia we wniosku: N32-N39. Do potwierdzenia D33: bazy zakładane (AUC ≤0,70, mAP ≤0,40), oferty cenowe dla I1, pomiar bazy mAP w Z8 (N35). Pozostaje K14-01 (nierozpoczęte).</t>
        </is>
      </c>
    </row>
    <row r="6">
      <c r="A6" s="4" t="inlineStr">
        <is>
          <t>WP05 Wdrożenie, rynek, ceny</t>
        </is>
      </c>
      <c r="B6" s="4" t="inlineStr">
        <is>
          <t>P1</t>
        </is>
      </c>
      <c r="C6" s="4" t="inlineStr">
        <is>
          <t>pon 05.10</t>
        </is>
      </c>
      <c r="D6" s="4" t="n">
        <v>9</v>
      </c>
      <c r="E6" s="4" t="inlineStr">
        <is>
          <t>K2-01, K2-04, K2-05, K2-06, K2-09, K2-10, K2-11, K2-15, K2-17</t>
        </is>
      </c>
      <c r="F6" s="4" t="n">
        <v>4</v>
      </c>
      <c r="G6" s="4" t="n">
        <v>0</v>
      </c>
      <c r="H6" s="4" t="n">
        <v>5</v>
      </c>
      <c r="I6" s="4" t="n">
        <v>0</v>
      </c>
      <c r="J6" s="4" t="inlineStr">
        <is>
          <t>Wersja robocza gotowa: Sekcja_1.3_i_ceny.docx (tekst 1.3 8 023 znaki, korekty błędów w danych, lista danych do uzupełnienia). Zmiany do wprowadzenia: N40-N46. Decyzje: D34, D35. Zadania: T14-T16, T10. Poza tym pakietem zostają K2-02, K2-03, K2-04, K2-07, K2-08, K2-09 (WP10 i 2.1).</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11</v>
      </c>
      <c r="G7" s="4" t="n">
        <v>0</v>
      </c>
      <c r="H7" s="4" t="n">
        <v>9</v>
      </c>
      <c r="I7" s="4" t="n">
        <v>1</v>
      </c>
      <c r="J7" s="4" t="inlineStr">
        <is>
          <t>Cz. 1 gotowa: Sekcja_6.1_zespol_projektowy.docx (K5-01 do K5-11: sposób zarządzania, personel planowany, pola osobowe, doświadczenie Chrzanowskiego, dopiski Kordos i Hajduk, rozdział IT/Backend, karta 276 h). Założenia D37 do potwierdzenia (T23). Uzasadnienia kosztu i metoda szacowania Everest11 gotowe (Opisy_zadan, cz. 3 i 4). Do zrobienia: stawki PRz (K3-41, K3-42). Cz. 2 gotowa: Sekcja_6.2-6.4_zasoby_podwykonawca.docx (K5-12 do K5-19); żółte pola do uzupełnienia: T25, T26.</t>
        </is>
      </c>
    </row>
    <row r="8">
      <c r="A8" s="4" t="inlineStr">
        <is>
          <t>WP07 Podwykonawcy i montaż</t>
        </is>
      </c>
      <c r="B8" s="4" t="inlineStr">
        <is>
          <t>P1</t>
        </is>
      </c>
      <c r="C8" s="4" t="inlineStr">
        <is>
          <t>pt 02.10</t>
        </is>
      </c>
      <c r="D8" s="4" t="n">
        <v>6</v>
      </c>
      <c r="E8" s="4" t="inlineStr">
        <is>
          <t>K3-43, K3-44, K3-45, K3-46, K3-47, K5-19</t>
        </is>
      </c>
      <c r="F8" s="4" t="n">
        <v>1</v>
      </c>
      <c r="G8" s="4" t="n">
        <v>0</v>
      </c>
      <c r="H8" s="4" t="n">
        <v>3</v>
      </c>
      <c r="I8" s="4" t="n">
        <v>2</v>
      </c>
      <c r="J8" s="4" t="inlineStr">
        <is>
          <t>Tekst do wklejenia + podżądania (macierz pokrycia) - do wypełnienia</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Tekst do wklejenia + podżądania (macierz pokrycia) - do wypełnienia</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Tekst gotowy, 0 żółtych: Sekcja_3.2_internacjonalizacja_Z10_Z11.docx; zadania T30, T32</t>
        </is>
      </c>
    </row>
    <row r="11">
      <c r="A11" s="4" t="inlineStr">
        <is>
          <t>WP10 Zasoby, IP, WNiP</t>
        </is>
      </c>
      <c r="B11" s="4" t="inlineStr">
        <is>
          <t>P1</t>
        </is>
      </c>
      <c r="C11" s="4" t="inlineStr">
        <is>
          <t>pon 05.10</t>
        </is>
      </c>
      <c r="D11" s="4" t="n">
        <v>11</v>
      </c>
      <c r="E11" s="4" t="inlineStr">
        <is>
          <t>K2-02, K2-03, K2-07, K2-08, K5-12, K5-13, K5-14, K5-15, K5-16, K5-17, K5-18</t>
        </is>
      </c>
      <c r="F11" s="4" t="n">
        <v>11</v>
      </c>
      <c r="G11" s="4" t="n">
        <v>0</v>
      </c>
      <c r="H11" s="4" t="n">
        <v>0</v>
      </c>
      <c r="I11" s="4" t="n">
        <v>0</v>
      </c>
      <c r="J11" s="4" t="inlineStr">
        <is>
          <t>Wersja robocza gotowa: Sekcja_2.2_i_2.5_prawa_FTO_zasoby.docx (K2-02, K2-03, K2-04, K2-07, K2-08, K2-09): teksty pól 2.2 i 2.5, rejestr patentów, wariant A/B praw. Zmiany: N51-N56. Decyzja D36, zadania T20-T22. Pozostają K5-12 do K5-15 (flota, zasoby, 6.x).</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Tekst do wklejenia + podżądania (macierz pokrycia) - do wypełnienia</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14</v>
      </c>
      <c r="G13" s="4" t="n">
        <v>0</v>
      </c>
      <c r="H13" s="4" t="n">
        <v>0</v>
      </c>
      <c r="I13" s="4" t="n">
        <v>0</v>
      </c>
      <c r="J13" s="4" t="inlineStr">
        <is>
          <t>Tekst gotowy (Sekcja_7_zasady_horyzontalne_6R.docx), do potwierdzenia T27-T29</t>
        </is>
      </c>
    </row>
    <row r="14">
      <c r="A14" s="4" t="inlineStr">
        <is>
          <t>RAZEM</t>
        </is>
      </c>
      <c r="B14" s="4" t="inlineStr"/>
      <c r="C14" s="4" t="inlineStr"/>
      <c r="D14" s="4" t="n">
        <v>141</v>
      </c>
      <c r="E14" s="4" t="inlineStr"/>
      <c r="F14" s="4" t="inlineStr"/>
      <c r="G14" s="4" t="inlineStr"/>
      <c r="H14" s="4" t="inlineStr"/>
      <c r="I14" s="4" t="inlineStr"/>
      <c r="J14"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OTWARTE</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OTWARTE</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OTWARTE</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OTWARTE</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OTWARTE</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OTWARTE</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OTWARTE</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OTWARTE</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OTWARTE</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OTWARTE</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OTWARTE</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OTWARTE</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OTWARTE</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OTWARTE</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OTWARTE</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OTWARTE</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OTWARTE</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OTWARTE</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OTWARTE</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OTWARTE</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OTWARTE</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OTWARTE</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OTWARTE</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OTWARTE</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OTWARTE</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OTWARTE</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OTWARTE</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OTWARTE</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OTWARTE</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OTWARTE</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OTWARTE</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OTWARTE</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OTWARTE</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OTWARTE</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OTWARTE</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OTWARTE</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OTWARTE</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OTWARTE</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OTWARTE</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OTWARTE</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OTWARTE</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OTWARTE</t>
        </is>
      </c>
    </row>
    <row r="45">
      <c r="A45" s="2" t="inlineStr">
        <is>
          <t>N44</t>
        </is>
      </c>
      <c r="B45" s="2" t="inlineStr">
        <is>
          <t>Model finansowy: komentarz w Przychodach</t>
        </is>
      </c>
      <c r="C45" s="2" t="inlineStr">
        <is>
          <t>„Ekspansja CEE od 2033”, „ROI od pierwszego roku”, 5 500 PLN, spadek naczep 31,4% (z liczb 31,8%).</t>
        </is>
      </c>
      <c r="D45" s="2" t="inlineStr">
        <is>
          <t>Poprawić komentarz tak jak w N40-N42.</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OTWARTE</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OTWARTE</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OTWARTE</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OTWARTE</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OTWARTE</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OTWARTE</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OTWARTE</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OTWARTE</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OTWARTE</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OTWARTE</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Zmienić na trzech operatorów (D35), dopisać liczbę etatów zespołu komercjalizacji (345,6 tys. zł w 2030 r. do 1 036,8 tys. zł w 2034 r.).</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OTWARTE</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OTWARTE</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OTWARTE</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OTWARTE</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OTWARTE</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OTWARTE</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OTWARTE</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OTWARTE</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OTWARTE</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OTWARTE</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OTWARTE</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OTWARTE</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zadania: umowa o wykonywaniu wspólnych praw, PKD, oświadczenie de minimis</t>
        </is>
      </c>
      <c r="D10" s="2" t="inlineStr">
        <is>
          <t>Właścicielka, PRz, księgowość: T30, 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2026-10-02T14:00:38Z</dcterms:modified>
</cp:coreProperties>
</file>