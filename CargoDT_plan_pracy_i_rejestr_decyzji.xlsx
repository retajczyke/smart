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Zasady" sheetId="1" state="visible" r:id="rId1"/>
    <sheet xmlns:r="http://schemas.openxmlformats.org/officeDocument/2006/relationships" name="1_Decyzje" sheetId="2" state="visible" r:id="rId2"/>
    <sheet xmlns:r="http://schemas.openxmlformats.org/officeDocument/2006/relationships" name="2_Do_zrobienia" sheetId="3" state="visible" r:id="rId3"/>
    <sheet xmlns:r="http://schemas.openxmlformats.org/officeDocument/2006/relationships" name="3_Pakiety_pól" sheetId="4" state="visible" r:id="rId4"/>
    <sheet xmlns:r="http://schemas.openxmlformats.org/officeDocument/2006/relationships" name="4_Ceny_źródła" sheetId="5" state="visible" r:id="rId5"/>
    <sheet xmlns:r="http://schemas.openxmlformats.org/officeDocument/2006/relationships" name="5_Model_marży" sheetId="6" state="visible" r:id="rId6"/>
    <sheet xmlns:r="http://schemas.openxmlformats.org/officeDocument/2006/relationships" name="6_Aneks_flota" sheetId="7" state="visible" r:id="rId7"/>
    <sheet xmlns:r="http://schemas.openxmlformats.org/officeDocument/2006/relationships" name="7_Kontrola_błędów" sheetId="8" state="visible" r:id="rId8"/>
    <sheet xmlns:r="http://schemas.openxmlformats.org/officeDocument/2006/relationships" name="8_Moje_błędy_i_korekty" sheetId="9" state="visible" r:id="rId9"/>
    <sheet xmlns:r="http://schemas.openxmlformats.org/officeDocument/2006/relationships" name="9_Niespójności" sheetId="10" state="visible" r:id="rId10"/>
    <sheet xmlns:r="http://schemas.openxmlformats.org/officeDocument/2006/relationships" name="10_Podział_etatów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2"/>
    </font>
    <font>
      <b val="1"/>
    </font>
    <font>
      <i val="1"/>
      <color rgb="00666666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4" fillId="7" borderId="0" pivotButton="0" quotePrefix="0" xfId="0"/>
    <xf numFmtId="164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CargoDT - plan pracy i rejestr decyzji (stan: 01.10.2026, termin korekty w LSI: 06.10.2026)</t>
        </is>
      </c>
    </row>
    <row r="2">
      <c r="A2" s="2" t="inlineStr"/>
    </row>
    <row r="3">
      <c r="A3" s="2" t="inlineStr">
        <is>
          <t>JEDNO ŹRÓDŁO PRAWDY: ten plik + arkusz "Rejestr uwag". Czat służy tylko do statusów i decyzji.</t>
        </is>
      </c>
    </row>
    <row r="4">
      <c r="A4" s="2" t="inlineStr">
        <is>
          <t>1. Praca po polach LSI (arkusz 3), nie po pojedynczych uwagach. Pole piszemy raz, odpowiadając na wszystkie przypisane do niego uwagi.</t>
        </is>
      </c>
    </row>
    <row r="5">
      <c r="A5" s="2" t="inlineStr">
        <is>
          <t>2. Kolejność: najpierw pakiety, które mogą dać 0 pkt w K1/K2/K3 lub NIE w K5/K6 (priorytet P1), potem P2.</t>
        </is>
      </c>
    </row>
    <row r="6">
      <c r="A6" s="2" t="inlineStr">
        <is>
          <t>3. Maksymalnie kilka pozycji w jednej wiadomości. Wątki poboczne trafiają do "Wątki otwarte" (arkusz 2) i nie blokują pakietów.</t>
        </is>
      </c>
    </row>
    <row r="7">
      <c r="A7" s="2" t="inlineStr">
        <is>
          <t>4. Każda liczba ma źródło (arkusz 4) albo jest oznaczona jako ZAŁOŻENIE. Zakaz dopasowywania liczb do sumy bez źródła.</t>
        </is>
      </c>
    </row>
    <row r="8">
      <c r="A8" s="2" t="inlineStr">
        <is>
          <t>5. Status "Zweryfikowane" w Rejestrze nadajemy dopiero po kontroli w arkuszu 7 (nie przez autora tekstu).</t>
        </is>
      </c>
    </row>
    <row r="9">
      <c r="A9" s="2" t="inlineStr">
        <is>
          <t>6. Zmiany spoza zakresu wezwania są oceniane (Regulamin par. 8 ust. 15) - każda zmiana musi mieć powód (ID uwagi albo skutek uboczny).</t>
        </is>
      </c>
    </row>
    <row r="10">
      <c r="A10" s="2" t="inlineStr">
        <is>
          <t>7. Twarde ograniczenia: dofinansowanie nie rośnie (projekt 3 998 262,02 zł; Everest11 2 964 296,12 zł; PRz 1 033 965,90 zł); brak nowych osób i nowych podwykonawców B+R; 1 zadanie = 1 konsorcjant; 276 h/mies.; limit 15% wydatków fakultatywnych; podwykonawstwo &lt;=50% (Lider).</t>
        </is>
      </c>
    </row>
    <row r="11">
      <c r="A11" s="2" t="inlineStr"/>
    </row>
    <row r="12">
      <c r="A12" s="2" t="inlineStr">
        <is>
          <t>Terminarz: czw 01.10 decyzje + księga kosztów | pt 02.10 pakiety WP01-WP03, WP06-WP09 (K3) | pon 05.10 WP04, WP05, WP10, WP11 | wt 06.10 WP12, kontrola (arkusz 7), wklejenie do LSI</t>
        </is>
      </c>
    </row>
    <row r="13">
      <c r="A13" s="2" t="inlineStr">
        <is>
          <t>Legenda statusów decyzji: ZATWIERDZONA / POTWIERDZONE (zamknięte) | W TOKU / DO POTWIERDZENIA (żółte) | OTWARTA* (czerwone, wymaga decyzji lub konsultacji)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5" customWidth="1" min="3" max="3"/>
    <col width="18" customWidth="1" min="4" max="4"/>
    <col width="22" customWidth="1" min="5" max="5"/>
    <col width="30" customWidth="1" min="6" max="6"/>
  </cols>
  <sheetData>
    <row r="1">
      <c r="A1" s="3" t="inlineStr">
        <is>
          <t>ID</t>
        </is>
      </c>
      <c r="B1" s="3" t="inlineStr">
        <is>
          <t>Temat</t>
        </is>
      </c>
      <c r="C1" s="3" t="inlineStr">
        <is>
          <t>Decyzja / ustalenie</t>
        </is>
      </c>
      <c r="D1" s="3" t="inlineStr">
        <is>
          <t>Status</t>
        </is>
      </c>
      <c r="E1" s="3" t="inlineStr">
        <is>
          <t>Kto</t>
        </is>
      </c>
      <c r="F1" s="3" t="inlineStr">
        <is>
          <t>Powiązane uwagi</t>
        </is>
      </c>
    </row>
    <row r="2">
      <c r="A2" s="4" t="inlineStr">
        <is>
          <t>D01</t>
        </is>
      </c>
      <c r="B2" s="4" t="inlineStr">
        <is>
          <t>Amortyzacja jednorazowa dla wszystkich pozycji</t>
        </is>
      </c>
      <c r="C2" s="4" t="inlineStr">
        <is>
          <t>Zatwierdzona. Opis każdej pozycji: podstawa (polityka rachunkowości), używanie wyłącznie w projekcie, likwidacja po M30 z protokołem (potwierdzone: Everest11 i PRz), brak współfinansowania z innych źródeł. Ryzyko: jeśli sprzęt faktycznie zostaje po M30, zapis byłby nieprawdziwy.</t>
        </is>
      </c>
      <c r="D2" s="5" t="inlineStr">
        <is>
          <t>ZATWIERDZONA</t>
        </is>
      </c>
      <c r="E2" s="4" t="inlineStr">
        <is>
          <t>Właściciel</t>
        </is>
      </c>
      <c r="F2" s="4" t="inlineStr">
        <is>
          <t>K3-50..58, K3-56, K3-57</t>
        </is>
      </c>
    </row>
    <row r="3">
      <c r="A3" s="4" t="inlineStr">
        <is>
          <t>D02</t>
        </is>
      </c>
      <c r="B3" s="4" t="inlineStr">
        <is>
          <t>Internacjonalizacja zostaje (Z10 i Z11)</t>
        </is>
      </c>
      <c r="C3" s="4" t="inlineStr">
        <is>
          <t>Zatwierdzona; zmiana kategorii wydatków przy sumie bez zmian. Podróże wg stawki jednostkowej (5.3.3/5.3.4), materiały promocyjne tylko jako element dekoracyjny stoiska (5.3.1), badanie zdolności patentowej = de minimis (5.3.11), tekst o wytwarzaniu produktu w Polsce.</t>
        </is>
      </c>
      <c r="D3" s="5" t="inlineStr">
        <is>
          <t>ZATWIERDZONA</t>
        </is>
      </c>
      <c r="E3" s="4" t="inlineStr">
        <is>
          <t>Właściciel</t>
        </is>
      </c>
      <c r="F3" s="4" t="inlineStr">
        <is>
          <t>K3-23, K3-24, K3-59..66, K14-01</t>
        </is>
      </c>
    </row>
    <row r="4">
      <c r="A4" s="4" t="inlineStr">
        <is>
          <t>D03</t>
        </is>
      </c>
      <c r="B4" s="4" t="inlineStr">
        <is>
          <t>Z1/Z3/Z4/Z6 bronione jako B+R</t>
        </is>
      </c>
      <c r="C4" s="4" t="inlineStr">
        <is>
          <t>Zatwierdzona. Do opisów: hipoteza, niepewność techniczna, eksperyment, mierzalny wynik; rutynowe elementy usunięte z zakresu i kosztów.</t>
        </is>
      </c>
      <c r="D4" s="5" t="inlineStr">
        <is>
          <t>ZATWIERDZONA</t>
        </is>
      </c>
      <c r="E4" s="4" t="inlineStr">
        <is>
          <t>Właściciel</t>
        </is>
      </c>
      <c r="F4" s="4" t="inlineStr">
        <is>
          <t>K3-01..08</t>
        </is>
      </c>
    </row>
    <row r="5">
      <c r="A5" s="4" t="inlineStr">
        <is>
          <t>D04</t>
        </is>
      </c>
      <c r="B5" s="4" t="inlineStr">
        <is>
          <t>Walidacja AUC: klasa pozytywna = zdarzenie ryzyka, podział danych, progi</t>
        </is>
      </c>
      <c r="C5" s="4" t="inlineStr">
        <is>
          <t>Zatwierdzona ("ok"). Do uzupełnienia danymi: liczba przesyłek na kurs (Natanek/Everest11).</t>
        </is>
      </c>
      <c r="D5" s="5" t="inlineStr">
        <is>
          <t>ZATWIERDZONA</t>
        </is>
      </c>
      <c r="E5" s="4" t="inlineStr">
        <is>
          <t>Właściciel</t>
        </is>
      </c>
      <c r="F5" s="4" t="inlineStr">
        <is>
          <t>K3-04, K3-15, K3-18; K1-03</t>
        </is>
      </c>
    </row>
    <row r="6">
      <c r="A6" s="4" t="inlineStr">
        <is>
          <t>D05</t>
        </is>
      </c>
      <c r="B6" s="4" t="inlineStr">
        <is>
          <t>Ścieżka audytu Z9 (inspekcja na ślepo, log niemodyfikowalny, zamrożony skrypt, niezależny ewaluator, próbka 10%, podpis kierowników, PRz tylko odbiór metodyczny w Z8)</t>
        </is>
      </c>
      <c r="C6" s="4" t="inlineStr">
        <is>
          <t>Zatwierdzona.</t>
        </is>
      </c>
      <c r="D6" s="5" t="inlineStr">
        <is>
          <t>ZATWIERDZONA</t>
        </is>
      </c>
      <c r="E6" s="4" t="inlineStr">
        <is>
          <t>Właściciel</t>
        </is>
      </c>
      <c r="F6" s="4" t="inlineStr">
        <is>
          <t>K3-11, K3-12, K3-29; K5-04, K5-07, K5-12</t>
        </is>
      </c>
    </row>
    <row r="7">
      <c r="A7" s="4" t="inlineStr">
        <is>
          <t>D06</t>
        </is>
      </c>
      <c r="B7" s="4" t="inlineStr">
        <is>
          <t>Tor pomiarowy Z2 / typy i liczba kamer</t>
        </is>
      </c>
      <c r="C7" s="4" t="inlineStr">
        <is>
          <t>OTWARTA*: do konsultacji z działem technicznym. Rekomendacja: prawdziwy ToF (OAK-D Pro W to active stereo), 1 ToF + 1 EO na naczepę, konfiguracja 3-4 kamer testowana w laboratorium PRz. W tekście do czasu decyzji oznaczenie *.</t>
        </is>
      </c>
      <c r="D7" s="6" t="inlineStr">
        <is>
          <t>OTWARTA*</t>
        </is>
      </c>
      <c r="E7" s="4" t="inlineStr">
        <is>
          <t>Właściciel + dział techniczny</t>
        </is>
      </c>
      <c r="F7" s="4" t="inlineStr">
        <is>
          <t>K3-55, K3-02</t>
        </is>
      </c>
    </row>
    <row r="8">
      <c r="A8" s="4" t="inlineStr">
        <is>
          <t>D07</t>
        </is>
      </c>
      <c r="B8" s="4" t="inlineStr">
        <is>
          <t>Backend/Full-Stack: Z6 (M19-M27) 9 mies. + Z9 (M28-M30) 3 mies.; koszt łączny bez zmian (260 280 zł)</t>
        </is>
      </c>
      <c r="C8" s="4" t="inlineStr">
        <is>
          <t>Zatwierdzona. Wymaga dopisania zakresu w Z9 i usunięcia "utrzymania" i rutynowych integracji z Z6.</t>
        </is>
      </c>
      <c r="D8" s="5" t="inlineStr">
        <is>
          <t>ZATWIERDZONA</t>
        </is>
      </c>
      <c r="E8" s="4" t="inlineStr">
        <is>
          <t>Właściciel</t>
        </is>
      </c>
      <c r="F8" s="4" t="inlineStr">
        <is>
          <t>K3-08, K3-36, K3-37; K5-02</t>
        </is>
      </c>
    </row>
    <row r="9">
      <c r="A9" s="4" t="inlineStr">
        <is>
          <t>D08</t>
        </is>
      </c>
      <c r="B9" s="4" t="inlineStr">
        <is>
          <t>Montaż pozostaje podwykonawstwem B+R (nie zmieniamy kategorii)</t>
        </is>
      </c>
      <c r="C9" s="4" t="inlineStr">
        <is>
          <t>Zatwierdzona. Uzupełnić wymagania minimalne dla niewybranego podwykonawcy.</t>
        </is>
      </c>
      <c r="D9" s="5" t="inlineStr">
        <is>
          <t>ZATWIERDZONA</t>
        </is>
      </c>
      <c r="E9" s="4" t="inlineStr">
        <is>
          <t>Właściciel</t>
        </is>
      </c>
      <c r="F9" s="4" t="inlineStr">
        <is>
          <t>K3-03, K3-44, K3-45; K5-19</t>
        </is>
      </c>
    </row>
    <row r="10">
      <c r="A10" s="4" t="inlineStr">
        <is>
          <t>D09</t>
        </is>
      </c>
      <c r="B10" s="4" t="inlineStr">
        <is>
          <t>Data wdrożenia = start sprzedaży 01/2030</t>
        </is>
      </c>
      <c r="C10" s="4" t="inlineStr">
        <is>
          <t>Zatwierdzona. Ujednolicić we wniosku i modelu finansowym.</t>
        </is>
      </c>
      <c r="D10" s="5" t="inlineStr">
        <is>
          <t>ZATWIERDZONA</t>
        </is>
      </c>
      <c r="E10" s="4" t="inlineStr">
        <is>
          <t>Właściciel</t>
        </is>
      </c>
      <c r="F10" s="4" t="inlineStr">
        <is>
          <t>K2-06, K14-01</t>
        </is>
      </c>
    </row>
    <row r="11">
      <c r="A11" s="4" t="inlineStr">
        <is>
          <t>D10</t>
        </is>
      </c>
      <c r="B11" s="4" t="inlineStr">
        <is>
          <t>Flota własna Everest11: 5 pojazdów w najmie (zestawy ciągnik+naczepa), wzrost do 20</t>
        </is>
      </c>
      <c r="C11" s="4" t="inlineStr">
        <is>
          <t>Zatwierdzona. Aneks do umów podpisany przed wysłaniem poprawki; do wniosku bez załączników, treść umów opisana w tekście (klauzule: arkusz 6).</t>
        </is>
      </c>
      <c r="D11" s="5" t="inlineStr">
        <is>
          <t>ZATWIERDZONA</t>
        </is>
      </c>
      <c r="E11" s="4" t="inlineStr">
        <is>
          <t>Właściciel</t>
        </is>
      </c>
      <c r="F11" s="4" t="inlineStr">
        <is>
          <t>K2-01, K2-16, K2-04</t>
        </is>
      </c>
    </row>
    <row r="12">
      <c r="A12" s="4" t="inlineStr">
        <is>
          <t>D11</t>
        </is>
      </c>
      <c r="B12" s="4" t="inlineStr">
        <is>
          <t>Model cenowo-kosztowy: dwie klasy produktu (premium &lt;10% sprzedaży, koszt ok. 30 tys. zł; podstawowa), marża łączna 10%</t>
        </is>
      </c>
      <c r="C12" s="4" t="inlineStr">
        <is>
          <t>W TOKU: model w arkuszu 5. Przy domyślnych założeniach (rabat 30% poza Jetsonem) koszt serii wersji podstawowej to ok. 7,6 tys. zł, a cena dla marży łącznej 10% ok. 8,6 tys. zł. Przy cenie 7 500 zł marża łączna 10% wymaga kosztu serii &lt;= ok. 6,6 tys. zł (parametry edytowalne).</t>
        </is>
      </c>
      <c r="D12" s="7" t="inlineStr">
        <is>
          <t>W TOKU</t>
        </is>
      </c>
      <c r="E12" s="4" t="inlineStr">
        <is>
          <t>Claude + właściciel</t>
        </is>
      </c>
      <c r="F12" s="4" t="inlineStr">
        <is>
          <t>K2-12, K2-13, K2-14, K2-15</t>
        </is>
      </c>
    </row>
    <row r="13">
      <c r="A13" s="4" t="inlineStr">
        <is>
          <t>D12</t>
        </is>
      </c>
      <c r="B13" s="4" t="inlineStr">
        <is>
          <t>Kamera ToF PRz typ 2: 10 000 zł</t>
        </is>
      </c>
      <c r="C13" s="4" t="inlineStr">
        <is>
          <t>Zatwierdzona przez właściciela. Uwaga: ceny katalogowe przemysłowych ToF (Basler blaze 1 579 EUR, Lucid Helios2+ 1 800 EUR) to ok. 6,9-7,9 tys. zł za kamerę; 10 000 zł jest spójne tylko jako ZESTAW (kamera + zasilanie/PoE + obudowa/uchwyt + kable). Opis pozycji musi mówić "zestaw", a pozycja "Akcesoria typ 2" nie może dublować tych elementów.</t>
        </is>
      </c>
      <c r="D13" s="5" t="inlineStr">
        <is>
          <t>ZATWIERDZONA</t>
        </is>
      </c>
      <c r="E13" s="4" t="inlineStr">
        <is>
          <t>Właściciel</t>
        </is>
      </c>
      <c r="F13" s="4" t="inlineStr">
        <is>
          <t>K3-50</t>
        </is>
      </c>
    </row>
    <row r="14">
      <c r="A14" s="4" t="inlineStr">
        <is>
          <t>D13</t>
        </is>
      </c>
      <c r="B14" s="4" t="inlineStr">
        <is>
          <t>Dokument "Badanie stanu techniki" nie jest udostępniany - poza zakresem poprawek</t>
        </is>
      </c>
      <c r="C14" s="4" t="inlineStr">
        <is>
          <t>Zatwierdzona. Uwaga: K2-09/K1-01 dotyczą treści pól w LSI ("Opis uzyskanych wyników"), więc przykłady z baz trzeba wpisać w LSI.</t>
        </is>
      </c>
      <c r="D14" s="5" t="inlineStr">
        <is>
          <t>ZATWIERDZONA</t>
        </is>
      </c>
      <c r="E14" s="4" t="inlineStr">
        <is>
          <t>Właściciel</t>
        </is>
      </c>
      <c r="F14" s="4" t="inlineStr">
        <is>
          <t>K2-09, K1-01</t>
        </is>
      </c>
    </row>
    <row r="15">
      <c r="A15" s="4" t="inlineStr">
        <is>
          <t>D14</t>
        </is>
      </c>
      <c r="B15" s="4" t="inlineStr">
        <is>
          <t>Edge AI w Z2: ceny z cenników publicznych (nie oferty)</t>
        </is>
      </c>
      <c r="C15" s="4" t="inlineStr">
        <is>
          <t>W TOKU: arkusz 4 (Jetson Orin Nano 8 GB moduł ok. 1 400-1 520 zł). Liczba kompletów i klasa dysku zależą od D06.</t>
        </is>
      </c>
      <c r="D15" s="7" t="inlineStr">
        <is>
          <t>W TOKU</t>
        </is>
      </c>
      <c r="E15" s="4" t="inlineStr">
        <is>
          <t>Claude</t>
        </is>
      </c>
      <c r="F15" s="4" t="inlineStr">
        <is>
          <t>K3-48, K3-49</t>
        </is>
      </c>
    </row>
    <row r="16">
      <c r="A16" s="4" t="inlineStr">
        <is>
          <t>D15</t>
        </is>
      </c>
      <c r="B16" s="4" t="inlineStr">
        <is>
          <t>Pkt 5.6: pracownik Everest11 jako ground truth (rozwiązanie proceduralne z D05)</t>
        </is>
      </c>
      <c r="C16" s="4" t="inlineStr">
        <is>
          <t>Zatwierdzona.</t>
        </is>
      </c>
      <c r="D16" s="5" t="inlineStr">
        <is>
          <t>ZATWIERDZONA</t>
        </is>
      </c>
      <c r="E16" s="4" t="inlineStr">
        <is>
          <t>Właściciel</t>
        </is>
      </c>
      <c r="F16" s="4" t="inlineStr">
        <is>
          <t>K3-11</t>
        </is>
      </c>
    </row>
    <row r="17">
      <c r="A17" s="4" t="inlineStr">
        <is>
          <t>D16</t>
        </is>
      </c>
      <c r="B17" s="4" t="inlineStr">
        <is>
          <t>Wskaźnik AUC: baza = metoda referencyjna (progowy alarm EN 12195-1) zmierzona w KM-Z4</t>
        </is>
      </c>
      <c r="C17" s="4" t="inlineStr">
        <is>
          <t>Zatwierdzona do próby: baza = detektor progowy wg EN 12195-1 zmierzony na tym samym teście w Z4 (opis w Z4 i KM-Z4). Właściciel: "spróbuj taką jak rekomendujesz, najwyżej zmienisz".</t>
        </is>
      </c>
      <c r="D17" s="5" t="inlineStr">
        <is>
          <t>ZATWIERDZONA</t>
        </is>
      </c>
      <c r="E17" s="4" t="inlineStr">
        <is>
          <t>Właściciel</t>
        </is>
      </c>
      <c r="F17" s="4" t="inlineStr">
        <is>
          <t>K1-03</t>
        </is>
      </c>
    </row>
    <row r="18">
      <c r="A18" s="4" t="inlineStr">
        <is>
          <t>D17</t>
        </is>
      </c>
      <c r="B18" s="4" t="inlineStr">
        <is>
          <t>6R: REFUSE -&gt; REDUCE (uwaga eksperta K13-02: REFUSE wymaga 100%)</t>
        </is>
      </c>
      <c r="C18" s="4" t="inlineStr">
        <is>
          <t>Zatwierdzona (TAK): REDUCE ze wskaźnikiem ograniczenia dokumentów papierowych (WP12).</t>
        </is>
      </c>
      <c r="D18" s="5" t="inlineStr">
        <is>
          <t>ZATWIERDZONA</t>
        </is>
      </c>
      <c r="E18" s="4" t="inlineStr">
        <is>
          <t>Właściciel</t>
        </is>
      </c>
      <c r="F18" s="4" t="inlineStr">
        <is>
          <t>K13-02, K13-03</t>
        </is>
      </c>
    </row>
    <row r="19">
      <c r="A19" s="4" t="inlineStr">
        <is>
          <t>D18</t>
        </is>
      </c>
      <c r="B19" s="4" t="inlineStr">
        <is>
          <t>Parametry KM w jednostkach SI (g -&gt; m/s^2; TOPS jako wyjątek z uzasadnieniem)</t>
        </is>
      </c>
      <c r="C19" s="4" t="inlineStr">
        <is>
          <t>Zatwierdzona (zasada użytkownika).</t>
        </is>
      </c>
      <c r="D19" s="5" t="inlineStr">
        <is>
          <t>ZATWIERDZONA</t>
        </is>
      </c>
      <c r="E19" s="4" t="inlineStr">
        <is>
          <t>Właściciel</t>
        </is>
      </c>
      <c r="F19" s="4" t="inlineStr">
        <is>
          <t>K3-14..22</t>
        </is>
      </c>
    </row>
    <row r="20">
      <c r="A20" s="4" t="inlineStr">
        <is>
          <t>D19</t>
        </is>
      </c>
      <c r="B20" s="4" t="inlineStr">
        <is>
          <t>Kordos i Chrzanowski: wynagrodzenie w kosztach pośrednich; oświadczenie, że nie pełnią funkcji zarządczych na PRz</t>
        </is>
      </c>
      <c r="C20" s="4" t="inlineStr">
        <is>
          <t>Zatwierdzona. Biografia Chrzanowskiego: funkcje "koordynatora wydziałowego" opisać jako przeszłe.</t>
        </is>
      </c>
      <c r="D20" s="5" t="inlineStr">
        <is>
          <t>ZATWIERDZONA</t>
        </is>
      </c>
      <c r="E20" s="4" t="inlineStr">
        <is>
          <t>Właściciel</t>
        </is>
      </c>
      <c r="F20" s="4" t="inlineStr">
        <is>
          <t>K3-33, K5-08, K5-09</t>
        </is>
      </c>
    </row>
    <row r="21">
      <c r="A21" s="4" t="inlineStr">
        <is>
          <t>D20</t>
        </is>
      </c>
      <c r="B21" s="4" t="inlineStr">
        <is>
          <t>Źródła rynkowe (liczba naczep, liczba firm)</t>
        </is>
      </c>
      <c r="C21" s="4" t="inlineStr">
        <is>
          <t>W TOKU: Eurostat road_eqs_semit (2023: 544,97 tys.), GITD (licencje wspólnotowe 43 280 na 07.2026). Do pobrania: wartość Eurostat 2024 z datą. "76 tys. firm" i "200 tys. naczep MŚP" bez źródła.</t>
        </is>
      </c>
      <c r="D21" s="7" t="inlineStr">
        <is>
          <t>W TOKU</t>
        </is>
      </c>
      <c r="E21" s="4" t="inlineStr">
        <is>
          <t>Claude + właściciel</t>
        </is>
      </c>
      <c r="F21" s="4" t="inlineStr">
        <is>
          <t>K2-05, K2-11, K1-05</t>
        </is>
      </c>
    </row>
    <row r="22">
      <c r="A22" s="2" t="inlineStr">
        <is>
          <t>D21</t>
        </is>
      </c>
      <c r="B22" s="2" t="inlineStr">
        <is>
          <t>K3-05: drugi anotator próby κ</t>
        </is>
      </c>
      <c r="C22" s="2" t="inlineStr">
        <is>
          <t>Trzech anotatorów Everest11 + konsensus ze specjalistą TSL; PRz tylko odbiera dataset (zakaz wzajemnego zlecania zadań personelowi, Instrukcja i Przewodnik). Zmiana względem Rejestru.</t>
        </is>
      </c>
      <c r="D22" s="12" t="inlineStr">
        <is>
          <t>DO POTWIERDZENIA</t>
        </is>
      </c>
      <c r="E22" s="2" t="inlineStr">
        <is>
          <t>Właściciel</t>
        </is>
      </c>
      <c r="F22" s="2" t="inlineStr">
        <is>
          <t>K3-05</t>
        </is>
      </c>
    </row>
    <row r="23">
      <c r="A23" s="2" t="inlineStr">
        <is>
          <t>D22</t>
        </is>
      </c>
      <c r="B23" s="2" t="inlineStr">
        <is>
          <t>Spójność mAP z AUC</t>
        </is>
      </c>
      <c r="C23" s="2" t="inlineStr">
        <is>
          <t>KM-Z9: mAP po kompresji ≥ 0,72 (0,75 minus 3 pp); wskaźnik innowacyjności 0,75 dotyczy FP32.</t>
        </is>
      </c>
      <c r="D23" s="12" t="inlineStr">
        <is>
          <t>DO POTWIERDZENIA</t>
        </is>
      </c>
      <c r="E23" s="2" t="inlineStr">
        <is>
          <t>Właściciel + dział techniczny</t>
        </is>
      </c>
      <c r="F23" s="2" t="inlineStr">
        <is>
          <t>K3-15, K3-19</t>
        </is>
      </c>
    </row>
    <row r="24">
      <c r="A24" s="2" t="inlineStr">
        <is>
          <t>D23</t>
        </is>
      </c>
      <c r="B24" s="2" t="inlineStr">
        <is>
          <t>Jeden KM na zadanie</t>
        </is>
      </c>
      <c r="C24" s="2" t="inlineStr">
        <is>
          <t>Punkt kontrolny M10 jest elementem KM-Z3 (bez KM-Z3b).</t>
        </is>
      </c>
      <c r="D24" s="13" t="inlineStr">
        <is>
          <t>ZATWIERDZONA</t>
        </is>
      </c>
      <c r="E24" s="2" t="inlineStr">
        <is>
          <t>Claude</t>
        </is>
      </c>
      <c r="F24" s="2" t="inlineStr">
        <is>
          <t>K3-22</t>
        </is>
      </c>
    </row>
    <row r="25">
      <c r="A25" s="2" t="inlineStr">
        <is>
          <t>D24</t>
        </is>
      </c>
      <c r="B25" s="2" t="inlineStr">
        <is>
          <t>Zakres B+R w Z6: integracje (API TMS, Trans.eu, TimoCom, e-CMR) zostają jako czynności techniczne i pomocnicze w środowisku testowym, w zakresie niezbędnym do testów i walidacji</t>
        </is>
      </c>
      <c r="C25" s="2" t="inlineStr">
        <is>
          <t>Zmiana po uwadze właściciela: Przewodnik (3.3.1) zalicza do personelu projektu także pracowników technicznych i pomocniczych, a Kryteria wykluczają prace rutynowe „niezwiązane” z B+R; ekspert (uwaga 38) dopuszcza je w zakresie niezbędnym do testowania i walidacji prototypu. Poza zakresem: wdrożenie produkcyjne, produkcyjny dashboard, utrzymanie. Wykonują IT Specialist (API, integracje testowe) i Backend (wsparcie, potok, test eFTI). Nakład do uzasadnienia proporcją względem prac badawczych w Z6.</t>
        </is>
      </c>
      <c r="D25" s="16" t="inlineStr">
        <is>
          <t>ZATWIERDZONA</t>
        </is>
      </c>
      <c r="E25" s="2" t="inlineStr">
        <is>
          <t>Właściciel</t>
        </is>
      </c>
      <c r="F25" s="2" t="inlineStr">
        <is>
          <t>K3-08</t>
        </is>
      </c>
    </row>
    <row r="26">
      <c r="A26" s="2" t="inlineStr">
        <is>
          <t>D25</t>
        </is>
      </c>
      <c r="B26" s="2" t="inlineStr">
        <is>
          <t>Niezależność Z9</t>
        </is>
      </c>
      <c r="C26" s="2" t="inlineStr">
        <is>
          <t>Ścieżka audytu zastępuje decyzję "PRz ocenia Z9" (kolizja z zasadą jednego konsorcjanta).</t>
        </is>
      </c>
      <c r="D26" s="13" t="inlineStr">
        <is>
          <t>ZATWIERDZONA</t>
        </is>
      </c>
      <c r="E26" s="2" t="inlineStr">
        <is>
          <t>Właściciel</t>
        </is>
      </c>
      <c r="F26" s="2" t="inlineStr">
        <is>
          <t>K3-11, K3-12</t>
        </is>
      </c>
    </row>
    <row r="27">
      <c r="A27" s="2" t="inlineStr">
        <is>
          <t>D26</t>
        </is>
      </c>
      <c r="B27" s="2" t="inlineStr">
        <is>
          <t>Progi no-go i wartości do potwierdzenia</t>
        </is>
      </c>
      <c r="C27" s="2" t="inlineStr">
        <is>
          <t>61 wartości liczbowych w dokumencie Poprawki_do_wklejenia_WP01-WP03.docx (podświetlone) do potwierdzenia przez zespół techniczny przed wklejeniem. Odwołuje się do Rady Konsorcjum z § 9 umowy konsorcjum (D27).</t>
        </is>
      </c>
      <c r="D27" s="14" t="inlineStr">
        <is>
          <t>OTWARTA*</t>
        </is>
      </c>
      <c r="E27" s="2" t="inlineStr">
        <is>
          <t>Dział techniczny</t>
        </is>
      </c>
      <c r="F27" s="2" t="inlineStr">
        <is>
          <t>K3-14..32</t>
        </is>
      </c>
    </row>
    <row r="28">
      <c r="A28" s="2" t="inlineStr">
        <is>
          <t>D27</t>
        </is>
      </c>
      <c r="B28" s="2" t="inlineStr">
        <is>
          <t>Rada Konsorcjum (§ 9 umowy konsorcjum) jako organ oceniający kamienie i rekomendujący go/no-go</t>
        </is>
      </c>
      <c r="C28" s="2" t="inlineStr">
        <is>
          <t>Opisy KM i ryzyk odwołują się do Rady Konsorcjum z § 9 umowy konsorcjum: po jednym przedstawicielu każdego członka, przewodniczy kierownik zarządzający Maciej Chrzanowski, posiedzenia co najmniej raz na 6 miesięcy, protokoły, ocena merytoryczna i formalna realizacji zadań na wniosek kierownika zarządzającego, rekomendowanie zmian w harmonogramie i wniosku. Rada jest organem doradczym, więc decyzję o zmianie zakresu podejmuje kierownik zarządzający, a zmiany w harmonogramie zgłasza do instytucji. We wniosku stosujemy wyłącznie nazwę „kierownik zarządzający” (wymóg konkursu); nazwa „Kierownik Projektu” z umowy konsorcjum nie pojawia się. Skład osobowy Rady zostanie ustalony po otrzymaniu dofinansowania i nie jest wpisywany do wniosku.</t>
        </is>
      </c>
      <c r="D28" s="11" t="inlineStr">
        <is>
          <t>ZATWIERDZONA</t>
        </is>
      </c>
      <c r="E28" s="2" t="inlineStr">
        <is>
          <t>Właściciel</t>
        </is>
      </c>
      <c r="F28" s="2" t="inlineStr">
        <is>
          <t>K5-05, K3-21</t>
        </is>
      </c>
    </row>
    <row r="29">
      <c r="A29" s="2" t="inlineStr">
        <is>
          <t>D28</t>
        </is>
      </c>
      <c r="B29" s="2" t="inlineStr">
        <is>
          <t>Niezależna weryfikacja KM zadań PRz przez AI Lead Everest11 (przeliczenie metryk na zamrożonym zbiorze)</t>
        </is>
      </c>
      <c r="C29" s="2" t="inlineStr">
        <is>
          <t>Sposób zapewnienia niezależnego nadzoru nad zadaniami PRz, skoro obaj kierownicy są pracownikami PRz (K5-09). Wpisane w polu weryfikacji KM-Z1, Z3, Z4, Z5, Z7, Z8.</t>
        </is>
      </c>
      <c r="D29" s="11" t="inlineStr">
        <is>
          <t>DO POTWIERDZENIA</t>
        </is>
      </c>
      <c r="E29" s="2" t="inlineStr">
        <is>
          <t>Właściciel</t>
        </is>
      </c>
      <c r="F29" s="2" t="inlineStr">
        <is>
          <t>K5-09, K3-12</t>
        </is>
      </c>
    </row>
    <row r="30">
      <c r="A30" s="2" t="inlineStr">
        <is>
          <t>D29</t>
        </is>
      </c>
      <c r="B30" s="2" t="inlineStr">
        <is>
          <t>Podział etatów 6 stanowisk Everest11 między Z6, Z7 i Z9</t>
        </is>
      </c>
      <c r="C30" s="2" t="inlineStr">
        <is>
          <t>Wariant właściciela: M19-M21 40% Z6 i 60% Z7 (wszyscy); M22-M27 po 1/3 (AI Lead, AI Senior, IT) oraz 20/40/40 (IoT, cyber) i 20/30/50 (TSL) w Z6/Z7/Z9; M28-M30 100% Z9. Koszt łączny bez zmian. Nowe koszty personelu Everest11 z Backendem (Z6 195 210 zł, Z9 65 070 zł): Z6 434 041,00 zł, Z7 308 871,62 zł, Z9 477 149,88 zł; razem 1 220 062,50 zł. Dofinansowanie bez zmian (60%). Wymaga potwierdzenia przez zespół techniczny i wpisania udziałów w zakresy czynności.</t>
        </is>
      </c>
      <c r="D30" s="11" t="inlineStr">
        <is>
          <t>DO POTWIERDZENIA</t>
        </is>
      </c>
      <c r="E30" s="2" t="inlineStr">
        <is>
          <t>Claude + właściciel</t>
        </is>
      </c>
      <c r="F30" s="2" t="inlineStr">
        <is>
          <t>K3-36, K3-37</t>
        </is>
      </c>
    </row>
    <row r="31">
      <c r="A31" s="2" t="inlineStr">
        <is>
          <t>D30</t>
        </is>
      </c>
      <c r="B31" s="2" t="inlineStr">
        <is>
          <t>Dokumentacja AI Act, RODO i patentowa poza kosztami B+R w Z2, Z6, Z9; patent tylko w Z11</t>
        </is>
      </c>
      <c r="C31" s="2" t="inlineStr">
        <is>
          <t>Dostosować 6.1 (Kosterna: dokumentacja patentowa; Hajduk: ocena trafności alertów) do opisów zadań.</t>
        </is>
      </c>
      <c r="D31" s="11" t="inlineStr">
        <is>
          <t>DO POTWIERDZENIA</t>
        </is>
      </c>
      <c r="E31" s="2" t="inlineStr">
        <is>
          <t>Właściciel</t>
        </is>
      </c>
      <c r="F31" s="2" t="inlineStr">
        <is>
          <t>K3-38, K3-40, K3-11, K3-66</t>
        </is>
      </c>
    </row>
    <row r="32">
      <c r="A32" s="2" t="inlineStr">
        <is>
          <t>D31</t>
        </is>
      </c>
      <c r="B32" s="2" t="inlineStr">
        <is>
          <t>Nazwa zadania Z6 zmieniona na „Pipeline PoL/PoC i zgodność z eFTI (Z6)”</t>
        </is>
      </c>
      <c r="C32" s="2" t="inlineStr">
        <is>
          <t>Nazwa obejmuje integracje, które opis Z6 wyłącza z prac B+R. Rekomendacja: zmiana nazwy na „Pipeline PoL/PoC i zgodność z eFTI (Z6)”. Nazwa wpisywana jest raz w 3.1.1 i pobierana automatycznie przez pozycje kosztowe, więc zmiana jest jednorazowa (do sprawdzenia w LSI).</t>
        </is>
      </c>
      <c r="D32" s="16" t="inlineStr">
        <is>
          <t>ZATWIERDZONA</t>
        </is>
      </c>
      <c r="E32" s="2" t="inlineStr">
        <is>
          <t>Właściciel</t>
        </is>
      </c>
      <c r="F32" s="2" t="inlineStr">
        <is>
          <t>K3-08, N01</t>
        </is>
      </c>
    </row>
    <row r="33">
      <c r="A33" s="2" t="inlineStr">
        <is>
          <t>D32</t>
        </is>
      </c>
      <c r="B33" s="2" t="inlineStr">
        <is>
          <t>Tytuł „AI Senior Engineer” zostaje, stawka 16 500 zł (pasmo Mid) z wyjaśnieniem</t>
        </is>
      </c>
      <c r="C33" s="2" t="inlineStr">
        <is>
          <t>Decyzja właściciela: tytuł zostaje; w metodzie szacowania wyjaśnienie, że stawka została wynegocjowana przy podpisaniu umowy warunkowej z 08.06.2026 i mieści się w widełkach Mid. Wszystkie osoby Everest11 nie są pracownikami Everest11 i podpisały umowy warunkowe 08.06.2026 (warunek: dofinansowanie).</t>
        </is>
      </c>
      <c r="D33" s="16" t="inlineStr">
        <is>
          <t>ZATWIERDZONA</t>
        </is>
      </c>
      <c r="E33" s="2" t="inlineStr">
        <is>
          <t>Właściciel</t>
        </is>
      </c>
      <c r="F33" s="2" t="inlineStr">
        <is>
          <t>K3-35, K5-10</t>
        </is>
      </c>
    </row>
    <row r="34">
      <c r="A34" s="2" t="inlineStr">
        <is>
          <t>D33</t>
        </is>
      </c>
      <c r="B34" s="2" t="inlineStr">
        <is>
          <t>Wskaźniki innowacyjności 1.2 i 1.4: nowy zestaw (W1-W5, I1-I3) i usunięcie fill rate</t>
        </is>
      </c>
      <c r="C34" s="2" t="inlineStr">
        <is>
          <t>Bazy: detektor progowy (AUC, D16), ogólny detektor (mAP), 0 Hz w ruchu (model 3D), brak alertu lokalnego; PoC tylko czas, eFTI osobno w 1.4; „liczba warstw ICT” zastąpiona liczbą funkcji AI lokalnie; cena jako roczny koszt posiadania z bazą z ofert; fill rate usunięty. Wartości zakładane: AUC bazy ≤0,70, mAP bazy ≤0,40, błąd względny 0,03/0,05 m.</t>
        </is>
      </c>
      <c r="D34" s="16" t="inlineStr">
        <is>
          <t>DO POTWIERDZENIA</t>
        </is>
      </c>
      <c r="E34" s="2" t="inlineStr">
        <is>
          <t>Właściciel</t>
        </is>
      </c>
      <c r="F34" s="2" t="inlineStr">
        <is>
          <t>K1-01 do K1-06, K3-48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0" customWidth="1" min="3" max="3"/>
    <col width="22" customWidth="1" min="4" max="4"/>
    <col width="14" customWidth="1" min="5" max="5"/>
    <col width="28" customWidth="1" min="6" max="6"/>
    <col width="12" customWidth="1" min="7" max="7"/>
  </cols>
  <sheetData>
    <row r="1">
      <c r="A1" s="3" t="inlineStr">
        <is>
          <t>ID</t>
        </is>
      </c>
      <c r="B1" s="3" t="inlineStr">
        <is>
          <t>Zadanie</t>
        </is>
      </c>
      <c r="C1" s="3" t="inlineStr">
        <is>
          <t>Opis</t>
        </is>
      </c>
      <c r="D1" s="3" t="inlineStr">
        <is>
          <t>Kto</t>
        </is>
      </c>
      <c r="E1" s="3" t="inlineStr">
        <is>
          <t>Termin</t>
        </is>
      </c>
      <c r="F1" s="3" t="inlineStr">
        <is>
          <t>Blokuje / dotyczy</t>
        </is>
      </c>
      <c r="G1" s="3" t="inlineStr">
        <is>
          <t>Status</t>
        </is>
      </c>
    </row>
    <row r="2">
      <c r="A2" s="4" t="inlineStr">
        <is>
          <t>T01</t>
        </is>
      </c>
      <c r="B2" s="4" t="inlineStr">
        <is>
          <t>Konsultacja z działem technicznym (pytania w kolumnie "Opis")</t>
        </is>
      </c>
      <c r="C2" s="4" t="inlineStr">
        <is>
          <t>Pytania: (1) czy w Z2 wystarczy 1 ToF + 1 EO na naczepę; (2) czy w Z1 4 kamery ToF tego samego typu na stanowisku PRz do badań MCI; (3) czy kamery z Z2 mają być prawdziwym ToF (Femto Bolt / Helios2) zamiast OAK-D Pro W (active stereo); (4) dysk NVMe: konsumencki 0-70 C w obudowie z ogrzewaniem czy przemysłowy -40/+85 C (ok. 10x droższy); (5) 3 komplety edge AI zamiast 4 (deweloperski = pierwszy komplet przed montażem).</t>
        </is>
      </c>
      <c r="D2" s="4" t="inlineStr">
        <is>
          <t>Właściciel</t>
        </is>
      </c>
      <c r="E2" s="4" t="inlineStr">
        <is>
          <t>02.10 rano</t>
        </is>
      </c>
      <c r="F2" s="4" t="inlineStr">
        <is>
          <t>Blokuje: K3-55, K3-48/49, D06</t>
        </is>
      </c>
      <c r="G2" s="4" t="inlineStr">
        <is>
          <t>OTWARTE</t>
        </is>
      </c>
    </row>
    <row r="3">
      <c r="A3" s="4" t="inlineStr">
        <is>
          <t>T02</t>
        </is>
      </c>
      <c r="B3" s="4" t="inlineStr">
        <is>
          <t>Aneks do umów najmu: klauzule w arkuszu 6; podpisać przed wysłaniem poprawki</t>
        </is>
      </c>
      <c r="C3" s="4" t="inlineStr">
        <is>
          <t>Zakres: liczba pojazdów 5 -&gt; 20 wg harmonogramu, zgoda na montaż/demontaż, dostęp do danych, okres, ubezpieczenie.</t>
        </is>
      </c>
      <c r="D3" s="4" t="inlineStr">
        <is>
          <t>Właściciel</t>
        </is>
      </c>
      <c r="E3" s="4" t="inlineStr">
        <is>
          <t>05.10</t>
        </is>
      </c>
      <c r="F3" s="4" t="inlineStr">
        <is>
          <t>K2-01, K2-04, K2-16</t>
        </is>
      </c>
      <c r="G3" s="4" t="inlineStr">
        <is>
          <t>OTWARTE</t>
        </is>
      </c>
    </row>
    <row r="4">
      <c r="A4" s="4" t="inlineStr">
        <is>
          <t>T03</t>
        </is>
      </c>
      <c r="B4" s="4" t="inlineStr">
        <is>
          <t>Dane księgowej: 2Q2026, skład udziałów Inwestora i Natanek Logistics, polityka rachunkowości i amortyzacja</t>
        </is>
      </c>
      <c r="C4" s="4" t="inlineStr">
        <is>
          <t>Potrzebne do K6-07, K6-12, K3-32, K6-16 oraz opisu amortyzacji jednorazowej (D01).</t>
        </is>
      </c>
      <c r="D4" s="4" t="inlineStr">
        <is>
          <t>Właściciel (księgowa)</t>
        </is>
      </c>
      <c r="E4" s="4" t="inlineStr">
        <is>
          <t>05.10</t>
        </is>
      </c>
      <c r="F4" s="4" t="inlineStr">
        <is>
          <t>Blokuje WP11</t>
        </is>
      </c>
      <c r="G4" s="4" t="inlineStr">
        <is>
          <t>OTWARTE</t>
        </is>
      </c>
    </row>
    <row r="5">
      <c r="A5" s="4" t="inlineStr">
        <is>
          <t>T04</t>
        </is>
      </c>
      <c r="B5" s="4" t="inlineStr">
        <is>
          <t>Dane do K3-04: liczba przesyłek na kurs, liczba kursów, częstość zdarzeń (Natanek/Everest11)</t>
        </is>
      </c>
      <c r="C5" s="4" t="inlineStr">
        <is>
          <t>Bez tego tekst K3-04 użyje założeń oznaczonych jako ZAŁOŻENIE.</t>
        </is>
      </c>
      <c r="D5" s="4" t="inlineStr">
        <is>
          <t>Właściciel</t>
        </is>
      </c>
      <c r="E5" s="4" t="inlineStr">
        <is>
          <t>02.10</t>
        </is>
      </c>
      <c r="F5" s="4" t="inlineStr">
        <is>
          <t>K3-04, K3-15, K3-18</t>
        </is>
      </c>
      <c r="G5" s="4" t="inlineStr">
        <is>
          <t>OTWARTE</t>
        </is>
      </c>
    </row>
    <row r="6">
      <c r="A6" s="4" t="inlineStr">
        <is>
          <t>T05</t>
        </is>
      </c>
      <c r="B6" s="4" t="inlineStr">
        <is>
          <t>Pobranie wartości Eurostat road_eqs_semit (PL, 2024) i danych GITD z datą</t>
        </is>
      </c>
      <c r="C6" s="4" t="inlineStr">
        <is>
          <t>Claude nie ma dostępu do ec.europa.eu.</t>
        </is>
      </c>
      <c r="D6" s="4" t="inlineStr">
        <is>
          <t>Właściciel</t>
        </is>
      </c>
      <c r="E6" s="4" t="inlineStr">
        <is>
          <t>02.10</t>
        </is>
      </c>
      <c r="F6" s="4" t="inlineStr">
        <is>
          <t>K2-05</t>
        </is>
      </c>
      <c r="G6" s="4" t="inlineStr">
        <is>
          <t>OTWARTE</t>
        </is>
      </c>
    </row>
    <row r="7">
      <c r="A7" s="4" t="inlineStr">
        <is>
          <t>T06</t>
        </is>
      </c>
      <c r="B7" s="4" t="inlineStr">
        <is>
          <t>Lista ponad 50 kontrahentów Everest11 (struktura, liczba naczep, kto realnie może zakupić) i treść dokumentów zainteresowania</t>
        </is>
      </c>
      <c r="C7" s="4" t="inlineStr">
        <is>
          <t>K2-01 wymaga opisu struktury bazy klientów.</t>
        </is>
      </c>
      <c r="D7" s="4" t="inlineStr">
        <is>
          <t>Właściciel</t>
        </is>
      </c>
      <c r="E7" s="4" t="inlineStr">
        <is>
          <t>05.10</t>
        </is>
      </c>
      <c r="F7" s="4" t="inlineStr">
        <is>
          <t>K2-01, K2-16</t>
        </is>
      </c>
      <c r="G7" s="4" t="inlineStr">
        <is>
          <t>OTWARTE</t>
        </is>
      </c>
    </row>
    <row r="8">
      <c r="A8" s="4" t="inlineStr">
        <is>
          <t>T07</t>
        </is>
      </c>
      <c r="B8" s="4" t="inlineStr">
        <is>
          <t>Potwierdzenie z PRz: konfiguracja kamer, sprzęt po M30 (likwidacja), zgoda na zapisy w opisach</t>
        </is>
      </c>
      <c r="C8" s="4" t="inlineStr">
        <is>
          <t>Wymagane dla D01, D06.</t>
        </is>
      </c>
      <c r="D8" s="4" t="inlineStr">
        <is>
          <t>Właściciel</t>
        </is>
      </c>
      <c r="E8" s="4" t="inlineStr">
        <is>
          <t>02.10</t>
        </is>
      </c>
      <c r="F8" s="4" t="inlineStr">
        <is>
          <t>K3-55, K3-56</t>
        </is>
      </c>
      <c r="G8" s="4" t="inlineStr">
        <is>
          <t>OTWARTE</t>
        </is>
      </c>
    </row>
    <row r="9">
      <c r="A9" s="4" t="inlineStr">
        <is>
          <t>T08</t>
        </is>
      </c>
      <c r="B9" s="4" t="inlineStr">
        <is>
          <t>Dane do modelu marży: koszt serii wersji podstawowej i premium (BOM) - dział techniczny + zakupy</t>
        </is>
      </c>
      <c r="C9" s="4" t="inlineStr">
        <is>
          <t>Arkusz 5 ma założenia oznaczone; docelowo potrzebne oferty lub cenniki.</t>
        </is>
      </c>
      <c r="D9" s="4" t="inlineStr">
        <is>
          <t>Właściciel + Claude</t>
        </is>
      </c>
      <c r="E9" s="4" t="inlineStr">
        <is>
          <t>05.10</t>
        </is>
      </c>
      <c r="F9" s="4" t="inlineStr">
        <is>
          <t>K2-13</t>
        </is>
      </c>
      <c r="G9" s="4" t="inlineStr">
        <is>
          <t>OTWARTE</t>
        </is>
      </c>
    </row>
    <row r="10">
      <c r="A10" s="4" t="inlineStr">
        <is>
          <t>T09</t>
        </is>
      </c>
      <c r="B10" s="4" t="inlineStr">
        <is>
          <t>Wklejanie tekstów do LSI na bieżąco (po każdym zatwierdzonym polu)</t>
        </is>
      </c>
      <c r="C10" s="4" t="inlineStr">
        <is>
          <t>Zmniejsza ryzyko pracy w ostatnim dniu.</t>
        </is>
      </c>
      <c r="D10" s="4" t="inlineStr">
        <is>
          <t>Właściciel</t>
        </is>
      </c>
      <c r="E10" s="4" t="inlineStr">
        <is>
          <t>od 02.10</t>
        </is>
      </c>
      <c r="F10" s="4" t="inlineStr">
        <is>
          <t>Wszystkie</t>
        </is>
      </c>
      <c r="G10" s="4" t="inlineStr">
        <is>
          <t>OTWARTE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1" customWidth="1" min="3" max="3"/>
    <col width="11" customWidth="1" min="4" max="4"/>
    <col width="90" customWidth="1" min="5" max="5"/>
    <col width="9" customWidth="1" min="6" max="6"/>
    <col width="9" customWidth="1" min="7" max="7"/>
    <col width="9" customWidth="1" min="8" max="8"/>
    <col width="12" customWidth="1" min="9" max="9"/>
    <col width="45" customWidth="1" min="10" max="10"/>
  </cols>
  <sheetData>
    <row r="1">
      <c r="A1" s="3" t="inlineStr">
        <is>
          <t>Pakiet (pole/sekcja LSI)</t>
        </is>
      </c>
      <c r="B1" s="3" t="inlineStr">
        <is>
          <t>Priorytet</t>
        </is>
      </c>
      <c r="C1" s="3" t="inlineStr">
        <is>
          <t>Termin</t>
        </is>
      </c>
      <c r="D1" s="3" t="inlineStr">
        <is>
          <t>Liczba uwag</t>
        </is>
      </c>
      <c r="E1" s="3" t="inlineStr">
        <is>
          <t>ID uwag z Rejestru</t>
        </is>
      </c>
      <c r="F1" s="3" t="inlineStr">
        <is>
          <t>Nierozp.</t>
        </is>
      </c>
      <c r="G1" s="3" t="inlineStr">
        <is>
          <t>W trakcie</t>
        </is>
      </c>
      <c r="H1" s="3" t="inlineStr">
        <is>
          <t>Do weryf.</t>
        </is>
      </c>
      <c r="I1" s="3" t="inlineStr">
        <is>
          <t>Zweryf. (wg Rejestru)</t>
        </is>
      </c>
      <c r="J1" s="3" t="inlineStr">
        <is>
          <t>Status pakietu / uwagi</t>
        </is>
      </c>
    </row>
    <row r="2">
      <c r="A2" s="4" t="inlineStr">
        <is>
          <t>WP01 Opisy zadań B+R</t>
        </is>
      </c>
      <c r="B2" s="4" t="inlineStr">
        <is>
          <t>P1</t>
        </is>
      </c>
      <c r="C2" s="4" t="inlineStr">
        <is>
          <t>pt 02.10</t>
        </is>
      </c>
      <c r="D2" s="4" t="n">
        <v>13</v>
      </c>
      <c r="E2" s="4" t="inlineStr">
        <is>
          <t>K3-01, K3-02, K3-03, K3-04, K3-05, K3-06, K3-07, K3-08, K3-09, K3-10, K3-11, K3-12, K3-13</t>
        </is>
      </c>
      <c r="F2" s="4" t="n">
        <v>0</v>
      </c>
      <c r="G2" s="4" t="n">
        <v>1</v>
      </c>
      <c r="H2" s="4" t="n">
        <v>9</v>
      </c>
      <c r="I2" s="4" t="n">
        <v>3</v>
      </c>
      <c r="J2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3">
      <c r="A3" s="4" t="inlineStr">
        <is>
          <t>WP02 Kamienie milowe</t>
        </is>
      </c>
      <c r="B3" s="4" t="inlineStr">
        <is>
          <t>P1</t>
        </is>
      </c>
      <c r="C3" s="4" t="inlineStr">
        <is>
          <t>pt 02.10</t>
        </is>
      </c>
      <c r="D3" s="4" t="n">
        <v>9</v>
      </c>
      <c r="E3" s="4" t="inlineStr">
        <is>
          <t>K3-14, K3-15, K3-16, K3-17, K3-18, K3-19, K3-20, K3-21, K3-22</t>
        </is>
      </c>
      <c r="F3" s="4" t="n">
        <v>0</v>
      </c>
      <c r="G3" s="4" t="n">
        <v>0</v>
      </c>
      <c r="H3" s="4" t="n">
        <v>9</v>
      </c>
      <c r="I3" s="4" t="n">
        <v>0</v>
      </c>
      <c r="J3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4">
      <c r="A4" s="4" t="inlineStr">
        <is>
          <t>WP03 Ryzyka</t>
        </is>
      </c>
      <c r="B4" s="4" t="inlineStr">
        <is>
          <t>P1</t>
        </is>
      </c>
      <c r="C4" s="4" t="inlineStr">
        <is>
          <t>pt 02.10</t>
        </is>
      </c>
      <c r="D4" s="4" t="n">
        <v>8</v>
      </c>
      <c r="E4" s="4" t="inlineStr">
        <is>
          <t>K3-25, K3-26, K3-27, K3-28, K3-29, K3-30, K3-31, K3-32</t>
        </is>
      </c>
      <c r="F4" s="4" t="n">
        <v>0</v>
      </c>
      <c r="G4" s="4" t="n">
        <v>0</v>
      </c>
      <c r="H4" s="4" t="n">
        <v>8</v>
      </c>
      <c r="I4" s="4" t="n">
        <v>0</v>
      </c>
      <c r="J4" s="4" t="inlineStr">
        <is>
          <t>Tekst gotowy do kontroli: Poprawki_do_wklejenia_WP01-WP03.docx (K3-23/24 w WP09) Uwaga: ryzyka R1-R5, R9 trzeba po wersji 2 sprawdzić pod kątem spójności z progami no-go z kamieni.</t>
        </is>
      </c>
    </row>
    <row r="5">
      <c r="A5" s="4" t="inlineStr">
        <is>
          <t>WP04 Innowacyjność i wskaźniki</t>
        </is>
      </c>
      <c r="B5" s="4" t="inlineStr">
        <is>
          <t>P1</t>
        </is>
      </c>
      <c r="C5" s="4" t="inlineStr">
        <is>
          <t>pon 05.10</t>
        </is>
      </c>
      <c r="D5" s="4" t="n">
        <v>7</v>
      </c>
      <c r="E5" s="4" t="inlineStr">
        <is>
          <t>K1-01, K1-02, K1-03, K1-04, K1-05, K1-06, K14-01</t>
        </is>
      </c>
      <c r="F5" s="4" t="n">
        <v>7</v>
      </c>
      <c r="G5" s="4" t="n">
        <v>0</v>
      </c>
      <c r="H5" s="4" t="n">
        <v>0</v>
      </c>
      <c r="I5" s="4" t="n">
        <v>0</v>
      </c>
      <c r="J5" s="4" t="inlineStr">
        <is>
          <t>Tekst do wklejenia + podżądania (macierz pokrycia) - do wypełnienia</t>
        </is>
      </c>
    </row>
    <row r="6">
      <c r="A6" s="4" t="inlineStr">
        <is>
          <t>WP05 Wdrożenie, rynek, ceny</t>
        </is>
      </c>
      <c r="B6" s="4" t="inlineStr">
        <is>
          <t>P1</t>
        </is>
      </c>
      <c r="C6" s="4" t="inlineStr">
        <is>
          <t>pon 05.10</t>
        </is>
      </c>
      <c r="D6" s="4" t="n">
        <v>9</v>
      </c>
      <c r="E6" s="4" t="inlineStr">
        <is>
          <t>K2-01, K2-04, K2-05, K2-06, K2-09, K2-10, K2-11, K2-15, K2-17</t>
        </is>
      </c>
      <c r="F6" s="4" t="n">
        <v>8</v>
      </c>
      <c r="G6" s="4" t="n">
        <v>0</v>
      </c>
      <c r="H6" s="4" t="n">
        <v>1</v>
      </c>
      <c r="I6" s="4" t="n">
        <v>0</v>
      </c>
      <c r="J6" s="4" t="inlineStr">
        <is>
          <t>Tekst do wklejenia + podżądania (macierz pokrycia) - do wypełnienia</t>
        </is>
      </c>
    </row>
    <row r="7">
      <c r="A7" s="4" t="inlineStr">
        <is>
          <t>WP06 Personel (budżet i opis)</t>
        </is>
      </c>
      <c r="B7" s="4" t="inlineStr">
        <is>
          <t>P1</t>
        </is>
      </c>
      <c r="C7" s="4" t="inlineStr">
        <is>
          <t>pt 02.10</t>
        </is>
      </c>
      <c r="D7" s="4" t="n">
        <v>21</v>
      </c>
      <c r="E7" s="4" t="inlineStr">
        <is>
          <t>K3-33, K3-34, K3-35, K3-36, K3-37, K3-38, K3-39, K3-40, K3-41, K3-42, K5-01, K5-02, K5-03, K5-04, K5-05, K5-06, K5-07, K5-08, K5-09, K5-10, K5-11</t>
        </is>
      </c>
      <c r="F7" s="4" t="n">
        <v>11</v>
      </c>
      <c r="G7" s="4" t="n">
        <v>0</v>
      </c>
      <c r="H7" s="4" t="n">
        <v>9</v>
      </c>
      <c r="I7" s="4" t="n">
        <v>1</v>
      </c>
      <c r="J7" s="4" t="inlineStr">
        <is>
          <t>Tekst do wklejenia + podżądania (macierz pokrycia) - do wypełnienia Uzasadnienia kosztu Everest11 (Z2, Z6, Z7, Z9, 28 pozycji) napisane: Opisy_zadan_z_kamieniami_milowymi.docx, część trzecia. Do zrobienia: metoda szacowania (D29), stawki PRz (K3-41, K3-42), raporty płacowe (K3-35), status zatrudnienia (K3-34).</t>
        </is>
      </c>
    </row>
    <row r="8">
      <c r="A8" s="4" t="inlineStr">
        <is>
          <t>WP07 Podwykonawcy i montaż</t>
        </is>
      </c>
      <c r="B8" s="4" t="inlineStr">
        <is>
          <t>P1</t>
        </is>
      </c>
      <c r="C8" s="4" t="inlineStr">
        <is>
          <t>pt 02.10</t>
        </is>
      </c>
      <c r="D8" s="4" t="n">
        <v>6</v>
      </c>
      <c r="E8" s="4" t="inlineStr">
        <is>
          <t>K3-43, K3-44, K3-45, K3-46, K3-47, K5-19</t>
        </is>
      </c>
      <c r="F8" s="4" t="n">
        <v>1</v>
      </c>
      <c r="G8" s="4" t="n">
        <v>0</v>
      </c>
      <c r="H8" s="4" t="n">
        <v>3</v>
      </c>
      <c r="I8" s="4" t="n">
        <v>2</v>
      </c>
      <c r="J8" s="4" t="inlineStr">
        <is>
          <t>Tekst do wklejenia + podżądania (macierz pokrycia) - do wypełnienia</t>
        </is>
      </c>
    </row>
    <row r="9">
      <c r="A9" s="4" t="inlineStr">
        <is>
          <t>WP08 Sprzęt i amortyzacja</t>
        </is>
      </c>
      <c r="B9" s="4" t="inlineStr">
        <is>
          <t>P1</t>
        </is>
      </c>
      <c r="C9" s="4" t="inlineStr">
        <is>
          <t>pt 02.10</t>
        </is>
      </c>
      <c r="D9" s="4" t="n">
        <v>11</v>
      </c>
      <c r="E9" s="4" t="inlineStr">
        <is>
          <t>K3-48, K3-49, K3-50, K3-51, K3-52, K3-53, K3-54, K3-55, K3-56, K3-57, K3-58</t>
        </is>
      </c>
      <c r="F9" s="4" t="n">
        <v>0</v>
      </c>
      <c r="G9" s="4" t="n">
        <v>0</v>
      </c>
      <c r="H9" s="4" t="n">
        <v>5</v>
      </c>
      <c r="I9" s="4" t="n">
        <v>6</v>
      </c>
      <c r="J9" s="4" t="inlineStr">
        <is>
          <t>Tekst do wklejenia + podżądania (macierz pokrycia) - do wypełnienia</t>
        </is>
      </c>
    </row>
    <row r="10">
      <c r="A10" s="4" t="inlineStr">
        <is>
          <t>WP09 Internacjonalizacja i patent</t>
        </is>
      </c>
      <c r="B10" s="4" t="inlineStr">
        <is>
          <t>P1</t>
        </is>
      </c>
      <c r="C10" s="4" t="inlineStr">
        <is>
          <t>pt 02.10</t>
        </is>
      </c>
      <c r="D10" s="4" t="n">
        <v>10</v>
      </c>
      <c r="E10" s="4" t="inlineStr">
        <is>
          <t>K3-23, K3-24, K3-59, K3-60, K3-61, K3-62, K3-63, K3-64, K3-65, K3-66</t>
        </is>
      </c>
      <c r="F10" s="4" t="n">
        <v>0</v>
      </c>
      <c r="G10" s="4" t="n">
        <v>1</v>
      </c>
      <c r="H10" s="4" t="n">
        <v>7</v>
      </c>
      <c r="I10" s="4" t="n">
        <v>2</v>
      </c>
      <c r="J10" s="4" t="inlineStr">
        <is>
          <t>Tekst do wklejenia + podżądania (macierz pokrycia) - do wypełnienia</t>
        </is>
      </c>
    </row>
    <row r="11">
      <c r="A11" s="4" t="inlineStr">
        <is>
          <t>WP10 Zasoby, IP, WNiP</t>
        </is>
      </c>
      <c r="B11" s="4" t="inlineStr">
        <is>
          <t>P1</t>
        </is>
      </c>
      <c r="C11" s="4" t="inlineStr">
        <is>
          <t>pon 05.10</t>
        </is>
      </c>
      <c r="D11" s="4" t="n">
        <v>11</v>
      </c>
      <c r="E11" s="4" t="inlineStr">
        <is>
          <t>K2-02, K2-03, K2-07, K2-08, K5-12, K5-13, K5-14, K5-15, K5-16, K5-17, K5-18</t>
        </is>
      </c>
      <c r="F11" s="4" t="n">
        <v>11</v>
      </c>
      <c r="G11" s="4" t="n">
        <v>0</v>
      </c>
      <c r="H11" s="4" t="n">
        <v>0</v>
      </c>
      <c r="I11" s="4" t="n">
        <v>0</v>
      </c>
      <c r="J11" s="4" t="inlineStr">
        <is>
          <t>Tekst do wklejenia + podżądania (macierz pokrycia) - do wypełnienia</t>
        </is>
      </c>
    </row>
    <row r="12">
      <c r="A12" s="4" t="inlineStr">
        <is>
          <t>WP11 Model finansowy i zdolność finansowa</t>
        </is>
      </c>
      <c r="B12" s="4" t="inlineStr">
        <is>
          <t>P1</t>
        </is>
      </c>
      <c r="C12" s="4" t="inlineStr">
        <is>
          <t>pon 05.10</t>
        </is>
      </c>
      <c r="D12" s="4" t="n">
        <v>22</v>
      </c>
      <c r="E12" s="4" t="inlineStr">
        <is>
          <t>K2-12, K2-13, K2-14, K2-16, K6-01, K6-02, K6-03, K6-04, K6-05, K6-06, K6-07, K6-08, K6-09, K6-10, K6-11, K6-12, K6-13, K6-14, K6-15, K6-16, K6-17, K6-18</t>
        </is>
      </c>
      <c r="F12" s="4" t="n">
        <v>0</v>
      </c>
      <c r="G12" s="4" t="n">
        <v>3</v>
      </c>
      <c r="H12" s="4" t="n">
        <v>11</v>
      </c>
      <c r="I12" s="4" t="n">
        <v>8</v>
      </c>
      <c r="J12" s="4" t="inlineStr">
        <is>
          <t>Tekst do wklejenia + podżądania (macierz pokrycia) - do wypełnienia</t>
        </is>
      </c>
    </row>
    <row r="13">
      <c r="A13" s="4" t="inlineStr">
        <is>
          <t>WP12 Zasady horyzontalne i 6R</t>
        </is>
      </c>
      <c r="B13" s="4" t="inlineStr">
        <is>
          <t>P2</t>
        </is>
      </c>
      <c r="C13" s="4" t="inlineStr">
        <is>
          <t>wt 06.10</t>
        </is>
      </c>
      <c r="D13" s="4" t="n">
        <v>14</v>
      </c>
      <c r="E13" s="4" t="inlineStr">
        <is>
          <t>K10-01, K10-02, K10-03, K10-04, K10-05, K10-06, K11-01, K12-01, K13-01, K13-02, K13-03, K13-04, K13-05, K13-06</t>
        </is>
      </c>
      <c r="F13" s="4" t="n">
        <v>14</v>
      </c>
      <c r="G13" s="4" t="n">
        <v>0</v>
      </c>
      <c r="H13" s="4" t="n">
        <v>0</v>
      </c>
      <c r="I13" s="4" t="n">
        <v>0</v>
      </c>
      <c r="J13" s="4" t="inlineStr">
        <is>
          <t>Tekst do wklejenia + podżądania (macierz pokrycia) - do wypełnienia</t>
        </is>
      </c>
    </row>
    <row r="14">
      <c r="A14" s="4" t="inlineStr">
        <is>
          <t>RAZEM</t>
        </is>
      </c>
      <c r="B14" s="4" t="inlineStr"/>
      <c r="C14" s="4" t="inlineStr"/>
      <c r="D14" s="4" t="n">
        <v>141</v>
      </c>
      <c r="E14" s="4" t="inlineStr"/>
      <c r="F14" s="4" t="inlineStr"/>
      <c r="G14" s="4" t="inlineStr"/>
      <c r="H14" s="4" t="inlineStr"/>
      <c r="I14" s="4" t="inlineStr"/>
      <c r="J14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9" customWidth="1" min="3" max="3"/>
    <col width="18" customWidth="1" min="4" max="4"/>
    <col width="60" customWidth="1" min="5" max="5"/>
    <col width="80" customWidth="1" min="6" max="6"/>
    <col width="13" customWidth="1" min="7" max="7"/>
  </cols>
  <sheetData>
    <row r="1">
      <c r="A1" s="8" t="inlineStr">
        <is>
          <t>Pozycja</t>
        </is>
      </c>
      <c r="B1" s="8" t="inlineStr">
        <is>
          <t>Cena w walucie źródła</t>
        </is>
      </c>
      <c r="C1" s="8" t="inlineStr">
        <is>
          <t>Waluta</t>
        </is>
      </c>
      <c r="D1" s="8" t="inlineStr">
        <is>
          <t>Cena w PLN (netto)</t>
        </is>
      </c>
      <c r="E1" s="8" t="inlineStr">
        <is>
          <t>Uwaga</t>
        </is>
      </c>
      <c r="F1" s="8" t="inlineStr">
        <is>
          <t>Źródło (URL)</t>
        </is>
      </c>
      <c r="G1" s="8" t="inlineStr">
        <is>
          <t>Data odczytu</t>
        </is>
      </c>
    </row>
    <row r="2">
      <c r="A2" s="2" t="inlineStr">
        <is>
          <t>Kamera ToF Basler blaze-101/102 (VGA, GigE, 850/940 nm)</t>
        </is>
      </c>
      <c r="B2" s="2" t="n">
        <v>1579</v>
      </c>
      <c r="C2" s="2" t="inlineStr">
        <is>
          <t>EUR</t>
        </is>
      </c>
      <c r="D2" s="2">
        <f>B2*$B$19</f>
        <v/>
      </c>
      <c r="E2" s="2" t="inlineStr">
        <is>
          <t>Katalog netto, 1 szt.; blaze-102 ma ten sam cennik na stronie</t>
        </is>
      </c>
      <c r="F2" s="2" t="inlineStr">
        <is>
          <t>https://baslerweb.com/en/shop/blaze-101</t>
        </is>
      </c>
      <c r="G2" s="2" t="inlineStr">
        <is>
          <t>01.10.2026</t>
        </is>
      </c>
    </row>
    <row r="3">
      <c r="A3" s="2" t="inlineStr">
        <is>
          <t>Kamera ToF Lucid Helios2 (IP67)</t>
        </is>
      </c>
      <c r="B3" s="2" t="n">
        <v>1645</v>
      </c>
      <c r="C3" s="2" t="inlineStr">
        <is>
          <t>EUR</t>
        </is>
      </c>
      <c r="D3" s="2">
        <f>B3*$B$19</f>
        <v/>
      </c>
      <c r="E3" s="2" t="inlineStr">
        <is>
          <t>Netto, Edmund Optics EU; Helios2+ 1 800 EUR</t>
        </is>
      </c>
      <c r="F3" s="2" t="inlineStr">
        <is>
          <t>https://edmundoptics.eu/p/lucid-vision-labs-heliostrade2-time-of-flight-tof-camera/49503</t>
        </is>
      </c>
      <c r="G3" s="2" t="inlineStr">
        <is>
          <t>01.10.2026</t>
        </is>
      </c>
    </row>
    <row r="4">
      <c r="A4" s="2" t="inlineStr">
        <is>
          <t>Kamera ToF Orbbec Femto Bolt (iToF 850 nm, 0,25-5,46 m)</t>
        </is>
      </c>
      <c r="B4" s="2" t="n">
        <v>559</v>
      </c>
      <c r="C4" s="2" t="inlineStr">
        <is>
          <t>USD</t>
        </is>
      </c>
      <c r="D4" s="2">
        <f>B4*$B$20</f>
        <v/>
      </c>
      <c r="E4" s="2" t="inlineStr">
        <is>
          <t>Cena detaliczna (wskazówka: sprawdzić netto)</t>
        </is>
      </c>
      <c r="F4" s="2" t="inlineStr">
        <is>
          <t>https://ca.robotshop.com/products/orbbec-femto-bolt-3d-vision-device</t>
        </is>
      </c>
      <c r="G4" s="2" t="inlineStr">
        <is>
          <t>01.10.2026</t>
        </is>
      </c>
    </row>
    <row r="5">
      <c r="A5" s="2" t="inlineStr">
        <is>
          <t>Luxonis OAK-D Pro W (ACTIVE STEREO, nie ToF)</t>
        </is>
      </c>
      <c r="B5" s="2" t="n">
        <v>499</v>
      </c>
      <c r="C5" s="2" t="inlineStr">
        <is>
          <t>USD</t>
        </is>
      </c>
      <c r="D5" s="2">
        <f>B5*$B$20</f>
        <v/>
      </c>
      <c r="E5" s="2" t="inlineStr">
        <is>
          <t>Pozycja wskazana we wniosku jako "kamera ToF" (Z1 typ 1, Z2)</t>
        </is>
      </c>
      <c r="F5" s="2" t="inlineStr">
        <is>
          <t>https://checkout.luxonis.com/products/oak-d-pro-w</t>
        </is>
      </c>
      <c r="G5" s="2" t="inlineStr">
        <is>
          <t>01.10.2026</t>
        </is>
      </c>
    </row>
    <row r="6">
      <c r="A6" s="2" t="inlineStr">
        <is>
          <t>Kamera EO Basler ace 2 a2A1920-51gm (2,3 MP, GigE)</t>
        </is>
      </c>
      <c r="B6" s="2" t="n">
        <v>319</v>
      </c>
      <c r="C6" s="2" t="inlineStr">
        <is>
          <t>EUR</t>
        </is>
      </c>
      <c r="D6" s="2">
        <f>B6*$B$19</f>
        <v/>
      </c>
      <c r="E6" s="2" t="inlineStr">
        <is>
          <t>Netto; wersja kolorowa nieco droższa</t>
        </is>
      </c>
      <c r="F6" s="2" t="inlineStr">
        <is>
          <t>https://baslerweb.com/en/shop/a2a1920-imx392</t>
        </is>
      </c>
      <c r="G6" s="2" t="inlineStr">
        <is>
          <t>01.10.2026</t>
        </is>
      </c>
    </row>
    <row r="7">
      <c r="A7" s="2" t="inlineStr">
        <is>
          <t>Jetson Orin Nano 8 GB - moduł (40 TOPS), cena 1KU+</t>
        </is>
      </c>
      <c r="B7" s="2" t="n">
        <v>399</v>
      </c>
      <c r="C7" s="2" t="inlineStr">
        <is>
          <t>USD</t>
        </is>
      </c>
      <c r="D7" s="2">
        <f>B7*$B$20</f>
        <v/>
      </c>
      <c r="E7" s="2" t="inlineStr">
        <is>
          <t>Cena przy zamówieniu &gt;=1000 szt. (już wolumenowa); od 07.2026 (wcześniej 299 USD)</t>
        </is>
      </c>
      <c r="F7" s="2" t="inlineStr">
        <is>
          <t>https://www.cnx-software.com/2026/07/22/nvidia-increases-the-price-of-jetson-modules-and-devkits-by-up-to-101/</t>
        </is>
      </c>
      <c r="G7" s="2" t="inlineStr">
        <is>
          <t>01.10.2026</t>
        </is>
      </c>
    </row>
    <row r="8">
      <c r="A8" s="2" t="inlineStr">
        <is>
          <t>Jetson Orin NX 16 GB - moduł (100 TOPS), cena 1KU+</t>
        </is>
      </c>
      <c r="B8" s="2" t="n">
        <v>999</v>
      </c>
      <c r="C8" s="2" t="inlineStr">
        <is>
          <t>USD</t>
        </is>
      </c>
      <c r="D8" s="2">
        <f>B8*$B$20</f>
        <v/>
      </c>
      <c r="E8" s="2" t="inlineStr">
        <is>
          <t>j.w. (wcześniej 599 USD)</t>
        </is>
      </c>
      <c r="F8" s="2" t="inlineStr">
        <is>
          <t>https://www.cnx-software.com/2026/07/22/nvidia-increases-the-price-of-jetson-modules-and-devkits-by-up-to-101/</t>
        </is>
      </c>
      <c r="G8" s="2" t="inlineStr">
        <is>
          <t>01.10.2026</t>
        </is>
      </c>
    </row>
    <row r="9">
      <c r="A9" s="2" t="inlineStr">
        <is>
          <t>Jetson Orin Nano 8 GB - moduł, PLN (agregator elecena.pl)</t>
        </is>
      </c>
      <c r="B9" s="2" t="n">
        <v>1396.51</v>
      </c>
      <c r="C9" s="2" t="inlineStr">
        <is>
          <t>PLN</t>
        </is>
      </c>
      <c r="D9" s="2">
        <f>B9</f>
        <v/>
      </c>
      <c r="E9" s="2" t="inlineStr">
        <is>
          <t>Cena z porównywarki, wymaga potwierdzenia u dystrybutora (Botland/Kamami/Elmark)</t>
        </is>
      </c>
      <c r="F9" s="2" t="inlineStr">
        <is>
          <t>https://elecena.pl/search?q=40tops</t>
        </is>
      </c>
      <c r="G9" s="2" t="inlineStr">
        <is>
          <t>01.10.2026</t>
        </is>
      </c>
    </row>
    <row r="10">
      <c r="A10" s="2" t="inlineStr">
        <is>
          <t>Router Teltonika RUT956 (LTE Cat 4, GNSS)</t>
        </is>
      </c>
      <c r="B10" s="2" t="n">
        <v>1444</v>
      </c>
      <c r="C10" s="2" t="inlineStr">
        <is>
          <t>PLN</t>
        </is>
      </c>
      <c r="D10" s="2">
        <f>B10</f>
        <v/>
      </c>
      <c r="E10" s="2" t="inlineStr">
        <is>
          <t>Cena BRUTTO od 1 444 do 1 640 zł; netto ok. 1 174-1 333 zł</t>
        </is>
      </c>
      <c r="F10" s="2" t="inlineStr">
        <is>
          <t>https://emaga.mysky-shop.pl/WRL-ROUTER-LTE-CAT-4-RUT956-TELTONIKA-p2025564</t>
        </is>
      </c>
      <c r="G10" s="2" t="inlineStr">
        <is>
          <t>01.10.2026</t>
        </is>
      </c>
    </row>
    <row r="11">
      <c r="A11" s="2" t="inlineStr">
        <is>
          <t>Dysk NVMe 1 TB konsumencki Kingston NV3 (0-70 C)</t>
        </is>
      </c>
      <c r="B11" s="2" t="n">
        <v>629</v>
      </c>
      <c r="C11" s="2" t="inlineStr">
        <is>
          <t>PLN</t>
        </is>
      </c>
      <c r="D11" s="2">
        <f>B11</f>
        <v/>
      </c>
      <c r="E11" s="2" t="inlineStr">
        <is>
          <t>x-kom 629 zł brutto; Morele 429 zł (promocja V.2026)</t>
        </is>
      </c>
      <c r="F11" s="2" t="inlineStr">
        <is>
          <t>https://www.x-kom.pl/p/1273429-kingston-1tb-m2-pcie-gen4-nvme-nv3.html</t>
        </is>
      </c>
      <c r="G11" s="2" t="inlineStr">
        <is>
          <t>01.10.2026</t>
        </is>
      </c>
    </row>
    <row r="12">
      <c r="A12" s="2" t="n"/>
      <c r="B12" s="2" t="n">
        <v>961.75</v>
      </c>
      <c r="C12" s="2" t="inlineStr">
        <is>
          <t>EUR</t>
        </is>
      </c>
      <c r="D12" s="2">
        <f>B12*$B$19</f>
        <v/>
      </c>
      <c r="E12" s="2" t="inlineStr">
        <is>
          <t>Netto, RS Online</t>
        </is>
      </c>
      <c r="F12" s="2" t="inlineStr">
        <is>
          <t>https://ie.rs-online.com/web/p/hard-drives/0683207</t>
        </is>
      </c>
      <c r="G12" s="2" t="inlineStr">
        <is>
          <t>01.10.2026</t>
        </is>
      </c>
    </row>
    <row r="13">
      <c r="A13" s="2" t="n"/>
      <c r="B13" s="2" t="n"/>
      <c r="C13" s="2" t="inlineStr">
        <is>
          <t>PLN</t>
        </is>
      </c>
      <c r="D13" s="2">
        <f>B13</f>
        <v/>
      </c>
      <c r="E13" s="2" t="inlineStr">
        <is>
          <t>Netto, RS Online PL; wersja 260x160x90 mm 411,59 zł</t>
        </is>
      </c>
      <c r="F13" s="2" t="inlineStr">
        <is>
          <t>https://pl.rs-online.com/web/p/obudowy-ogolnego-uzytku/8681203</t>
        </is>
      </c>
      <c r="G13" s="2" t="inlineStr">
        <is>
          <t>01.10.2026</t>
        </is>
      </c>
    </row>
    <row r="14">
      <c r="A14" s="2" t="n"/>
      <c r="B14" s="2" t="n"/>
      <c r="C14" s="2" t="inlineStr">
        <is>
          <t>EUR</t>
        </is>
      </c>
      <c r="D14" s="2">
        <f>B14*$B$19</f>
        <v/>
      </c>
      <c r="E14" s="2" t="inlineStr">
        <is>
          <t>Netto, RS; tanie IMU MEMS znacznie niższe (bez źródła)</t>
        </is>
      </c>
      <c r="F14" s="2" t="inlineStr">
        <is>
          <t>https://benl.rs-online.com/web/p/sensor-development-tools/2162989</t>
        </is>
      </c>
      <c r="G14" s="2" t="inlineStr">
        <is>
          <t>01.10.2026</t>
        </is>
      </c>
    </row>
    <row r="15">
      <c r="A15" s="2" t="inlineStr">
        <is>
          <t>Radar mmWave TI IWR6843AOPEVM (60 GHz)</t>
        </is>
      </c>
      <c r="B15" s="2" t="n">
        <v>257.49</v>
      </c>
      <c r="C15" s="2" t="inlineStr">
        <is>
          <t>USD</t>
        </is>
      </c>
      <c r="D15" s="2">
        <f>B15*$B$20</f>
        <v/>
      </c>
      <c r="E15" s="2" t="inlineStr">
        <is>
          <t>Mouser CA - waluta niepewna (może być CAD); wniosek podaje FMCW 77 GHz</t>
        </is>
      </c>
      <c r="F15" s="2" t="inlineStr">
        <is>
          <t>https://www.mouser.ca/c/embedded-solutions/engineering-tools/sensor-development-tools/?pg=22&amp;q=QS</t>
        </is>
      </c>
      <c r="G15" s="2" t="inlineStr">
        <is>
          <t>01.10.2026</t>
        </is>
      </c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inlineStr">
        <is>
          <t>Kursy NBP z 17.09.2026 (źródło: tvp.info / comparic.pl; nr tabeli A uzupełnić przy opisie w LSI)</t>
        </is>
      </c>
      <c r="B18" s="2" t="n"/>
      <c r="C18" s="2" t="n"/>
      <c r="D18" s="2" t="n"/>
      <c r="E18" s="2" t="n"/>
      <c r="F18" s="2" t="n"/>
      <c r="G18" s="2" t="n"/>
    </row>
    <row r="19">
      <c r="A19" s="2" t="inlineStr">
        <is>
          <t>EUR/PLN</t>
        </is>
      </c>
      <c r="B19" s="2" t="n">
        <v>4.3632</v>
      </c>
      <c r="C19" s="2" t="n"/>
      <c r="D19" s="2" t="n"/>
      <c r="E19" s="2" t="n"/>
      <c r="F19" s="2" t="n"/>
      <c r="G19" s="2" t="n"/>
    </row>
    <row r="20">
      <c r="A20" s="2" t="inlineStr">
        <is>
          <t>USD/PLN</t>
        </is>
      </c>
      <c r="B20" s="2" t="n">
        <v>3.803</v>
      </c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inlineStr">
        <is>
          <t>Uwaga: ceny katalogowe/detaliczne nie są ofertami. W LSI jako "źródło danych" podać nazwę sklepu/producenta i datę odczytu; dla pozycji kluczowych (edge AI, ToF) rozważyć zapytanie ofertowe.</t>
        </is>
      </c>
      <c r="B22" s="2" t="n"/>
      <c r="C22" s="2" t="n"/>
      <c r="D22" s="2" t="n"/>
      <c r="E22" s="2" t="n"/>
      <c r="F22" s="2" t="n"/>
      <c r="G22" s="2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70" customWidth="1" min="1" max="1"/>
    <col width="22" customWidth="1" min="2" max="2"/>
    <col width="18" customWidth="1" min="3" max="3"/>
    <col width="18" customWidth="1" min="4" max="4"/>
    <col width="70" customWidth="1" min="5" max="5"/>
  </cols>
  <sheetData>
    <row r="1">
      <c r="A1" s="9" t="inlineStr">
        <is>
          <t>MODEL MARŻY: wersja podstawowa + premium (ZAŁOŻENIA edytowalne - żółte komórki; wynik to ilustracja, nie dowód)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10" t="inlineStr">
        <is>
          <t>WEJŚCIA</t>
        </is>
      </c>
      <c r="B3" s="2" t="n"/>
      <c r="C3" s="2" t="n"/>
      <c r="D3" s="2" t="n"/>
      <c r="E3" s="2" t="n"/>
    </row>
    <row r="4">
      <c r="A4" s="2" t="inlineStr">
        <is>
          <t>Udział wersji premium w sprzedaży (szt.)</t>
        </is>
      </c>
      <c r="B4" s="11" t="n">
        <v>0.1</v>
      </c>
      <c r="C4" s="2" t="inlineStr">
        <is>
          <t>zał. właściciela: &lt;10%</t>
        </is>
      </c>
      <c r="D4" s="2" t="n"/>
      <c r="E4" s="2" t="n"/>
    </row>
    <row r="5">
      <c r="A5" s="2" t="inlineStr">
        <is>
          <t>Koszt produkcji wersji premium (zł)</t>
        </is>
      </c>
      <c r="B5" s="11" t="n">
        <v>30000</v>
      </c>
      <c r="C5" s="2" t="inlineStr">
        <is>
          <t>zał. właściciela: ok. 30 tys. zł</t>
        </is>
      </c>
      <c r="D5" s="2" t="n"/>
      <c r="E5" s="2" t="n"/>
    </row>
    <row r="6">
      <c r="A6" s="2" t="inlineStr">
        <is>
          <t>Marża premium na cenie (zał.)</t>
        </is>
      </c>
      <c r="B6" s="11" t="n">
        <v>0.05</v>
      </c>
      <c r="C6" s="2" t="inlineStr">
        <is>
          <t>ZAŁOŻENIE do ustalenia (niższa niż podstawowa)</t>
        </is>
      </c>
      <c r="D6" s="2" t="n"/>
      <c r="E6" s="2" t="n"/>
    </row>
    <row r="7">
      <c r="A7" s="2" t="inlineStr">
        <is>
          <t>Rabat wolumenowy na pozycje rabatowalne</t>
        </is>
      </c>
      <c r="B7" s="11" t="n">
        <v>0.3</v>
      </c>
      <c r="C7" s="2" t="inlineStr">
        <is>
          <t>ZAŁOŻENIE bez źródła; test wrażliwości poniżej</t>
        </is>
      </c>
      <c r="D7" s="2" t="n"/>
      <c r="E7" s="2" t="n"/>
    </row>
    <row r="8">
      <c r="A8" s="2" t="inlineStr">
        <is>
          <t>Marża łączna docelowa (na przychodzie)</t>
        </is>
      </c>
      <c r="B8" s="11" t="n">
        <v>0.1</v>
      </c>
      <c r="C8" s="2" t="inlineStr">
        <is>
          <t>zał. właściciela: 10%</t>
        </is>
      </c>
      <c r="D8" s="2" t="n"/>
      <c r="E8" s="2" t="n"/>
    </row>
    <row r="9">
      <c r="A9" s="2" t="inlineStr">
        <is>
          <t>Cena wersji podstawowej (zł)</t>
        </is>
      </c>
      <c r="B9" s="11" t="n">
        <v>7500</v>
      </c>
      <c r="C9" s="2" t="inlineStr">
        <is>
          <t>wartość z wniosku</t>
        </is>
      </c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10" t="inlineStr">
        <is>
          <t>BOM wersji podstawowej (1 ToF + 1 EO)</t>
        </is>
      </c>
      <c r="B11" s="2" t="n"/>
      <c r="C11" s="2" t="n"/>
      <c r="D11" s="2" t="n"/>
      <c r="E11" s="2" t="n"/>
    </row>
    <row r="12">
      <c r="A12" s="8" t="inlineStr">
        <is>
          <t>Pozycja</t>
        </is>
      </c>
      <c r="B12" s="8" t="inlineStr">
        <is>
          <t>Cena katalogowa (zł netto)</t>
        </is>
      </c>
      <c r="C12" s="8" t="inlineStr">
        <is>
          <t>Rabatowalna? (1/0)</t>
        </is>
      </c>
      <c r="D12" s="8" t="inlineStr">
        <is>
          <t>Cena po rabacie</t>
        </is>
      </c>
      <c r="E12" s="8" t="inlineStr">
        <is>
          <t>Źródło / status</t>
        </is>
      </c>
    </row>
    <row r="13">
      <c r="A13" s="2" t="inlineStr">
        <is>
          <t>Kamera ToF (Orbbec Femto Bolt)</t>
        </is>
      </c>
      <c r="B13" s="2">
        <f>'4_Ceny_źródła'!D4</f>
        <v/>
      </c>
      <c r="C13" s="11" t="n">
        <v>1</v>
      </c>
      <c r="D13" s="2">
        <f>B13*(1-$B$7*C13)</f>
        <v/>
      </c>
      <c r="E13" s="2" t="inlineStr">
        <is>
          <t>arkusz 4</t>
        </is>
      </c>
    </row>
    <row r="14">
      <c r="A14" s="2" t="inlineStr">
        <is>
          <t>Kamera EO (Basler ace 2)</t>
        </is>
      </c>
      <c r="B14" s="2">
        <f>'4_Ceny_źródła'!D6</f>
        <v/>
      </c>
      <c r="C14" s="11" t="n">
        <v>1</v>
      </c>
      <c r="D14" s="2">
        <f>B14*(1-$B$7*C14)</f>
        <v/>
      </c>
      <c r="E14" s="2" t="inlineStr">
        <is>
          <t>arkusz 4</t>
        </is>
      </c>
    </row>
    <row r="15">
      <c r="A15" s="2" t="inlineStr">
        <is>
          <t>Radar mmWave</t>
        </is>
      </c>
      <c r="B15" s="2" t="n">
        <v>1000</v>
      </c>
      <c r="C15" s="11" t="n">
        <v>1</v>
      </c>
      <c r="D15" s="2">
        <f>B15*(1-$B$7*C15)</f>
        <v/>
      </c>
      <c r="E15" s="2" t="inlineStr">
        <is>
          <t>ZAŁOŻENIE (EVM TI ok. 0,7-1,0 tys. zł; waluta niepewna)</t>
        </is>
      </c>
    </row>
    <row r="16">
      <c r="A16" s="2" t="inlineStr">
        <is>
          <t>Jetson Orin Nano 8 GB moduł</t>
        </is>
      </c>
      <c r="B16" s="2">
        <f>'4_Ceny_źródła'!D7</f>
        <v/>
      </c>
      <c r="C16" s="11" t="n">
        <v>0</v>
      </c>
      <c r="D16" s="2">
        <f>B16*(1-$B$7*C16)</f>
        <v/>
      </c>
      <c r="E16" s="2" t="inlineStr">
        <is>
          <t>arkusz 4; cena 1KU+ jest już wolumenowa - bez dodatkowego rabatu</t>
        </is>
      </c>
    </row>
    <row r="17">
      <c r="A17" s="2" t="inlineStr">
        <is>
          <t>Obudowa IP66 + okablowanie + zasilanie/UPS</t>
        </is>
      </c>
      <c r="B17" s="2" t="n">
        <v>1500</v>
      </c>
      <c r="C17" s="11" t="n">
        <v>1</v>
      </c>
      <c r="D17" s="2">
        <f>B17*(1-$B$7*C17)</f>
        <v/>
      </c>
      <c r="E17" s="2" t="inlineStr">
        <is>
          <t>ZAŁOŻENIE (sama obudowa 190-410 zł wg arkusza 4)</t>
        </is>
      </c>
    </row>
    <row r="18">
      <c r="A18" s="2" t="inlineStr">
        <is>
          <t>Router LTE + GNSS (RUT956)</t>
        </is>
      </c>
      <c r="B18" s="2" t="n">
        <v>1250</v>
      </c>
      <c r="C18" s="11" t="n">
        <v>1</v>
      </c>
      <c r="D18" s="2">
        <f>B18*(1-$B$7*C18)</f>
        <v/>
      </c>
      <c r="E18" s="2" t="inlineStr">
        <is>
          <t>arkusz 4 (netto 1,17-1,33 tys. zł)</t>
        </is>
      </c>
    </row>
    <row r="19">
      <c r="A19" s="2" t="inlineStr">
        <is>
          <t>IMU i czujniki środowiskowe</t>
        </is>
      </c>
      <c r="B19" s="2" t="n">
        <v>1000</v>
      </c>
      <c r="C19" s="11" t="n">
        <v>1</v>
      </c>
      <c r="D19" s="2">
        <f>B19*(1-$B$7*C19)</f>
        <v/>
      </c>
      <c r="E19" s="2" t="inlineStr">
        <is>
          <t>ZAŁOŻENIE (IMU przemysłowe do ok. 2,8 tys. zł, MEMS znacznie taniej)</t>
        </is>
      </c>
    </row>
    <row r="20">
      <c r="A20" s="2" t="inlineStr">
        <is>
          <t>Dysk NVMe 1 TB (konsumencki)</t>
        </is>
      </c>
      <c r="B20" s="2" t="n">
        <v>430</v>
      </c>
      <c r="C20" s="11" t="n">
        <v>1</v>
      </c>
      <c r="D20" s="2">
        <f>B20*(1-$B$7*C20)</f>
        <v/>
      </c>
      <c r="E20" s="2" t="inlineStr">
        <is>
          <t>arkusz 4 (429-629 zł brutto)</t>
        </is>
      </c>
    </row>
    <row r="21">
      <c r="A21" s="10" t="inlineStr">
        <is>
          <t>SUMA BOM (wersja podstawowa)</t>
        </is>
      </c>
      <c r="B21" s="2">
        <f>SUM(B13:B20)</f>
        <v/>
      </c>
      <c r="C21" s="2" t="n"/>
      <c r="D21" s="2">
        <f>SUM(D13:D20)</f>
        <v/>
      </c>
      <c r="E21" s="2" t="n"/>
    </row>
    <row r="22">
      <c r="A22" s="2" t="n"/>
      <c r="B22" s="2" t="n"/>
      <c r="C22" s="2" t="n"/>
      <c r="D22" s="2" t="n"/>
      <c r="E22" s="2" t="n"/>
    </row>
    <row r="23">
      <c r="A23" s="10" t="inlineStr">
        <is>
          <t>WYNIKI</t>
        </is>
      </c>
      <c r="B23" s="2" t="n"/>
      <c r="C23" s="2" t="n"/>
      <c r="D23" s="2" t="n"/>
      <c r="E23" s="2" t="n"/>
    </row>
    <row r="24">
      <c r="A24" s="2" t="inlineStr">
        <is>
          <t>Koszt serii wersji podstawowej po rabacie (zł)</t>
        </is>
      </c>
      <c r="B24" s="2">
        <f>D21</f>
        <v/>
      </c>
      <c r="C24" s="2" t="n"/>
      <c r="D24" s="2" t="n"/>
      <c r="E24" s="2" t="n"/>
    </row>
    <row r="25">
      <c r="A25" s="2" t="inlineStr">
        <is>
          <t>Koszt całkowity na 100 szt. (zł)</t>
        </is>
      </c>
      <c r="B25" s="2">
        <f>100*B4*B5+100*(1-B4)*B24</f>
        <v/>
      </c>
      <c r="C25" s="2" t="n"/>
      <c r="D25" s="2" t="n"/>
      <c r="E25" s="2" t="n"/>
    </row>
    <row r="26">
      <c r="A26" s="2" t="inlineStr">
        <is>
          <t>Wymagany przychód na 100 szt. dla marży łącznej (zł)</t>
        </is>
      </c>
      <c r="B26" s="2">
        <f>B25/(1-B8)</f>
        <v/>
      </c>
      <c r="C26" s="2" t="n"/>
      <c r="D26" s="2" t="n"/>
      <c r="E26" s="2" t="n"/>
    </row>
    <row r="27">
      <c r="A27" s="2" t="inlineStr">
        <is>
          <t>Cena premium wynikająca z marży premium (zł)</t>
        </is>
      </c>
      <c r="B27" s="2">
        <f>B5/(1-B6)</f>
        <v/>
      </c>
      <c r="C27" s="2" t="n"/>
      <c r="D27" s="2" t="n"/>
      <c r="E27" s="2" t="n"/>
    </row>
    <row r="28">
      <c r="A28" s="2" t="inlineStr">
        <is>
          <t>Wymagana cena wersji podstawowej (zł)</t>
        </is>
      </c>
      <c r="B28" s="2">
        <f>(B26-100*B4*B27)/(100*(1-B4))</f>
        <v/>
      </c>
      <c r="C28" s="2" t="n"/>
      <c r="D28" s="2" t="n"/>
      <c r="E28" s="2" t="n"/>
    </row>
    <row r="29">
      <c r="A29" s="2" t="inlineStr">
        <is>
          <t>Marża wersji podstawowej przy cenie z wniosku (na cenie)</t>
        </is>
      </c>
      <c r="B29" s="2">
        <f>(B9-B24)/B9</f>
        <v/>
      </c>
      <c r="C29" s="2" t="n"/>
      <c r="D29" s="2" t="n"/>
      <c r="E29" s="2" t="n"/>
    </row>
    <row r="30">
      <c r="A30" s="2" t="inlineStr">
        <is>
          <t>Marża łączna przy cenie podstawowej z wniosku</t>
        </is>
      </c>
      <c r="B30" s="2">
        <f>(100*B4*B27+100*(1-B4)*B9-B25)/(100*B4*B27+100*(1-B4)*B9)</f>
        <v/>
      </c>
      <c r="C30" s="2" t="n"/>
      <c r="D30" s="2" t="n"/>
      <c r="E30" s="2" t="n"/>
    </row>
    <row r="31">
      <c r="A31" s="2" t="inlineStr">
        <is>
          <t>Maks. koszt serii wersji podstawowej, przy którym cena z wniosku daje marżę łączną docelową (zł)</t>
        </is>
      </c>
      <c r="B31" s="2">
        <f>((100*B4*B27+100*(1-B4)*B9)*(1-B8)-100*B4*B5)/(100*(1-B4))</f>
        <v/>
      </c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10" t="inlineStr">
        <is>
          <t>WRAŻLIWOŚĆ: wymagana cena wersji podstawowej (zł) przy marży łącznej 10% i różnym rabacie</t>
        </is>
      </c>
      <c r="B34" s="2" t="n"/>
      <c r="C34" s="2" t="n"/>
      <c r="D34" s="2" t="n"/>
      <c r="E34" s="2" t="n"/>
    </row>
    <row r="35">
      <c r="A35" s="2" t="inlineStr">
        <is>
          <t>Rabat wolumenowy</t>
        </is>
      </c>
      <c r="B35" s="2" t="inlineStr">
        <is>
          <t>Koszt serii podst. (zł)</t>
        </is>
      </c>
      <c r="C35" s="2" t="inlineStr">
        <is>
          <t>Wymagana cena podst. (zł)</t>
        </is>
      </c>
      <c r="D35" s="2" t="n"/>
      <c r="E35" s="2" t="n"/>
    </row>
    <row r="36">
      <c r="A36" s="2" t="n">
        <v>0</v>
      </c>
      <c r="B36" s="2">
        <f>SUMPRODUCT(B13:B20,1-A36*C13:C20)</f>
        <v/>
      </c>
      <c r="C36" s="2">
        <f>((100*$B$4*$B$5+100*(1-$B$4)*B36)/(1-$B$8)-100*$B$4*$B$27)/(100*(1-$B$4))</f>
        <v/>
      </c>
      <c r="D36" s="2" t="n"/>
      <c r="E36" s="2" t="n"/>
    </row>
    <row r="37">
      <c r="A37" s="2" t="n">
        <v>0.1</v>
      </c>
      <c r="B37" s="2">
        <f>SUMPRODUCT(B13:B20,1-A37*C13:C20)</f>
        <v/>
      </c>
      <c r="C37" s="2">
        <f>((100*$B$4*$B$5+100*(1-$B$4)*B37)/(1-$B$8)-100*$B$4*$B$27)/(100*(1-$B$4))</f>
        <v/>
      </c>
      <c r="D37" s="2" t="n"/>
      <c r="E37" s="2" t="n"/>
    </row>
    <row r="38">
      <c r="A38" s="2" t="n">
        <v>0.2</v>
      </c>
      <c r="B38" s="2">
        <f>SUMPRODUCT(B13:B20,1-A38*C13:C20)</f>
        <v/>
      </c>
      <c r="C38" s="2">
        <f>((100*$B$4*$B$5+100*(1-$B$4)*B38)/(1-$B$8)-100*$B$4*$B$27)/(100*(1-$B$4))</f>
        <v/>
      </c>
      <c r="D38" s="2" t="n"/>
      <c r="E38" s="2" t="n"/>
    </row>
    <row r="39">
      <c r="A39" s="2" t="n">
        <v>0.3</v>
      </c>
      <c r="B39" s="2">
        <f>SUMPRODUCT(B13:B20,1-A39*C13:C20)</f>
        <v/>
      </c>
      <c r="C39" s="2">
        <f>((100*$B$4*$B$5+100*(1-$B$4)*B39)/(1-$B$8)-100*$B$4*$B$27)/(100*(1-$B$4))</f>
        <v/>
      </c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inlineStr">
        <is>
          <t>Uwaga: dodatkowo trzeba doliczyć koszt montażu/instalacji i wsparcia (K2-06 pyta o uwzględnienie kosztów montażu, integracji, utrzymania). Model nie zawiera tych kosztów.</t>
        </is>
      </c>
      <c r="B41" s="2" t="n"/>
      <c r="C41" s="2" t="n"/>
      <c r="D41" s="2" t="n"/>
      <c r="E41" s="2" t="n"/>
    </row>
    <row r="44">
      <c r="A44" s="10" t="inlineStr">
        <is>
          <t>WARTOŚCI KONTROLNE (przeliczone poza Excelem, kursy NBP 17.09.2026, domyślne założenia; Excel przeliczy formuły sam)</t>
        </is>
      </c>
    </row>
    <row r="45">
      <c r="A45" s="2" t="inlineStr">
        <is>
          <t>Rabat 0%: koszt serii podst. 10 215 zł; wymagana cena podst. ok. 11 545 zł; marża podst. przy 7 500 zł: -36%</t>
        </is>
      </c>
    </row>
    <row r="46">
      <c r="A46" s="2" t="inlineStr">
        <is>
          <t>Rabat 10%: koszt 9 345 zł; wymagana cena ok. 10 579 zł</t>
        </is>
      </c>
    </row>
    <row r="47">
      <c r="A47" s="2" t="inlineStr">
        <is>
          <t>Rabat 20%: koszt 8 476 zł; wymagana cena ok. 9 612 zł</t>
        </is>
      </c>
    </row>
    <row r="48">
      <c r="A48" s="2" t="inlineStr">
        <is>
          <t>Rabat 30%: koszt 7 606 zł; wymagana cena ok. 8 646 zł; marża podst. przy 7 500 zł: -1,4%; marża łączna: +0,6%</t>
        </is>
      </c>
    </row>
    <row r="49">
      <c r="A49" s="2" t="inlineStr">
        <is>
          <t>Maksymalny koszt serii wersji podstawowej, przy którym cena 7 500 zł daje 10% marży łącznej: ok. 6 575 zł (niezależnie od rabatu)</t>
        </is>
      </c>
    </row>
    <row r="50">
      <c r="A50" s="2" t="inlineStr">
        <is>
          <t>Rabat nie obejmuje modułu Jetson (cena 1KU+ jest już wolumenowa). Konfiguracja 3 kamery ToF: koszt serii ok. 9 094 zł przy rabacie 30%.</t>
        </is>
      </c>
    </row>
    <row r="51">
      <c r="A51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00" customWidth="1" min="3" max="3"/>
    <col width="50" customWidth="1" min="4" max="4"/>
  </cols>
  <sheetData>
    <row r="1">
      <c r="A1" s="3" t="inlineStr">
        <is>
          <t>Lp.</t>
        </is>
      </c>
      <c r="B1" s="3" t="inlineStr">
        <is>
          <t>Klauzula</t>
        </is>
      </c>
      <c r="C1" s="3" t="inlineStr">
        <is>
          <t>Treść / zakres</t>
        </is>
      </c>
      <c r="D1" s="3" t="inlineStr">
        <is>
          <t>Po co (uwaga eksperta)</t>
        </is>
      </c>
    </row>
    <row r="2">
      <c r="A2" s="4" t="inlineStr">
        <is>
          <t>1</t>
        </is>
      </c>
      <c r="B2" s="4" t="inlineStr">
        <is>
          <t>Strony i przedmiot</t>
        </is>
      </c>
      <c r="C2" s="4" t="inlineStr">
        <is>
          <t>Najem/leasing zestawów (ciągnik siodłowy + naczepa) na rzecz Everest11; opis typu zabudowy (furgon/izoterma/kurtyna) zgodnego z konfiguracją CargoDT.</t>
        </is>
      </c>
      <c r="D2" s="4" t="inlineStr">
        <is>
          <t>Odpowiada na pytanie eksperta, co dokładnie Everest11 posiada.</t>
        </is>
      </c>
    </row>
    <row r="3">
      <c r="A3" s="4" t="inlineStr">
        <is>
          <t>2</t>
        </is>
      </c>
      <c r="B3" s="4" t="inlineStr">
        <is>
          <t>Liczba i harmonogram pojazdów</t>
        </is>
      </c>
      <c r="C3" s="4" t="inlineStr">
        <is>
          <t>Stan wyjściowy 5 zestawów; zobowiązanie do zwiększania do 20 wg harmonogramu (np. liczba na koniec każdego kwartału) do 30.04.2029; mechanizm potwierdzania (protokoły przekazania).</t>
        </is>
      </c>
      <c r="D3" s="4" t="inlineStr">
        <is>
          <t>Zamienia deklarację "będzie 20" w zobowiązanie umowne.</t>
        </is>
      </c>
    </row>
    <row r="4">
      <c r="A4" s="4" t="inlineStr">
        <is>
          <t>3</t>
        </is>
      </c>
      <c r="B4" s="4" t="inlineStr">
        <is>
          <t>Okres obowiązywania</t>
        </is>
      </c>
      <c r="C4" s="4" t="inlineStr">
        <is>
          <t>Co najmniej do 31.12.2031 (obejmuje start sprzedaży 01/2030 i okres prognozy), z opcją przedłużenia.</t>
        </is>
      </c>
      <c r="D4" s="4" t="inlineStr">
        <is>
          <t>Spójne z modelem finansowym i datą wdrożenia.</t>
        </is>
      </c>
    </row>
    <row r="5">
      <c r="A5" s="4" t="inlineStr">
        <is>
          <t>4</t>
        </is>
      </c>
      <c r="B5" s="4" t="inlineStr">
        <is>
          <t>Zgoda wynajmującego na montaż</t>
        </is>
      </c>
      <c r="C5" s="4" t="inlineStr">
        <is>
          <t>Prawo do montażu, serwisu i demontażu urządzeń CargoDT, zakres ingerencji (zasilanie, otwory, uchwyty), przywrócenie stanu po zwrocie.</t>
        </is>
      </c>
      <c r="D5" s="4" t="inlineStr">
        <is>
          <t>Bez tego montaż w pojazdach w najmie jest ryzykiem.</t>
        </is>
      </c>
    </row>
    <row r="6">
      <c r="A6" s="4" t="inlineStr">
        <is>
          <t>5</t>
        </is>
      </c>
      <c r="B6" s="4" t="inlineStr">
        <is>
          <t>Dane i wizerunek</t>
        </is>
      </c>
      <c r="C6" s="4" t="inlineStr">
        <is>
          <t>Zgoda na rejestrację obrazu wnętrza i danych z pojazdu, zasady RODO (anonimizacja obrazu, DPIA), własność i dostęp do danych.</t>
        </is>
      </c>
      <c r="D6" s="4" t="inlineStr">
        <is>
          <t>K3-25, K5-13.</t>
        </is>
      </c>
    </row>
    <row r="7">
      <c r="A7" s="4" t="inlineStr">
        <is>
          <t>6</t>
        </is>
      </c>
      <c r="B7" s="4" t="inlineStr">
        <is>
          <t>Użytkowanie i odpowiedzialność</t>
        </is>
      </c>
      <c r="C7" s="4" t="inlineStr">
        <is>
          <t>Ubezpieczenie na czas montażu, odpowiedzialność za szkody, brak ograniczeń eksploatacji.</t>
        </is>
      </c>
      <c r="D7" s="4" t="inlineStr">
        <is>
          <t>Zabezpiecza ciągłość pracy floty.</t>
        </is>
      </c>
    </row>
    <row r="8">
      <c r="A8" s="4" t="inlineStr">
        <is>
          <t>7</t>
        </is>
      </c>
      <c r="B8" s="4" t="inlineStr">
        <is>
          <t>Wyłączność / pierwszeństwo</t>
        </is>
      </c>
      <c r="C8" s="4" t="inlineStr">
        <is>
          <t>Opcjonalnie: pierwszeństwo rozszerzania floty u tego samego wynajmującego.</t>
        </is>
      </c>
      <c r="D8" s="4" t="inlineStr">
        <is>
          <t>Wzmacnia wiarygodność przyrostu.</t>
        </is>
      </c>
    </row>
    <row r="9">
      <c r="A9" s="4" t="inlineStr">
        <is>
          <t>8</t>
        </is>
      </c>
      <c r="B9" s="4" t="inlineStr">
        <is>
          <t>Rozdzielenie od kosztów projektu</t>
        </is>
      </c>
      <c r="C9" s="4" t="inlineStr">
        <is>
          <t>Najem nie jest kosztem kwalifikowalnym projektu; nie jest rozpoczęciem realizacji projektu (Instrukcja pkt 1.1).</t>
        </is>
      </c>
      <c r="D9" s="4" t="inlineStr">
        <is>
          <t>Unika zarzutu naruszenia efektu zachęty.</t>
        </is>
      </c>
    </row>
    <row r="10">
      <c r="A10" s="4" t="inlineStr">
        <is>
          <t>9</t>
        </is>
      </c>
      <c r="B10" s="4" t="inlineStr">
        <is>
          <t>Termin i forma</t>
        </is>
      </c>
      <c r="C10" s="4" t="inlineStr">
        <is>
          <t>Aneks podpisany przed wysłaniem poprawionego wniosku; wniosek opisuje treść bez załączania umów.</t>
        </is>
      </c>
      <c r="D10" s="4" t="inlineStr">
        <is>
          <t>Decyzja właściciela (D10).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22" customWidth="1" min="3" max="3"/>
    <col width="26" customWidth="1" min="4" max="4"/>
    <col width="12" customWidth="1" min="5" max="5"/>
  </cols>
  <sheetData>
    <row r="1">
      <c r="A1" s="3" t="inlineStr">
        <is>
          <t>ID</t>
        </is>
      </c>
      <c r="B1" s="3" t="inlineStr">
        <is>
          <t>Kontrola</t>
        </is>
      </c>
      <c r="C1" s="3" t="inlineStr">
        <is>
          <t>Kto</t>
        </is>
      </c>
      <c r="D1" s="3" t="inlineStr">
        <is>
          <t>Kiedy</t>
        </is>
      </c>
      <c r="E1" s="3" t="inlineStr">
        <is>
          <t>Status</t>
        </is>
      </c>
    </row>
    <row r="2">
      <c r="A2" s="4" t="inlineStr">
        <is>
          <t>C01</t>
        </is>
      </c>
      <c r="B2" s="4" t="inlineStr">
        <is>
          <t>Spójność parametrów: AUC, błąd pozycji, 50 zdarzeń, liczba kursów, ceny, daty, formy zatrudnienia - wyszukiwanie we WSZYSTKICH polach wniosku wersji docelowej</t>
        </is>
      </c>
      <c r="C2" s="4" t="inlineStr">
        <is>
          <t>Claude</t>
        </is>
      </c>
      <c r="D2" s="4" t="inlineStr">
        <is>
          <t>po każdym pakiecie i na końcu</t>
        </is>
      </c>
      <c r="E2" s="4" t="inlineStr">
        <is>
          <t>OTWARTE</t>
        </is>
      </c>
    </row>
    <row r="3">
      <c r="A3" s="4" t="inlineStr">
        <is>
          <t>C02</t>
        </is>
      </c>
      <c r="B3" s="4" t="inlineStr">
        <is>
          <t>Budżet: dofinansowanie &lt;= 3 998 262,02 zł; Everest11 &lt;= 2 964 296,12 zł; PRz &lt;= 1 033 965,90 zł (po każdej zmianie, z ryczałtem 25%)</t>
        </is>
      </c>
      <c r="C3" s="4" t="inlineStr">
        <is>
          <t>Claude</t>
        </is>
      </c>
      <c r="D3" s="4" t="inlineStr">
        <is>
          <t>po każdej zmianie kosztów</t>
        </is>
      </c>
      <c r="E3" s="4" t="inlineStr">
        <is>
          <t>OTWARTE</t>
        </is>
      </c>
    </row>
    <row r="4">
      <c r="A4" s="4" t="inlineStr">
        <is>
          <t>C03</t>
        </is>
      </c>
      <c r="B4" s="4" t="inlineStr">
        <is>
          <t>Koszty pośrednie = 25% x (personel + amortyzacja + WNiP + dostawy + usługi operacyjne), bez podwykonawstwa</t>
        </is>
      </c>
      <c r="C4" s="4" t="inlineStr">
        <is>
          <t>Claude</t>
        </is>
      </c>
      <c r="D4" s="4" t="inlineStr">
        <is>
          <t>na końcu</t>
        </is>
      </c>
      <c r="E4" s="4" t="inlineStr">
        <is>
          <t>OTWARTE</t>
        </is>
      </c>
    </row>
    <row r="5">
      <c r="A5" s="4" t="inlineStr">
        <is>
          <t>C04</t>
        </is>
      </c>
      <c r="B5" s="4" t="inlineStr">
        <is>
          <t>Limit 276 h/mies. dla każdej osoby (wymaga danych o innych zaangażowaniach)</t>
        </is>
      </c>
      <c r="C5" s="4" t="inlineStr">
        <is>
          <t>Właściciel + Claude</t>
        </is>
      </c>
      <c r="D5" s="4" t="inlineStr">
        <is>
          <t>05.10</t>
        </is>
      </c>
      <c r="E5" s="4" t="inlineStr">
        <is>
          <t>OTWARTE</t>
        </is>
      </c>
    </row>
    <row r="6">
      <c r="A6" s="4" t="inlineStr">
        <is>
          <t>C05</t>
        </is>
      </c>
      <c r="B6" s="4" t="inlineStr">
        <is>
          <t>Zasada 1 zadanie = 1 konsorcjant; brak wspólnej puli sprzętu PRz i Everest11</t>
        </is>
      </c>
      <c r="C6" s="4" t="inlineStr">
        <is>
          <t>Claude</t>
        </is>
      </c>
      <c r="D6" s="4" t="inlineStr">
        <is>
          <t>na końcu</t>
        </is>
      </c>
      <c r="E6" s="4" t="inlineStr">
        <is>
          <t>OTWARTE</t>
        </is>
      </c>
    </row>
    <row r="7">
      <c r="A7" s="4" t="inlineStr">
        <is>
          <t>C06</t>
        </is>
      </c>
      <c r="B7" s="4" t="inlineStr">
        <is>
          <t>Każde zadanie ma 1 KM: parametry w SI, sposób weryfikacji, wpływ nieosiągnięcia, no-go</t>
        </is>
      </c>
      <c r="C7" s="4" t="inlineStr">
        <is>
          <t>Claude</t>
        </is>
      </c>
      <c r="D7" s="4" t="inlineStr">
        <is>
          <t>po WP02</t>
        </is>
      </c>
      <c r="E7" s="4" t="inlineStr">
        <is>
          <t>OTWARTE</t>
        </is>
      </c>
    </row>
    <row r="8">
      <c r="A8" s="4" t="inlineStr">
        <is>
          <t>C07</t>
        </is>
      </c>
      <c r="B8" s="4" t="inlineStr">
        <is>
          <t>Limity znaków pól LSI (Instrukcja wniosku) - liczba znaków przy każdym tekście</t>
        </is>
      </c>
      <c r="C8" s="4" t="inlineStr">
        <is>
          <t>Claude</t>
        </is>
      </c>
      <c r="D8" s="4" t="inlineStr">
        <is>
          <t>przy każdym tekście</t>
        </is>
      </c>
      <c r="E8" s="4" t="inlineStr">
        <is>
          <t>OTWARTE</t>
        </is>
      </c>
    </row>
    <row r="9">
      <c r="A9" s="4" t="inlineStr">
        <is>
          <t>C08</t>
        </is>
      </c>
      <c r="B9" s="4" t="inlineStr">
        <is>
          <t>Nazwy stanowisk spójne w 6.1 i 3.1.2; daty zadań w M-numeracji (np. Z6 M19-M27, Z9 M22-M30)</t>
        </is>
      </c>
      <c r="C9" s="4" t="inlineStr">
        <is>
          <t>Claude</t>
        </is>
      </c>
      <c r="D9" s="4" t="inlineStr">
        <is>
          <t>po WP06</t>
        </is>
      </c>
      <c r="E9" s="4" t="inlineStr">
        <is>
          <t>OTWARTE</t>
        </is>
      </c>
    </row>
    <row r="10">
      <c r="A10" s="4" t="inlineStr">
        <is>
          <t>C09</t>
        </is>
      </c>
      <c r="B10" s="4" t="inlineStr">
        <is>
          <t>Macierz pokrycia: każde podżądanie uwagi -&gt; pole -&gt; fragment tekstu (puste = uwaga umknęła)</t>
        </is>
      </c>
      <c r="C10" s="4" t="inlineStr">
        <is>
          <t>Claude</t>
        </is>
      </c>
      <c r="D10" s="4" t="inlineStr">
        <is>
          <t>na końcu</t>
        </is>
      </c>
      <c r="E10" s="4" t="inlineStr">
        <is>
          <t>OTWARTE</t>
        </is>
      </c>
    </row>
    <row r="11">
      <c r="A11" s="4" t="inlineStr">
        <is>
          <t>C10</t>
        </is>
      </c>
      <c r="B11" s="4" t="inlineStr">
        <is>
          <t>Różnice wersja docelowa vs oryginał: każda zmiana ma uzasadnienie (ID uwagi lub skutek uboczny)</t>
        </is>
      </c>
      <c r="C11" s="4" t="inlineStr">
        <is>
          <t>Claude</t>
        </is>
      </c>
      <c r="D11" s="4" t="inlineStr">
        <is>
          <t>na końcu</t>
        </is>
      </c>
      <c r="E11" s="4" t="inlineStr">
        <is>
          <t>OTWARTE</t>
        </is>
      </c>
    </row>
    <row r="12">
      <c r="A12" s="4" t="inlineStr">
        <is>
          <t>C11</t>
        </is>
      </c>
      <c r="B12" s="4" t="inlineStr">
        <is>
          <t>Model finansowy (2 pliki xlsm) zgodny z LSI: ceny, daty, wolumeny, komentarze (np. "18 miesięcy" w Założeniach powinno być 30)</t>
        </is>
      </c>
      <c r="C12" s="4" t="inlineStr">
        <is>
          <t>Claude + właściciel</t>
        </is>
      </c>
      <c r="D12" s="4" t="inlineStr">
        <is>
          <t>05-06.10</t>
        </is>
      </c>
      <c r="E12" s="4" t="inlineStr">
        <is>
          <t>OTWARTE</t>
        </is>
      </c>
    </row>
    <row r="13">
      <c r="A13" s="4" t="inlineStr">
        <is>
          <t>C12</t>
        </is>
      </c>
      <c r="B13" s="4" t="inlineStr">
        <is>
          <t>Cena 7 500 / 349 / 4 800 zł i wskaźnik "koszt wdrożenia" spójne po decyzji o modelu marży (D11)</t>
        </is>
      </c>
      <c r="C13" s="4" t="inlineStr">
        <is>
          <t>Claude</t>
        </is>
      </c>
      <c r="D13" s="4" t="inlineStr">
        <is>
          <t>po D11</t>
        </is>
      </c>
      <c r="E13" s="4" t="inlineStr">
        <is>
          <t>OTWARTE</t>
        </is>
      </c>
    </row>
    <row r="14">
      <c r="A14" s="4" t="inlineStr">
        <is>
          <t>C13</t>
        </is>
      </c>
      <c r="B14" s="4" t="inlineStr">
        <is>
          <t>Kontrola adwersarska: czytanie gotowego tekstu każdego kryterium z perspektywy eksperta (bez notatek)</t>
        </is>
      </c>
      <c r="C14" s="4" t="inlineStr">
        <is>
          <t>Claude</t>
        </is>
      </c>
      <c r="D14" s="4" t="inlineStr">
        <is>
          <t>06.10</t>
        </is>
      </c>
      <c r="E14" s="4" t="inlineStr">
        <is>
          <t>OTWARTE</t>
        </is>
      </c>
    </row>
    <row r="15">
      <c r="A15" s="4" t="inlineStr">
        <is>
          <t>C14</t>
        </is>
      </c>
      <c r="B15" s="4" t="inlineStr">
        <is>
          <t>Jeśli dodajemy de minimis (misja): dokumenty (formularz, pomoc z 3 lat) i brak przekroczenia 300 tys. EUR</t>
        </is>
      </c>
      <c r="C15" s="4" t="inlineStr">
        <is>
          <t>Właściciel</t>
        </is>
      </c>
      <c r="D15" s="4" t="inlineStr">
        <is>
          <t>05.10</t>
        </is>
      </c>
      <c r="E15" s="4" t="inlineStr">
        <is>
          <t>OTWARTE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50" customWidth="1" min="3" max="3"/>
  </cols>
  <sheetData>
    <row r="1">
      <c r="A1" s="3" t="inlineStr">
        <is>
          <t>ID</t>
        </is>
      </c>
      <c r="B1" s="3" t="inlineStr">
        <is>
          <t>Co było błędne / niepewne</t>
        </is>
      </c>
      <c r="C1" s="3" t="inlineStr">
        <is>
          <t>Status korekty</t>
        </is>
      </c>
    </row>
    <row r="2">
      <c r="A2" s="4" t="inlineStr">
        <is>
          <t>E01</t>
        </is>
      </c>
      <c r="B2" s="4" t="inlineStr">
        <is>
          <t>K3-65 (podróże na TRANSLOG): wcześniej uznałam, że art. 19 ich nie obejmuje; Przewodnik 5.3.3 mówi, że podróże na targi to art. 19 (MŚP), a de minimis dotyczy misji (5.3.4). Zapis w Przewodniku jest dwuznaczny.</t>
        </is>
      </c>
      <c r="C2" s="4" t="inlineStr">
        <is>
          <t>Poprawione; potwierdzić w helpdesku NCBR.</t>
        </is>
      </c>
    </row>
    <row r="3">
      <c r="A3" s="4" t="inlineStr">
        <is>
          <t>E02</t>
        </is>
      </c>
      <c r="B3" s="4" t="inlineStr">
        <is>
          <t>K3-08: oszczędność po skróceniu Backendu do 9 mies. wynosi ok. 48,8 tys. zł (z ryczałtem 25%), a nie 39 tys. zł.</t>
        </is>
      </c>
      <c r="C3" s="4" t="inlineStr">
        <is>
          <t>Poprawione; D07 zmienia podejście (podział Z6/Z9).</t>
        </is>
      </c>
    </row>
    <row r="4">
      <c r="A4" s="4" t="inlineStr">
        <is>
          <t>E03</t>
        </is>
      </c>
      <c r="B4" s="4" t="inlineStr">
        <is>
          <t>Punkt K3 za &gt;50% prac rozwojowych: wcześniej sugerowałam przesunięcie; praca rozwojowa to 38,6% kosztów B+R, przesunięcie jest nierealne.</t>
        </is>
      </c>
      <c r="C4" s="4" t="inlineStr">
        <is>
          <t>Wycofane.</t>
        </is>
      </c>
    </row>
    <row r="5">
      <c r="A5" s="4" t="inlineStr">
        <is>
          <t>E04</t>
        </is>
      </c>
      <c r="B5" s="4" t="inlineStr">
        <is>
          <t>Cena ToF "typ 2": 12 000 i 10 000 zł wyższe niż ceny katalogowe kamer (6,9-7,9 tys. zł).</t>
        </is>
      </c>
      <c r="C5" s="4" t="inlineStr">
        <is>
          <t>Do rozstrzygnięcia przez opis "zestaw" (D12).</t>
        </is>
      </c>
    </row>
    <row r="6">
      <c r="A6" s="4" t="inlineStr">
        <is>
          <t>E05</t>
        </is>
      </c>
      <c r="B6" s="4" t="inlineStr">
        <is>
          <t>OAK-D Pro W podany jako "ToF" jest active stereo.</t>
        </is>
      </c>
      <c r="C6" s="4" t="inlineStr">
        <is>
          <t>Do rozstrzygnięcia w D06.</t>
        </is>
      </c>
    </row>
    <row r="7">
      <c r="A7" s="4" t="inlineStr">
        <is>
          <t>E06</t>
        </is>
      </c>
      <c r="B7" s="4" t="inlineStr">
        <is>
          <t>Cena radaru TI z Mouser CA: waluta niepewna (może być CAD).</t>
        </is>
      </c>
      <c r="C7" s="4" t="inlineStr">
        <is>
          <t>Oznaczone jako ZAŁOŻENIE.</t>
        </is>
      </c>
    </row>
    <row r="8">
      <c r="A8" s="4" t="inlineStr">
        <is>
          <t>E07</t>
        </is>
      </c>
      <c r="B8" s="4" t="inlineStr">
        <is>
          <t>Liczba naczep 2023 (544,97 tys.) pochodzi ze źródła wtórnego; 567 800 (2024) niepotwierdzone.</t>
        </is>
      </c>
      <c r="C8" s="4" t="inlineStr">
        <is>
          <t>Właściciel pobiera wartość z Eurostat (T05).</t>
        </is>
      </c>
    </row>
    <row r="9">
      <c r="A9" s="4" t="inlineStr">
        <is>
          <t>E08</t>
        </is>
      </c>
      <c r="B9" s="4" t="inlineStr">
        <is>
          <t>Rejestr: decyzja "PRz ocenia Z9 w pełnym zakresie" koliduje z zasadą 1 zadanie = 1 konsorcjant i uwagą 12.</t>
        </is>
      </c>
      <c r="C9" s="4" t="inlineStr">
        <is>
          <t>Zastąpiona przez D05.</t>
        </is>
      </c>
    </row>
    <row r="10">
      <c r="A10" s="4" t="inlineStr">
        <is>
          <t>E09</t>
        </is>
      </c>
      <c r="B10" s="4" t="inlineStr">
        <is>
          <t>Edge AI: klasa dysku NVMe może zmienić koszt kompletu o ok. 3,8 tys. zł; mój pomysł "dysk konsumencki w ogrzewanej obudowie" wymaga potwierdzenia technicznego.</t>
        </is>
      </c>
      <c r="C10" s="4" t="inlineStr">
        <is>
          <t>T01.</t>
        </is>
      </c>
    </row>
    <row r="11">
      <c r="A11" s="4" t="inlineStr">
        <is>
          <t>E10</t>
        </is>
      </c>
      <c r="B11" s="4" t="inlineStr">
        <is>
          <t>Zbyt wiele wątków naraz w odpowiedziach (uwaga właściciela). Zasada 3 w arkuszu 0.</t>
        </is>
      </c>
      <c r="C11" s="4" t="inlineStr">
        <is>
          <t>Wdrożone.</t>
        </is>
      </c>
    </row>
    <row r="12">
      <c r="A12" s="2" t="inlineStr">
        <is>
          <t>E11</t>
        </is>
      </c>
      <c r="B12" s="2" t="inlineStr">
        <is>
          <t>W poprzedniej wiadomości tabela marży stosowała rabat 30% także do modułu Jetson, którego cena 1KU+ jest już wolumenowa; wynik był zbyt optymistyczny (koszt serii 7,1 tys. zł zamiast 7,6 tys. zł; cena dla 10% marży ok. 8,6 tys. zł zamiast 7,8-7,9 tys. zł).</t>
        </is>
      </c>
      <c r="C12" s="2" t="inlineStr">
        <is>
          <t>Poprawione w arkuszu 5.</t>
        </is>
      </c>
    </row>
    <row r="13">
      <c r="A13" s="2" t="inlineStr">
        <is>
          <t>E12</t>
        </is>
      </c>
      <c r="B13" s="2" t="inlineStr">
        <is>
          <t>Nazwy zadań w pierwszych wersjach dokumentu z opisami nie były nazwami z wniosku (Z2, Z5, Z6, Z7, Z8, Z9), a napisałam, że są.</t>
        </is>
      </c>
      <c r="C13" s="2" t="inlineStr">
        <is>
          <t>Poprawione: nazwy dokładnie z 3.1.1; Z6 zmieniona (D31).</t>
        </is>
      </c>
    </row>
    <row r="14">
      <c r="A14" s="2" t="inlineStr">
        <is>
          <t>E13</t>
        </is>
      </c>
      <c r="B14" s="2" t="inlineStr">
        <is>
          <t>Z6: całkowite wyłączenie integracji TMS, Trans.eu, TimoCom i e-CMR z B+R (zbyt rygorystyczna interpretacja; Przewodnik 3.3.1 i uwaga 38 dopuszczają czynności techniczne niezbędne do walidacji).</t>
        </is>
      </c>
      <c r="C14" s="2" t="inlineStr">
        <is>
          <t>Poprawione: integracje jako prace techniczne w środowisku testowym (D24).</t>
        </is>
      </c>
    </row>
    <row r="15">
      <c r="A15" s="2" t="inlineStr">
        <is>
          <t>E14</t>
        </is>
      </c>
      <c r="B15" s="2" t="inlineStr">
        <is>
          <t>N01/D31: napisałam, że zmiana nazwy Z6 wymaga zmian we wszystkich pozycjach budżetu. Nazwa wpisywana jest raz w 3.1.1.</t>
        </is>
      </c>
      <c r="C15" s="2" t="inlineStr">
        <is>
          <t>Poprawione.</t>
        </is>
      </c>
    </row>
    <row r="16">
      <c r="A16" s="2" t="inlineStr">
        <is>
          <t>E15</t>
        </is>
      </c>
      <c r="B16" s="2" t="inlineStr">
        <is>
          <t>Z6, opis: nadmiarowy nawias zamykający po edycji.</t>
        </is>
      </c>
      <c r="C16" s="2" t="inlineStr">
        <is>
          <t>Poprawione.</t>
        </is>
      </c>
    </row>
    <row r="17">
      <c r="A17" s="2" t="inlineStr">
        <is>
          <t>E16</t>
        </is>
      </c>
      <c r="B17" s="2" t="inlineStr">
        <is>
          <t>Z1: hipoteza H2 mówiła o błędzie pozycji, którego Z1 nie mierzy (mierzy RMSE głębi).</t>
        </is>
      </c>
      <c r="C17" s="2" t="inlineStr">
        <is>
          <t>Poprawione: błąd pozycji szacowany z RMSE głębi i geometrii.</t>
        </is>
      </c>
    </row>
    <row r="18">
      <c r="A18" s="2" t="inlineStr">
        <is>
          <t>E17</t>
        </is>
      </c>
      <c r="B18" s="2" t="inlineStr">
        <is>
          <t>Z7 i Z9: sprzeczność harmonogramu (Faza A od M22, a system z Z7 gotowy w M27).</t>
        </is>
      </c>
      <c r="C18" s="2" t="inlineStr">
        <is>
          <t>Poprawione: pierwsze egzemplarze platformy w M22, wersja finalna w M27; Faza A na modelach pośrednich.</t>
        </is>
      </c>
    </row>
    <row r="19">
      <c r="A19" s="2" t="inlineStr">
        <is>
          <t>E18</t>
        </is>
      </c>
      <c r="B19" s="2" t="inlineStr">
        <is>
          <t>Z5, opis: twierdzenie, że błąd pozycji będzie mierzony po kompresji w Z7 (Z7 mierzy opóźnienie, 5 Hz i degradację AUC/mAP).</t>
        </is>
      </c>
      <c r="C19" s="2" t="inlineStr">
        <is>
          <t>Poprawione.</t>
        </is>
      </c>
    </row>
    <row r="20">
      <c r="A20" s="2" t="inlineStr">
        <is>
          <t>E19</t>
        </is>
      </c>
      <c r="B20" s="2" t="inlineStr">
        <is>
          <t>Z7, opis: stwierdzenie, że modele z Z5 są w FP32 i się nie mieszczą.</t>
        </is>
      </c>
      <c r="C20" s="2" t="inlineStr">
        <is>
          <t>Poprawione: dotyczy modeli Z4 i Z8; Z5 to algorytmy nieuruchamiane dotąd na embedded.</t>
        </is>
      </c>
    </row>
    <row r="21">
      <c r="A21" s="2" t="inlineStr">
        <is>
          <t>E20</t>
        </is>
      </c>
      <c r="B21" s="2" t="inlineStr">
        <is>
          <t>Z9, opis: podwykonawca instaluje „finalne” zestawy, a Faza A instaluje pierwsze egzemplarze.</t>
        </is>
      </c>
      <c r="C21" s="2" t="inlineStr">
        <is>
          <t>Poprawione; pozycja N29 do zmiany w 6.4 i w 3.1.2.</t>
        </is>
      </c>
    </row>
    <row r="22">
      <c r="A22" s="2" t="inlineStr">
        <is>
          <t>E21</t>
        </is>
      </c>
      <c r="B22" s="2" t="inlineStr">
        <is>
          <t>Notatki w Aneksach A i C nadal mówiły, że podział etatów jest otwarty.</t>
        </is>
      </c>
      <c r="C22" s="2" t="inlineStr">
        <is>
          <t>Poprawione po D29.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45" customWidth="1" min="3" max="3"/>
    <col width="60" customWidth="1" min="4" max="4"/>
    <col width="22" customWidth="1" min="5" max="5"/>
    <col width="11" customWidth="1" min="6" max="6"/>
    <col width="11" customWidth="1" min="7" max="7"/>
  </cols>
  <sheetData>
    <row r="1">
      <c r="A1" s="15" t="inlineStr">
        <is>
          <t>Nr</t>
        </is>
      </c>
      <c r="B1" s="15" t="inlineStr">
        <is>
          <t>Miejsce we wniosku</t>
        </is>
      </c>
      <c r="C1" s="15" t="inlineStr">
        <is>
          <t>Obecny zapis</t>
        </is>
      </c>
      <c r="D1" s="15" t="inlineStr">
        <is>
          <t>Wymagana zmiana</t>
        </is>
      </c>
      <c r="E1" s="15" t="inlineStr">
        <is>
          <t>Źródło</t>
        </is>
      </c>
      <c r="F1" s="15" t="inlineStr">
        <is>
          <t>Priorytet</t>
        </is>
      </c>
      <c r="G1" s="15" t="inlineStr">
        <is>
          <t>Status</t>
        </is>
      </c>
    </row>
    <row r="2">
      <c r="A2" s="2" t="inlineStr">
        <is>
          <t>N01</t>
        </is>
      </c>
      <c r="B2" s="2" t="inlineStr">
        <is>
          <t>3.1.1 Nazwa zadania Z6 (i wszystkie pozycje kosztowe Z6 w 3.1.2)</t>
        </is>
      </c>
      <c r="C2" s="2" t="inlineStr">
        <is>
          <t>„Pipeline PoC + integracja TMS/eFTI/e-CMR (Z6)”: nazwa obejmuje integrację TMS i e-CMR, które opis Z6 wyłącza z prac B+R i kosztów.</t>
        </is>
      </c>
      <c r="D2" s="2" t="inlineStr">
        <is>
          <t>Zmienić nazwę, np. na „Pipeline PoL/PoC i zgodność z eFTI (Z6)”. Nazwę wpisuje się raz w 3.1.1, a pola przy pozycjach kosztowych pobierają ją automatycznie (Instrukcja, pole techniczne), więc zmiana jest jednorazowa. Do sprawdzenia w LSI. Alternatywa: zostawić nazwę, bo opis Z6 już wyłącza integracje standardowe. DECYZJA: zatwierdzona, nazwa zmieniona w tym dokumencie.</t>
        </is>
      </c>
      <c r="E2" s="2" t="inlineStr">
        <is>
          <t>K3-08; D24, D31</t>
        </is>
      </c>
      <c r="F2" s="14" t="inlineStr">
        <is>
          <t>WYSOKI</t>
        </is>
      </c>
      <c r="G2" s="2" t="inlineStr">
        <is>
          <t>ZATWIERDZONE</t>
        </is>
      </c>
    </row>
    <row r="3">
      <c r="A3" s="2" t="inlineStr">
        <is>
          <t>N02</t>
        </is>
      </c>
      <c r="B3" s="2" t="inlineStr">
        <is>
          <t>1.2 Wskaźnik innowacyjności nr 1 (model 3D): wartość docelowa, jednostka, metodologia</t>
        </is>
      </c>
      <c r="C3" s="2" t="inlineStr">
        <is>
          <t>„Błąd estymacji pozycji ≤30 cm”, jednostka [cm]/[Hz]; uzasadnienie, że błąd 30 cm pozwala wykryć przemieszczenie 100 mm.</t>
        </is>
      </c>
      <c r="D3" s="2" t="inlineStr">
        <is>
          <t>Jednostka [m]/[Hz]. Wartość: mediana nie więcej niż 0,30 m i percentyl 95 nie więcej niż 0,35 m. Poprawić uzasadnienie: wykrywanie przemieszczeń od 0,10 m opiera się na błędzie przemieszczenia względnego (mediana 0,03 m), a nie na błędzie pozycji bezwzględnej. Weryfikacja: Z5 (rig) i Z9 (1000 pomiarów).</t>
        </is>
      </c>
      <c r="E3" s="2" t="inlineStr">
        <is>
          <t>K3-16, K3-17, K3-13; KM-Z5, KM-Z9</t>
        </is>
      </c>
      <c r="F3" s="14" t="inlineStr">
        <is>
          <t>WYSOKI</t>
        </is>
      </c>
      <c r="G3" s="2" t="inlineStr">
        <is>
          <t>OTWARTE</t>
        </is>
      </c>
    </row>
    <row r="4">
      <c r="A4" s="2" t="inlineStr">
        <is>
          <t>N03</t>
        </is>
      </c>
      <c r="B4" s="2" t="inlineStr">
        <is>
          <t>1.2 Wskaźnik nr 2 (AUC-ROC): wartość bazowa i weryfikacja</t>
        </is>
      </c>
      <c r="C4" s="2" t="inlineStr">
        <is>
          <t>Baza AUC-ROC 0,50 (klasyfikator losowy); weryfikacja: „niezależna walidacja Everest11 na danych terenowych Z9”.</t>
        </is>
      </c>
      <c r="D4" s="2" t="inlineStr">
        <is>
          <t>Baza: wynik detektora progowego wg EN 12195-1 zmierzony na tym samym teście w Z4 (D16). Wartość docelowa 0,85 dotyczy modelu FP32 (KM-Z4); w Z9 model po kompresji nie mniej niż 0,82. Usunąć sformułowanie o niezależnej walidacji Everest11, zastąpić ścieżką audytu Z9.</t>
        </is>
      </c>
      <c r="E4" s="2" t="inlineStr">
        <is>
          <t>K1-03, K3-15, K3-19; D16, D22</t>
        </is>
      </c>
      <c r="F4" s="14" t="inlineStr">
        <is>
          <t>WYSOKI</t>
        </is>
      </c>
      <c r="G4" s="2" t="inlineStr">
        <is>
          <t>OTWARTE</t>
        </is>
      </c>
    </row>
    <row r="5">
      <c r="A5" s="2" t="inlineStr">
        <is>
          <t>N04</t>
        </is>
      </c>
      <c r="B5" s="2" t="inlineStr">
        <is>
          <t>1.2 Wskaźnik nr 3 (mAP)</t>
        </is>
      </c>
      <c r="C5" s="2" t="inlineStr">
        <is>
          <t>Wartość bazowa „N/D” w jednym miejscu i „0%” w innym; weryfikacja: „ocena eksperta TSL Everest11 jako ground truth”.</t>
        </is>
      </c>
      <c r="D5" s="2" t="inlineStr">
        <is>
          <t>Ujednolicić bazę jako „brak systemu, wartość 0”. Podać mAP 0,75 dla FP32 i 0,72 po kompresji (Z9). Ground truth: inspekcje z Z2 i procedura ślepa z Z9, bez wskazywania jednej osoby.</t>
        </is>
      </c>
      <c r="E5" s="2" t="inlineStr">
        <is>
          <t>K3-15, K3-19; D05, D22</t>
        </is>
      </c>
      <c r="F5" s="14" t="inlineStr">
        <is>
          <t>WYSOKI</t>
        </is>
      </c>
      <c r="G5" s="2" t="inlineStr">
        <is>
          <t>OTWARTE</t>
        </is>
      </c>
    </row>
    <row r="6">
      <c r="A6" s="2" t="inlineStr">
        <is>
          <t>N05</t>
        </is>
      </c>
      <c r="B6" s="2" t="inlineStr">
        <is>
          <t>1.2 Wskaźnik nr 4 (czas PoC i zgodność z eFTI)</t>
        </is>
      </c>
      <c r="C6" s="2" t="inlineStr">
        <is>
          <t>„Testy terenowe Z9 na min. 50 cyklach”; zgodność z polami eFTI ≥95% bez określenia mianownika.</t>
        </is>
      </c>
      <c r="D6" s="2" t="inlineStr">
        <is>
          <t>Z9: co najmniej 200 cykli. Doprecyzować: 95% wszystkich pól obligatoryjnych; zgodność treści PoL/PoC z ground truth co najmniej 90% do potwierdzenia (KM-Z6).</t>
        </is>
      </c>
      <c r="E6" s="2" t="inlineStr">
        <is>
          <t>K3-20; KM-Z6, KM-Z9</t>
        </is>
      </c>
      <c r="F6" s="2" t="inlineStr">
        <is>
          <t>ŚREDNI</t>
        </is>
      </c>
      <c r="G6" s="2" t="inlineStr">
        <is>
          <t>OTWARTE</t>
        </is>
      </c>
    </row>
    <row r="7">
      <c r="A7" s="2" t="inlineStr">
        <is>
          <t>N06</t>
        </is>
      </c>
      <c r="B7" s="2" t="inlineStr">
        <is>
          <t>1.2 Wskaźnik nr 5 (opóźnienie alertu): jednostka i baza</t>
        </is>
      </c>
      <c r="C7" s="2" t="inlineStr">
        <is>
          <t>Jednostka [ms], baza „≥300 000 ms”.</t>
        </is>
      </c>
      <c r="D7" s="2" t="inlineStr">
        <is>
          <t>Jednostka [s]: wartość docelowa 1 s (percentyl 95), baza 300 s. Dodać, że parametr jest mierzony po kompresji (Z7) i w terenie (Z9).</t>
        </is>
      </c>
      <c r="E7" s="2" t="inlineStr">
        <is>
          <t>Instrukcja (SI); K3-17; D18</t>
        </is>
      </c>
      <c r="F7" s="2" t="inlineStr">
        <is>
          <t>ŚREDNI</t>
        </is>
      </c>
      <c r="G7" s="2" t="inlineStr">
        <is>
          <t>OTWARTE</t>
        </is>
      </c>
    </row>
    <row r="8">
      <c r="A8" s="2" t="inlineStr">
        <is>
          <t>N07</t>
        </is>
      </c>
      <c r="B8" s="2" t="inlineStr">
        <is>
          <t>1.4 Wskaźnik dodatkowy: pokrycie pól eFTI</t>
        </is>
      </c>
      <c r="C8" s="2" t="inlineStr">
        <is>
          <t>„potwierdzone audytem podwykonawcy prawnego”, „audyt prawny podwykonawcy (Z6)”.</t>
        </is>
      </c>
      <c r="D8" s="2" t="inlineStr">
        <is>
          <t>Usunąć podwykonawcę prawnego (nie ma go w budżecie). Metoda: test zgodności z implementacją referencyjną KE i walidacja XSD wykonane przez zespół Everest11 (Z6).</t>
        </is>
      </c>
      <c r="E8" s="2" t="inlineStr">
        <is>
          <t>K3-08, K3-45; opis Z6</t>
        </is>
      </c>
      <c r="F8" s="14" t="inlineStr">
        <is>
          <t>WYSOKI</t>
        </is>
      </c>
      <c r="G8" s="2" t="inlineStr">
        <is>
          <t>OTWARTE</t>
        </is>
      </c>
    </row>
    <row r="9">
      <c r="A9" s="2" t="inlineStr">
        <is>
          <t>N08</t>
        </is>
      </c>
      <c r="B9" s="2" t="inlineStr">
        <is>
          <t>1.4 Wskaźnik dodatkowy: wykorzystanie kubatury (fill rate)</t>
        </is>
      </c>
      <c r="C9" s="2" t="inlineStr">
        <is>
          <t>Pomiar radarem mmWave na kursach floty w Z9; baza 65% (Eurostat 2024, źródło niezweryfikowane).</t>
        </is>
      </c>
      <c r="D9" s="2" t="inlineStr">
        <is>
          <t>Z9 zawiera teraz wskaźnik operacyjny (cel 80%), niebędący parametrem kamienia. Baza 65%: potwierdzić źródło (D20) albo przeformułować jako wartość mierzoną na tych samych pojazdach przed wdrożeniem.</t>
        </is>
      </c>
      <c r="E9" s="2" t="inlineStr">
        <is>
          <t>D20; opis Z9</t>
        </is>
      </c>
      <c r="F9" s="2" t="inlineStr">
        <is>
          <t>ŚREDNI</t>
        </is>
      </c>
      <c r="G9" s="2" t="inlineStr">
        <is>
          <t>OTWARTE</t>
        </is>
      </c>
    </row>
    <row r="10">
      <c r="A10" s="2" t="inlineStr">
        <is>
          <t>N09</t>
        </is>
      </c>
      <c r="B10" s="2" t="inlineStr">
        <is>
          <t>1.1 Cel projektu, 1.2 Innowacyjność, opis prac Z2 i Z5 (wiersze z „0,5 g”)</t>
        </is>
      </c>
      <c r="C10" s="2" t="inlineStr">
        <is>
          <t>„amplitudy do 0,5 g”.</t>
        </is>
      </c>
      <c r="D10" s="2" t="inlineStr">
        <is>
          <t>Zapis w SI: „do 4,9 m/s2 (0,5 g)”, spójnie z KM-Z2, KM-Z5 i opisami zadań.</t>
        </is>
      </c>
      <c r="E10" s="2" t="inlineStr">
        <is>
          <t>D18</t>
        </is>
      </c>
      <c r="F10" s="2" t="inlineStr">
        <is>
          <t>NISKI</t>
        </is>
      </c>
      <c r="G10" s="2" t="inlineStr">
        <is>
          <t>OTWARTE</t>
        </is>
      </c>
    </row>
    <row r="11">
      <c r="A11" s="2" t="inlineStr">
        <is>
          <t>N10</t>
        </is>
      </c>
      <c r="B11" s="2" t="inlineStr">
        <is>
          <t>3.1.1 Opisy zadań Z1-Z9 i kamienie milowe (pola zakresu, szczegółowego opisu, KM)</t>
        </is>
      </c>
      <c r="C11" s="2" t="inlineStr">
        <is>
          <t>Obecne teksty.</t>
        </is>
      </c>
      <c r="D11" s="2" t="inlineStr">
        <is>
          <t>Zastąpić tekstami z części pierwszej tego dokumentu.</t>
        </is>
      </c>
      <c r="E11" s="2" t="inlineStr">
        <is>
          <t>K3-01 do K3-22</t>
        </is>
      </c>
      <c r="F11" s="14" t="inlineStr">
        <is>
          <t>WYSOKI</t>
        </is>
      </c>
      <c r="G11" s="2" t="inlineStr">
        <is>
          <t>OTWARTE</t>
        </is>
      </c>
    </row>
    <row r="12">
      <c r="A12" s="2" t="inlineStr">
        <is>
          <t>N11</t>
        </is>
      </c>
      <c r="B12" s="2" t="inlineStr">
        <is>
          <t>3.1.2 Uzasadnienie kosztu: AI Senior Engineer Z2</t>
        </is>
      </c>
      <c r="C12" s="2" t="inlineStr">
        <is>
          <t>„Opracuje specyfikację anotacji Instance Segmentation COCO dla podwykonawcy”.</t>
        </is>
      </c>
      <c r="D12" s="2" t="inlineStr">
        <is>
          <t>„dla anotatorów Everest11”. Anotacja jest realizowana przez personel Lidera.</t>
        </is>
      </c>
      <c r="E12" s="2" t="inlineStr">
        <is>
          <t>K3-10, K3-39; D21</t>
        </is>
      </c>
      <c r="F12" s="14" t="inlineStr">
        <is>
          <t>WYSOKI</t>
        </is>
      </c>
      <c r="G12" s="2" t="inlineStr">
        <is>
          <t>OTWARTE</t>
        </is>
      </c>
    </row>
    <row r="13">
      <c r="A13" s="2" t="inlineStr">
        <is>
          <t>N12</t>
        </is>
      </c>
      <c r="B13" s="2" t="inlineStr">
        <is>
          <t>3.1.2 Uzasadnienie kosztu: Anotatorzy Z2</t>
        </is>
      </c>
      <c r="C13" s="2" t="inlineStr">
        <is>
          <t>Zakres i nakład „wg wolumenu”.</t>
        </is>
      </c>
      <c r="D13" s="2" t="inlineStr">
        <is>
          <t>3 osoby, 1,0 etatu, 10 miesięcy M9-M18, zakres jak w opisie Z2 (anotacja, zgłaszanie przypadków niejednoznacznych, udział w pomiarze zgodności). Zgodnie z nakładem 3200-3600 godzin w budżecie porównać z 3 x 10 x 168 godzin.</t>
        </is>
      </c>
      <c r="E13" s="2" t="inlineStr">
        <is>
          <t>K3-39, K5-03</t>
        </is>
      </c>
      <c r="F13" s="14" t="inlineStr">
        <is>
          <t>WYSOKI</t>
        </is>
      </c>
      <c r="G13" s="2" t="inlineStr">
        <is>
          <t>OTWARTE</t>
        </is>
      </c>
    </row>
    <row r="14">
      <c r="A14" s="2" t="inlineStr">
        <is>
          <t>N13</t>
        </is>
      </c>
      <c r="B14" s="2" t="inlineStr">
        <is>
          <t>3.1.2 Uzasadnienie kosztu: Cybersecurity / AI Act Specialist Z9 (wiersz „przegląd prior art i analizę freedom-to-operate”, aktualizacja dokumentacji AI Act)</t>
        </is>
      </c>
      <c r="C14" s="2" t="inlineStr">
        <is>
          <t>Aktualizacja dokumentacji AI Act, integralność PoC, materiały do zgłoszenia EPO, prior art, FTO.</t>
        </is>
      </c>
      <c r="D14" s="2" t="inlineStr">
        <is>
          <t>Zostawić testy bezpieczeństwa prototypu w terenie i uruchamianie zamrożonego skryptu ewaluacyjnego (niezależny ewaluator). Usunąć AI Act, EPO, prior art, FTO (są w Z11 i poza B+R).</t>
        </is>
      </c>
      <c r="E14" s="2" t="inlineStr">
        <is>
          <t>K3-40, K3-66; D05</t>
        </is>
      </c>
      <c r="F14" s="14" t="inlineStr">
        <is>
          <t>WYSOKI</t>
        </is>
      </c>
      <c r="G14" s="2" t="inlineStr">
        <is>
          <t>OTWARTE</t>
        </is>
      </c>
    </row>
    <row r="15">
      <c r="A15" s="2" t="inlineStr">
        <is>
          <t>N14</t>
        </is>
      </c>
      <c r="B15" s="2" t="inlineStr">
        <is>
          <t>3.1.2 Uzasadnienia kosztu: Cybersecurity Z2 i Z6</t>
        </is>
      </c>
      <c r="C15" s="2" t="inlineStr">
        <is>
          <t>Klasyfikacja ryzyka AI Act, karta oceny ryzyka, polityka RODO.</t>
        </is>
      </c>
      <c r="D15" s="2" t="inlineStr">
        <is>
          <t>Zostawić prace techniczne (szyfrowanie, klucze, pseudonimizacja, podpis, integralność). Usunąć dokumentację AI Act i politykę RODO z kosztów B+R (czynność przedwdrożeniowa).</t>
        </is>
      </c>
      <c r="E15" s="2" t="inlineStr">
        <is>
          <t>K3-38; 6.1 Maziarz</t>
        </is>
      </c>
      <c r="F15" s="14" t="inlineStr">
        <is>
          <t>WYSOKI</t>
        </is>
      </c>
      <c r="G15" s="2" t="inlineStr">
        <is>
          <t>OTWARTE</t>
        </is>
      </c>
    </row>
    <row r="16">
      <c r="A16" s="2" t="inlineStr">
        <is>
          <t>N15</t>
        </is>
      </c>
      <c r="B16" s="2" t="inlineStr">
        <is>
          <t>3.1.2 Uzasadnienia kosztu: IT Specialist Z6 i Backend/Full-Stack Z6</t>
        </is>
      </c>
      <c r="C16" s="2" t="inlineStr">
        <is>
          <t>Trans.eu, TimoCom, e-CMR, „rozwój i utrzymanie” API, „w całości siłami własnymi Lidera”.</t>
        </is>
      </c>
      <c r="D16" s="2" t="inlineStr">
        <is>
          <t>Zastąpić zakresem z opisu Z6: pipeline, generator eFTI oraz dwukierunkowe API z TMS i prototypowe integracje z Trans.eu, TimoCom i e-CMR w środowisku testowym (IT); strumieniowy potok, kolejkowanie, wsparcie integracji testowych i test zgodności eFTI (Backend). Czynności integracyjne opisać jako techniczne i pomocnicze, w zakresie niezbędnym do testów i walidacji. Usunąć utrzymanie, wdrożenie produkcyjne i produkcyjny dashboard.</t>
        </is>
      </c>
      <c r="E16" s="2" t="inlineStr">
        <is>
          <t>K3-08, K3-38; D24</t>
        </is>
      </c>
      <c r="F16" s="14" t="inlineStr">
        <is>
          <t>WYSOKI</t>
        </is>
      </c>
      <c r="G16" s="2" t="inlineStr">
        <is>
          <t>OTWARTE</t>
        </is>
      </c>
    </row>
    <row r="17">
      <c r="A17" s="2" t="inlineStr">
        <is>
          <t>N16</t>
        </is>
      </c>
      <c r="B17" s="2" t="inlineStr">
        <is>
          <t>3.1.2 Pozycje kosztowe Backend/Full-Stack: Z6 i Z9</t>
        </is>
      </c>
      <c r="C17" s="2" t="inlineStr">
        <is>
          <t>Jedna pozycja Z6 na 12 mc, 260 280 zł.</t>
        </is>
      </c>
      <c r="D17" s="2" t="inlineStr">
        <is>
          <t>Dwie pozycje: Z6 9 mc (195 210 zł) i Z9 3 mc (65 070 zł), suma bez zmian; opis Z9 w zakresie walidacji PoC i zgodności eFTI w terenie.</t>
        </is>
      </c>
      <c r="E17" s="2" t="inlineStr">
        <is>
          <t>K3-36, K3-37; D07</t>
        </is>
      </c>
      <c r="F17" s="14" t="inlineStr">
        <is>
          <t>WYSOKI</t>
        </is>
      </c>
      <c r="G17" s="2" t="inlineStr">
        <is>
          <t>OTWARTE</t>
        </is>
      </c>
    </row>
    <row r="18">
      <c r="A18" s="2" t="inlineStr">
        <is>
          <t>N17</t>
        </is>
      </c>
      <c r="B18" s="2" t="inlineStr">
        <is>
          <t>3.1.2 IT Specialist Z9</t>
        </is>
      </c>
      <c r="C18" s="2" t="inlineStr">
        <is>
          <t>„hotfixy”, utrzymanie środowiska integracyjnego.</t>
        </is>
      </c>
      <c r="D18" s="2" t="inlineStr">
        <is>
          <t>Rejestracja i analiza danych KPI; poprawki tylko w oknie korekt w M30. Bez bieżącego utrzymania.</t>
        </is>
      </c>
      <c r="E18" s="2" t="inlineStr">
        <is>
          <t>K3-38; opis Z9</t>
        </is>
      </c>
      <c r="F18" s="2" t="inlineStr">
        <is>
          <t>ŚREDNI</t>
        </is>
      </c>
      <c r="G18" s="2" t="inlineStr">
        <is>
          <t>OTWARTE</t>
        </is>
      </c>
    </row>
    <row r="19">
      <c r="A19" s="2" t="inlineStr">
        <is>
          <t>N18</t>
        </is>
      </c>
      <c r="B19" s="2" t="inlineStr">
        <is>
          <t>3.1.2 Sześć stanowisk Everest11 w Z6, Z7, Z9: metoda szacowania</t>
        </is>
      </c>
      <c r="C19" s="2" t="inlineStr">
        <is>
          <t>„12 mc fazy PR podzielone przez 3”.</t>
        </is>
      </c>
      <c r="D19" s="2" t="inlineStr">
        <is>
          <t>Rzeczywisty podział miesięcy lub godzin między zadania, przy zachowaniu sumy i etatu w każdym miesiącu (propozycja w bloku budżetowym).</t>
        </is>
      </c>
      <c r="E19" s="2" t="inlineStr">
        <is>
          <t>K3-36, K3-37; D29</t>
        </is>
      </c>
      <c r="F19" s="14" t="inlineStr">
        <is>
          <t>WYSOKI</t>
        </is>
      </c>
      <c r="G19" s="2" t="inlineStr">
        <is>
          <t>OTWARTE</t>
        </is>
      </c>
    </row>
    <row r="20">
      <c r="A20" s="2" t="inlineStr">
        <is>
          <t>N19</t>
        </is>
      </c>
      <c r="B20" s="2" t="inlineStr">
        <is>
          <t>6.1 Jakub Kosterna (AI Lead): zakres obowiązków</t>
        </is>
      </c>
      <c r="C20" s="2" t="inlineStr">
        <is>
          <t>Przygotowanie dokumentacji technicznej do zgłoszenia patentowego.</t>
        </is>
      </c>
      <c r="D20" s="2" t="inlineStr">
        <is>
          <t>Usunąć lub opisać jako dostarczenie danych technicznych do rzecznika w Z11, poza kosztami Z9.</t>
        </is>
      </c>
      <c r="E20" s="2" t="inlineStr">
        <is>
          <t>K3-40, K3-66; D30</t>
        </is>
      </c>
      <c r="F20" s="2" t="inlineStr">
        <is>
          <t>ŚREDNI</t>
        </is>
      </c>
      <c r="G20" s="2" t="inlineStr">
        <is>
          <t>OTWARTE</t>
        </is>
      </c>
    </row>
    <row r="21">
      <c r="A21" s="2" t="inlineStr">
        <is>
          <t>N20</t>
        </is>
      </c>
      <c r="B21" s="2" t="inlineStr">
        <is>
          <t>6.1 Michał Hajduk (specjalista TSL): zakres obowiązków</t>
        </is>
      </c>
      <c r="C21" s="2" t="inlineStr">
        <is>
          <t>Badanie akceptacji UX i ocena trafności alertów z perspektywy operacyjnej.</t>
        </is>
      </c>
      <c r="D21" s="2" t="inlineStr">
        <is>
          <t>Ground truth i scenariusze operacyjne; ocena trafności alertów skryptem, bez udziału pracownika odbiorcy wdrożenia; UX prowadzi AI Senior Engineer. Dodać deklarację poufności wobec podmiotów powiązanych (MJA Partners, Natanek Logistics).</t>
        </is>
      </c>
      <c r="E21" s="2" t="inlineStr">
        <is>
          <t>K3-11, K5-07; D05</t>
        </is>
      </c>
      <c r="F21" s="14" t="inlineStr">
        <is>
          <t>WYSOKI</t>
        </is>
      </c>
      <c r="G21" s="2" t="inlineStr">
        <is>
          <t>OTWARTE</t>
        </is>
      </c>
    </row>
    <row r="22">
      <c r="A22" s="2" t="inlineStr">
        <is>
          <t>N21</t>
        </is>
      </c>
      <c r="B22" s="2" t="inlineStr">
        <is>
          <t>6.1 Personel planowany: Anotatorzy, Backend/Full-Stack</t>
        </is>
      </c>
      <c r="C22" s="2" t="inlineStr">
        <is>
          <t>Anotatorzy: M1-M18, „wymiar wg wolumenu”. Backend: Z2 (M13-M18) i Z6 (M19-M30), 18 mc.</t>
        </is>
      </c>
      <c r="D22" s="2" t="inlineStr">
        <is>
          <t>Anotatorzy: 3 osoby, 1,0 etatu, 10 mc [M9-M18]. Backend: Z2 6 mc, Z6 9 mc, Z9 3 mc, razem 18 mc.</t>
        </is>
      </c>
      <c r="E22" s="2" t="inlineStr">
        <is>
          <t>K5-03, K5-10, K5-11; D07</t>
        </is>
      </c>
      <c r="F22" s="14" t="inlineStr">
        <is>
          <t>WYSOKI</t>
        </is>
      </c>
      <c r="G22" s="2" t="inlineStr">
        <is>
          <t>OTWARTE</t>
        </is>
      </c>
    </row>
    <row r="23">
      <c r="A23" s="2" t="inlineStr">
        <is>
          <t>N22</t>
        </is>
      </c>
      <c r="B23" s="2" t="inlineStr">
        <is>
          <t>6.1 Sposób zarządzania projektem (ścieżka decyzyjna)</t>
        </is>
      </c>
      <c r="C23" s="2" t="inlineStr">
        <is>
          <t>Brak opisu nadzoru nad zadaniami PRz i organu oceniającego kamienie milowe.</t>
        </is>
      </c>
      <c r="D23" s="2" t="inlineStr">
        <is>
          <t>Dopisać Radę Konsorcjum z § 9 umowy konsorcjum (po jednym przedstawicielu każdego członka, przewodniczy kierownik zarządzający (we wniosku wyłącznie ta nazwa), posiedzenia co najmniej raz na 6 miesięcy, protokoły, ocena merytoryczna i formalna realizacji zadań na wniosek kierownika zarządzającego, rekomendacje zmian w harmonogramie; organ doradczy, nie decyzyjny), osobę weryfikującą i odbierającą każdy KM oraz niezależne przeliczenie metryk przez AI Lead Everest11.</t>
        </is>
      </c>
      <c r="E23" s="2" t="inlineStr">
        <is>
          <t>K5-05, K5-09; D27, D28</t>
        </is>
      </c>
      <c r="F23" s="14" t="inlineStr">
        <is>
          <t>WYSOKI</t>
        </is>
      </c>
      <c r="G23" s="2" t="inlineStr">
        <is>
          <t>OTWARTE</t>
        </is>
      </c>
    </row>
    <row r="24">
      <c r="A24" s="2" t="inlineStr">
        <is>
          <t>N23</t>
        </is>
      </c>
      <c r="B24" s="2" t="inlineStr">
        <is>
          <t>6.2 Zasoby techniczne Everest11 (przeznaczenie)</t>
        </is>
      </c>
      <c r="C24" s="2" t="inlineStr">
        <is>
          <t>„koordynacja prac konsorcjum, zarządzanie projektem, integracja systemowa (API TMS, eFTI, e-CMR)”, „walidacja KPI w ruchu komercyjnym”.</t>
        </is>
      </c>
      <c r="D24" s="2" t="inlineStr">
        <is>
          <t>Opisać zasoby (stanowiska, serwery, repozytoria) bez funkcji koordynacyjnych w pracach B+R. „W ruchu komercyjnym” zamienić na „w eksploatacji na flocie testowej”. Dopisać parametry komputerów, serwerów i chmury (uwaga 14).</t>
        </is>
      </c>
      <c r="E24" s="2" t="inlineStr">
        <is>
          <t>K3-38, K5-14</t>
        </is>
      </c>
      <c r="F24" s="2" t="inlineStr">
        <is>
          <t>ŚREDNI</t>
        </is>
      </c>
      <c r="G24" s="2" t="inlineStr">
        <is>
          <t>OTWARTE</t>
        </is>
      </c>
    </row>
    <row r="25">
      <c r="A25" s="2" t="inlineStr">
        <is>
          <t>N24</t>
        </is>
      </c>
      <c r="B25" s="2" t="inlineStr">
        <is>
          <t>5. Analiza ryzyka R3 (opis zapobiegania) i R8 (podwykonawstwo)</t>
        </is>
      </c>
      <c r="C25" s="2" t="inlineStr">
        <is>
          <t>R3: „z udziałem podwykonawcy anotacji”. R8: podwykonawstwo obejmuje anotację datasetu.</t>
        </is>
      </c>
      <c r="D25" s="2" t="inlineStr">
        <is>
          <t>Usunąć anotację z listy podwykonawstwa. R8: montaż (Z2, Z9) i rzecznik patentowy (Z11). Zastąpić R1-R5, R9 i dodać R10-R12 tekstami z części drugiej.</t>
        </is>
      </c>
      <c r="E25" s="2" t="inlineStr">
        <is>
          <t>K3-10, K3-46, K3-25 do K3-32</t>
        </is>
      </c>
      <c r="F25" s="14" t="inlineStr">
        <is>
          <t>WYSOKI</t>
        </is>
      </c>
      <c r="G25" s="2" t="inlineStr">
        <is>
          <t>OTWARTE</t>
        </is>
      </c>
    </row>
    <row r="26">
      <c r="A26" s="2" t="inlineStr">
        <is>
          <t>N25</t>
        </is>
      </c>
      <c r="B26" s="2" t="inlineStr">
        <is>
          <t>3.1.1 Z9 (stary tekst): odbiór i niezależna walidacja</t>
        </is>
      </c>
      <c r="C26" s="2" t="inlineStr">
        <is>
          <t>Protokół podpisuje kierownik B+R i kluczowy personel PRz; „niezależna walidacja PRz na ≥180 kursach”.</t>
        </is>
      </c>
      <c r="D26" s="2" t="inlineStr">
        <is>
          <t>Zastąpione ścieżką audytu z nowego tekstu (PRz tylko odbiór metodyczny w Z8). Sprawdzić, czy zdanie nie zostało także w sekcjach 1.2 i 2.x.</t>
        </is>
      </c>
      <c r="E26" s="2" t="inlineStr">
        <is>
          <t>K3-11, K3-12; D25</t>
        </is>
      </c>
      <c r="F26" s="14" t="inlineStr">
        <is>
          <t>WYSOKI</t>
        </is>
      </c>
      <c r="G26" s="2" t="inlineStr">
        <is>
          <t>OTWARTE</t>
        </is>
      </c>
    </row>
    <row r="27">
      <c r="A27" s="2" t="inlineStr">
        <is>
          <t>N26</t>
        </is>
      </c>
      <c r="B27" s="2" t="inlineStr">
        <is>
          <t>6.4 Podwykonawcy oraz pozycje podwykonawstwa Z2 (150 000 zł) i Z9 (70 000 zł)</t>
        </is>
      </c>
      <c r="C27" s="2" t="inlineStr">
        <is>
          <t>Brak kalkulacji i liczby ofert; wymagania dla niewybranego podwykonawcy.</t>
        </is>
      </c>
      <c r="D27" s="2" t="inlineStr">
        <is>
          <t>Uzupełnić: zakres (tylko montaż, instalacja, demontaż), liczba pojazdów, pracochłonność lub ryczałt, oferty, wybór kwoty; rozdzielenie Z2 i Z9. Wymagania minimalne wykonawcy.</t>
        </is>
      </c>
      <c r="E27" s="2" t="inlineStr">
        <is>
          <t>K3-43 do K3-46; D08</t>
        </is>
      </c>
      <c r="F27" s="14" t="inlineStr">
        <is>
          <t>WYSOKI</t>
        </is>
      </c>
      <c r="G27" s="2" t="inlineStr">
        <is>
          <t>OTWARTE</t>
        </is>
      </c>
    </row>
    <row r="28">
      <c r="A28" s="2" t="inlineStr">
        <is>
          <t>N28</t>
        </is>
      </c>
      <c r="B28" s="2" t="inlineStr">
        <is>
          <t>3.1.2 AI Lead Z7, IoT Specialist Z9 oraz uzasadnienie kosztu edge AI w Z2 (wiersze „300 ms”)</t>
        </is>
      </c>
      <c r="C28" s="2" t="inlineStr">
        <is>
          <t>Opóźnienie alertu „≤300 ms” (AI Lead Z7: pogodzenie 300 ms z degradacją 3 pp; IoT Z9: percentyl 95 do 300 ms; edge AI Z2: alerty do 300 ms).</t>
        </is>
      </c>
      <c r="D28" s="2" t="inlineStr">
        <is>
          <t>Ujednolicić do 1 s (percentyl 95), zgodnie ze wskaźnikiem, KM-Z7 i KM-Z9. Nowe teksty uzasadnień są w części trzeciej.</t>
        </is>
      </c>
      <c r="E28" s="2" t="inlineStr">
        <is>
          <t>K3-13, K3-15; KM-Z7</t>
        </is>
      </c>
      <c r="F28" s="14" t="inlineStr">
        <is>
          <t>WYSOKI</t>
        </is>
      </c>
      <c r="G28" s="2" t="inlineStr">
        <is>
          <t>OTWARTE</t>
        </is>
      </c>
    </row>
    <row r="29">
      <c r="A29" s="2" t="inlineStr">
        <is>
          <t>N27</t>
        </is>
      </c>
      <c r="B29" s="2" t="inlineStr">
        <is>
          <t>Model finansowy (Założenia, Rozliczenie dotacji)</t>
        </is>
      </c>
      <c r="C29" s="2" t="inlineStr">
        <is>
          <t>Komentarz „18 miesięcy” w Założeniach; liczby godzin i etatów jak w starej wersji budżetu.</t>
        </is>
      </c>
      <c r="D29" s="2" t="inlineStr">
        <is>
          <t>Poprawić na 30 miesięcy oraz uspójnić z nowym podziałem Backend Z6/Z9 (N16) i z podziałem N18.</t>
        </is>
      </c>
      <c r="E29" s="2" t="inlineStr">
        <is>
          <t>K3-36; uwaga ogólna o spójności</t>
        </is>
      </c>
      <c r="F29" s="2" t="inlineStr">
        <is>
          <t>ŚREDNI</t>
        </is>
      </c>
      <c r="G29" s="2" t="inlineStr">
        <is>
          <t>OTWARTE</t>
        </is>
      </c>
    </row>
    <row r="30">
      <c r="A30" s="2" t="inlineStr">
        <is>
          <t>N29</t>
        </is>
      </c>
      <c r="B30" s="2" t="inlineStr">
        <is>
          <t>6.4 Podwykonawcy i pozycja podwykonawstwa Z9 (nazwa i opis)</t>
        </is>
      </c>
      <c r="C30" s="2" t="inlineStr">
        <is>
          <t>„instalacja finalnych, zwalidowanych zestawów prototypowych oraz demontaż”.</t>
        </is>
      </c>
      <c r="D30" s="2" t="inlineStr">
        <is>
          <t>Po zmianie harmonogramu Z7 i Z9 pierwsze zestawy są instalowane w Fazie A (M22). Zmienić nazwę pozycji na „montaż zestawów prototypowych i demontaż po walidacji”, bez słów „finalnych, zwalidowanych”. Zakres: wyłącznie montaż i demontaż.</t>
        </is>
      </c>
      <c r="E30" s="2" t="inlineStr">
        <is>
          <t>K3-44; opis Z9, opis Z7</t>
        </is>
      </c>
      <c r="F30" s="2" t="inlineStr">
        <is>
          <t>WYSOKI</t>
        </is>
      </c>
      <c r="G30" s="2" t="inlineStr">
        <is>
          <t>OTWARTE</t>
        </is>
      </c>
    </row>
    <row r="31">
      <c r="A31" s="2" t="inlineStr">
        <is>
          <t>N30</t>
        </is>
      </c>
      <c r="B31" s="2" t="inlineStr">
        <is>
          <t>3.1.2 Metoda szacowania personelu Everest11: stawki referencyjne z raportów płacowych (uwagi 34 i 35)</t>
        </is>
      </c>
      <c r="C31" s="2" t="inlineStr">
        <is>
          <t>Odniesienia do raportów No Fluff Jobs i Hays: liczby i strony zgadzają się z raportami (sprawdzone na s. 27, 30, 31, 32, 33, 35 NFJ i s. 38, 40 Hays). Niejednoznaczności opisowe: stanowiska bez wprost odpowiadającej kategorii (Backend/Full-Stack, IT Specialist, AI Lead, Anotatorzy), AI Senior Engineer ma stawkę z pasma Mid, IoT łączył dwa zakresy i Hays R&amp;D Engineer (inżynier produkcji), Hays „Opt” opisane jako „wartość optymalna”, opis „na granicy Mid/Senior” i „w środku pasma”.</t>
        </is>
      </c>
      <c r="D31" s="2" t="inlineStr">
        <is>
          <t>Przepisana metoda szacowania wszystkich 28 pozycji Everest11 (Z2, Z6, Z7, Z9) w formacie z uwagi 35: umowa o pracę, źródło i strona, kategoria i poziom jak w raporcie, widełki (mediany dolnych i górnych widełek z ogłoszeń), położenie stawki, przeliczenie na koszt pracodawcy; dla Anotatorów stawka godzinowa brutto-brutto (około 43 zł/h). Do decyzji właściciela: tytuł „AI Senior Engineer” przy poziomie Mid (D32). Dla osób obecnie zatrudnionych (uwaga 34) dopisać relację do obecnego wynagrodzenia.</t>
        </is>
      </c>
      <c r="E31" s="2" t="inlineStr">
        <is>
          <t>K3-34, K3-35</t>
        </is>
      </c>
      <c r="F31" s="14" t="inlineStr">
        <is>
          <t>WYSOKI</t>
        </is>
      </c>
      <c r="G31" s="2" t="inlineStr">
        <is>
          <t>ZROBIONE (metoda przepisana), D32 do decyzji</t>
        </is>
      </c>
    </row>
    <row r="32">
      <c r="A32" s="2" t="inlineStr">
        <is>
          <t>N31</t>
        </is>
      </c>
      <c r="B32" s="2" t="inlineStr">
        <is>
          <t>6.1 Zespół projektowy: status zatrudnienia osób Everest11 i PRz (uwagi 34, K5-1)</t>
        </is>
      </c>
      <c r="C32" s="2" t="inlineStr">
        <is>
          <t>Brak jednoznacznego statusu; pole „Status współpracy” i opis działu B+R sugerują, że część osób już pracuje u Lidera.</t>
        </is>
      </c>
      <c r="D32" s="2" t="inlineStr">
        <is>
          <t>Wpisać: żadna z osób Everest11 nie jest pracownikiem Everest11; wszystkie podpisały 08.06.2026 umowy warunkowe dotyczące zatrudnienia (warunek: otrzymanie dofinansowania); stawki wynegocjowano przy podpisaniu. Osoby PRz wykazane z imienia i nazwiska są pracownikami PRz. Dla każdej osoby termin rozpoczęcia, wymiar i sposób monitorowania limitu 276 godzin miesięcznie (K5-1).</t>
        </is>
      </c>
      <c r="E32" s="2" t="inlineStr">
        <is>
          <t>K3-34, K5-1</t>
        </is>
      </c>
      <c r="F32" s="2" t="inlineStr">
        <is>
          <t>WYSOKI</t>
        </is>
      </c>
      <c r="G32" s="2" t="inlineStr">
        <is>
          <t>OTWARTE</t>
        </is>
      </c>
    </row>
    <row r="33">
      <c r="A33" s="2" t="inlineStr">
        <is>
          <t>N32</t>
        </is>
      </c>
      <c r="B33" s="2" t="inlineStr">
        <is>
          <t>1.2 Wskaźniki innowacyjności (5 tabel)</t>
        </is>
      </c>
      <c r="C33" s="2" t="inlineStr">
        <is>
          <t>Jednostki [cm], [ms]; baza AUC 0,50; baza latencji = interwał GSM; PoC z pokryciem eFTI w jednym polu; baza 0,30 m bez uzasadnienia względem 0,10 m.</t>
        </is>
      </c>
      <c r="D33" s="2" t="inlineStr">
        <is>
          <t>Wpisać teksty W1-W5 z pliku Wskazniki_innowacyjnosci_1.2_i_1.4.docx (jednostki SI, bazy jak w D16, rozdzielenie PoC i eFTI, błąd względny 0,03/0,05 m).</t>
        </is>
      </c>
      <c r="E33" s="2" t="inlineStr">
        <is>
          <t>K1-02, K1-03, K1-04; D33</t>
        </is>
      </c>
      <c r="F33" s="2" t="inlineStr">
        <is>
          <t>WYSOKI</t>
        </is>
      </c>
      <c r="G33" s="2" t="inlineStr">
        <is>
          <t>OTWARTE</t>
        </is>
      </c>
    </row>
    <row r="34">
      <c r="A34" s="2" t="inlineStr">
        <is>
          <t>N33</t>
        </is>
      </c>
      <c r="B34" s="2" t="inlineStr">
        <is>
          <t>1.2 Opis innowacji produktowej</t>
        </is>
      </c>
      <c r="C34" s="2" t="inlineStr">
        <is>
          <t>Teza „nie istnieje żaden produkt”; „Nexxiot Globe+”; „QbScan”; parametry w cm i ms; „floty Natanek Logistics”; ROI dodatni od 1. roku; kurs CMR 5 500-23 000 PLN.</t>
        </is>
      </c>
      <c r="D34" s="2" t="inlineStr">
        <is>
          <t>Wprowadzić 8 zmian z części 4 pliku Wskazniki_innowacyjnosci_1.2_i_1.4.docx.</t>
        </is>
      </c>
      <c r="E34" s="2" t="inlineStr">
        <is>
          <t>K1-01, K1-06; D33</t>
        </is>
      </c>
      <c r="F34" s="2" t="inlineStr">
        <is>
          <t>WYSOKI</t>
        </is>
      </c>
      <c r="G34" s="2" t="inlineStr">
        <is>
          <t>OTWARTE</t>
        </is>
      </c>
    </row>
    <row r="35">
      <c r="A35" s="2" t="inlineStr">
        <is>
          <t>N34</t>
        </is>
      </c>
      <c r="B35" s="2" t="inlineStr">
        <is>
          <t>1.4 Tekst i wskaźniki dodatkowe</t>
        </is>
      </c>
      <c r="C35" s="2" t="inlineStr">
        <is>
          <t>Wskaźnik ceny z bazą = koszt naczepy; „liczba warstw ICT”; fill rate 65%→80%; pokrycie eFTI z audytem prawnym podwykonawcy; tekst bez odniesienia do bezpośredniej konkurencji.</t>
        </is>
      </c>
      <c r="D35" s="2" t="inlineStr">
        <is>
          <t>Wpisać nowy tekst (3 029 znaków) i wskaźniki I1-I3; usunąć fill rate i warstwy ICT.</t>
        </is>
      </c>
      <c r="E35" s="2" t="inlineStr">
        <is>
          <t>K1-05, K1-06, K13-03; D33</t>
        </is>
      </c>
      <c r="F35" s="2" t="inlineStr">
        <is>
          <t>WYSOKI</t>
        </is>
      </c>
      <c r="G35" s="2" t="inlineStr">
        <is>
          <t>OTWARTE</t>
        </is>
      </c>
    </row>
    <row r="36">
      <c r="A36" s="2" t="inlineStr">
        <is>
          <t>N35</t>
        </is>
      </c>
      <c r="B36" s="2" t="inlineStr">
        <is>
          <t>Z8: opis i KM-Z8</t>
        </is>
      </c>
      <c r="C36" s="2" t="inlineStr">
        <is>
          <t>Brak pomiaru wartości bazowej mAP (ogólny detektor bez adaptacji domenowej) na tym samym zbiorze testowym.</t>
        </is>
      </c>
      <c r="D36" s="2" t="inlineStr">
        <is>
          <t>Dopisać pomiar bazy mAP do opisu Z8 i KM-Z8 (parametr 4), z zachowaniem limitu 1300 znaków pola parametrów.</t>
        </is>
      </c>
      <c r="E36" s="2" t="inlineStr">
        <is>
          <t>W3 (K1-02); D33</t>
        </is>
      </c>
      <c r="F36" s="2" t="inlineStr">
        <is>
          <t>ŚREDNI</t>
        </is>
      </c>
      <c r="G36" s="2" t="inlineStr">
        <is>
          <t>OTWARTE</t>
        </is>
      </c>
    </row>
    <row r="37">
      <c r="A37" s="2" t="inlineStr">
        <is>
          <t>N36</t>
        </is>
      </c>
      <c r="B37" s="2" t="inlineStr">
        <is>
          <t>7.4 REDUCE i model finansowy</t>
        </is>
      </c>
      <c r="C37" s="2" t="inlineStr">
        <is>
          <t>Wskaźnik „średni poziom wykorzystania przestrzeni ładunkowej” (fill rate) nadal występuje.</t>
        </is>
      </c>
      <c r="D37" s="2" t="inlineStr">
        <is>
          <t>Usunąć wskaźnik fill rate z 7.4 (REDUCE oparte o dokumenty papierowe, D17), a w modelu finansowym sprawdzić odwołania.</t>
        </is>
      </c>
      <c r="E37" s="2" t="inlineStr">
        <is>
          <t>K13-03, D17</t>
        </is>
      </c>
      <c r="F37" s="2" t="inlineStr">
        <is>
          <t>ŚREDNI</t>
        </is>
      </c>
      <c r="G37" s="2" t="inlineStr">
        <is>
          <t>OTWARTE</t>
        </is>
      </c>
    </row>
    <row r="38">
      <c r="A38" s="2" t="inlineStr">
        <is>
          <t>N37</t>
        </is>
      </c>
      <c r="B38" s="2" t="inlineStr">
        <is>
          <t>Pozostałe wystąpienia nazw produktów</t>
        </is>
      </c>
      <c r="C38" s="2" t="inlineStr">
        <is>
          <t>„Nexxiot Globe+”, „Blickfeld QbScan”, „Nexxiot Glob+” w 1.2, 1.4 i innych sekcjach.</t>
        </is>
      </c>
      <c r="D38" s="2" t="inlineStr">
        <is>
          <t>Ujednolicić: Nexxiot Globehopper (do potwierdzenia nazwy), Blickfeld Qb2 z QbVolume.</t>
        </is>
      </c>
      <c r="E38" s="2" t="inlineStr">
        <is>
          <t>K1-01</t>
        </is>
      </c>
      <c r="F38" s="2" t="inlineStr">
        <is>
          <t>NISKI</t>
        </is>
      </c>
      <c r="G38" s="2" t="inlineStr">
        <is>
          <t>OTWARTE</t>
        </is>
      </c>
    </row>
    <row r="39">
      <c r="A39" s="2" t="inlineStr">
        <is>
          <t>N38</t>
        </is>
      </c>
      <c r="B39" s="2" t="inlineStr">
        <is>
          <t>Analiza FTO / K2-03</t>
        </is>
      </c>
      <c r="C39" s="2" t="inlineStr">
        <is>
          <t>Patenty na pomiar wypełnienia naczepy kamerą 3D (US10158842B2, US12198091B2, US11763439, US12086934) nieuwzględnione.</t>
        </is>
      </c>
      <c r="D39" s="2" t="inlineStr">
        <is>
          <t>Ocenić zakres zastrzeżeń w analizie FTO i opisać różnicę (zajętość vs położenie ładunku w ruchu).</t>
        </is>
      </c>
      <c r="E39" s="2" t="inlineStr">
        <is>
          <t>K2-03</t>
        </is>
      </c>
      <c r="F39" s="2" t="inlineStr">
        <is>
          <t>WYSOKI</t>
        </is>
      </c>
      <c r="G39" s="2" t="inlineStr">
        <is>
          <t>OTWARTE</t>
        </is>
      </c>
    </row>
    <row r="40">
      <c r="A40" s="2" t="inlineStr">
        <is>
          <t>N39</t>
        </is>
      </c>
      <c r="B40" s="2" t="inlineStr">
        <is>
          <t>I1 wartość bazowa kosztu</t>
        </is>
      </c>
      <c r="C40" s="2" t="inlineStr">
        <is>
          <t>Brak źródła ceny rozwiązań o podobnej funkcji.</t>
        </is>
      </c>
      <c r="D40" s="2" t="inlineStr">
        <is>
          <t>Zebrać oferty od co najmniej 3 dostawców (data zapytania) albo zastąpić wskaźnik I1.</t>
        </is>
      </c>
      <c r="E40" s="2" t="inlineStr">
        <is>
          <t>K1-05</t>
        </is>
      </c>
      <c r="F40" s="2" t="inlineStr">
        <is>
          <t>WYSOKI</t>
        </is>
      </c>
      <c r="G40" s="2" t="inlineStr">
        <is>
          <t>OTWARTE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3" ySplit="22" topLeftCell="D2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  <col width="14" customWidth="1" min="17" max="17"/>
    <col width="14" customWidth="1" min="18" max="18"/>
  </cols>
  <sheetData>
    <row r="1">
      <c r="A1" t="inlineStr">
        <is>
          <t>D29 (wariant właściciela): udziały czasu pracy w projekcie w trzech okresach (komórki żółte edytowalne), nakłady miesięczne = etat x udział. Wiersze kontrolne i kolumna "suma udziałów" muszą dawać 1 / 0.</t>
        </is>
      </c>
    </row>
    <row r="2">
      <c r="A2" s="19" t="inlineStr">
        <is>
          <t>Stanowisko</t>
        </is>
      </c>
      <c r="B2" s="19" t="inlineStr">
        <is>
          <t>Okres</t>
        </is>
      </c>
      <c r="C2" s="19" t="inlineStr">
        <is>
          <t>Z6</t>
        </is>
      </c>
      <c r="D2" s="19" t="inlineStr">
        <is>
          <t>Z7</t>
        </is>
      </c>
      <c r="E2" s="19" t="inlineStr">
        <is>
          <t>Z9</t>
        </is>
      </c>
      <c r="F2" s="19" t="inlineStr">
        <is>
          <t>Suma udziałów (=1)</t>
        </is>
      </c>
    </row>
    <row r="3">
      <c r="A3" t="inlineStr">
        <is>
          <t>AI Lead</t>
        </is>
      </c>
      <c r="B3" t="inlineStr">
        <is>
          <t>M19-M21</t>
        </is>
      </c>
      <c r="C3" s="20" t="n">
        <v>0.4</v>
      </c>
      <c r="D3" s="20" t="n">
        <v>0.6</v>
      </c>
      <c r="E3" s="20" t="n">
        <v>0</v>
      </c>
      <c r="F3">
        <f>SUM(C3:E3)</f>
        <v/>
      </c>
    </row>
    <row r="4">
      <c r="A4" t="inlineStr">
        <is>
          <t>AI Lead</t>
        </is>
      </c>
      <c r="B4" t="inlineStr">
        <is>
          <t>M22-M27</t>
        </is>
      </c>
      <c r="C4" s="20">
        <f>1/3</f>
        <v/>
      </c>
      <c r="D4" s="20">
        <f>1/3</f>
        <v/>
      </c>
      <c r="E4" s="20">
        <f>1/3</f>
        <v/>
      </c>
      <c r="F4">
        <f>SUM(C4:E4)</f>
        <v/>
      </c>
    </row>
    <row r="5">
      <c r="A5" t="inlineStr">
        <is>
          <t>AI Lead</t>
        </is>
      </c>
      <c r="B5" t="inlineStr">
        <is>
          <t>M28-M30</t>
        </is>
      </c>
      <c r="C5" s="20" t="n">
        <v>0</v>
      </c>
      <c r="D5" s="20" t="n">
        <v>0</v>
      </c>
      <c r="E5" s="20" t="n">
        <v>1</v>
      </c>
      <c r="F5">
        <f>SUM(C5:E5)</f>
        <v/>
      </c>
    </row>
    <row r="6">
      <c r="A6" t="inlineStr">
        <is>
          <t>AI Senior Engineer</t>
        </is>
      </c>
      <c r="B6" t="inlineStr">
        <is>
          <t>M19-M21</t>
        </is>
      </c>
      <c r="C6" s="20" t="n">
        <v>0.4</v>
      </c>
      <c r="D6" s="20" t="n">
        <v>0.6</v>
      </c>
      <c r="E6" s="20" t="n">
        <v>0</v>
      </c>
      <c r="F6">
        <f>SUM(C6:E6)</f>
        <v/>
      </c>
    </row>
    <row r="7">
      <c r="A7" t="inlineStr">
        <is>
          <t>AI Senior Engineer</t>
        </is>
      </c>
      <c r="B7" t="inlineStr">
        <is>
          <t>M22-M27</t>
        </is>
      </c>
      <c r="C7" s="20">
        <f>1/3</f>
        <v/>
      </c>
      <c r="D7" s="20">
        <f>1/3</f>
        <v/>
      </c>
      <c r="E7" s="20">
        <f>1/3</f>
        <v/>
      </c>
      <c r="F7">
        <f>SUM(C7:E7)</f>
        <v/>
      </c>
    </row>
    <row r="8">
      <c r="A8" t="inlineStr">
        <is>
          <t>AI Senior Engineer</t>
        </is>
      </c>
      <c r="B8" t="inlineStr">
        <is>
          <t>M28-M30</t>
        </is>
      </c>
      <c r="C8" s="20" t="n">
        <v>0</v>
      </c>
      <c r="D8" s="20" t="n">
        <v>0</v>
      </c>
      <c r="E8" s="20" t="n">
        <v>1</v>
      </c>
      <c r="F8">
        <f>SUM(C8:E8)</f>
        <v/>
      </c>
    </row>
    <row r="9">
      <c r="A9" t="inlineStr">
        <is>
          <t>Cybersecurity / AI Act Specialist</t>
        </is>
      </c>
      <c r="B9" t="inlineStr">
        <is>
          <t>M19-M21</t>
        </is>
      </c>
      <c r="C9" s="20" t="n">
        <v>0.4</v>
      </c>
      <c r="D9" s="20" t="n">
        <v>0.6</v>
      </c>
      <c r="E9" s="20" t="n">
        <v>0</v>
      </c>
      <c r="F9">
        <f>SUM(C9:E9)</f>
        <v/>
      </c>
    </row>
    <row r="10">
      <c r="A10" t="inlineStr">
        <is>
          <t>Cybersecurity / AI Act Specialist</t>
        </is>
      </c>
      <c r="B10" t="inlineStr">
        <is>
          <t>M22-M27</t>
        </is>
      </c>
      <c r="C10" s="20" t="n">
        <v>0.2</v>
      </c>
      <c r="D10" s="20" t="n">
        <v>0.4</v>
      </c>
      <c r="E10" s="20" t="n">
        <v>0.4</v>
      </c>
      <c r="F10">
        <f>SUM(C10:E10)</f>
        <v/>
      </c>
    </row>
    <row r="11">
      <c r="A11" t="inlineStr">
        <is>
          <t>Cybersecurity / AI Act Specialist</t>
        </is>
      </c>
      <c r="B11" t="inlineStr">
        <is>
          <t>M28-M30</t>
        </is>
      </c>
      <c r="C11" s="20" t="n">
        <v>0</v>
      </c>
      <c r="D11" s="20" t="n">
        <v>0</v>
      </c>
      <c r="E11" s="20" t="n">
        <v>1</v>
      </c>
      <c r="F11">
        <f>SUM(C11:E11)</f>
        <v/>
      </c>
    </row>
    <row r="12">
      <c r="A12" t="inlineStr">
        <is>
          <t>IT Specialist</t>
        </is>
      </c>
      <c r="B12" t="inlineStr">
        <is>
          <t>M19-M21</t>
        </is>
      </c>
      <c r="C12" s="20" t="n">
        <v>0.4</v>
      </c>
      <c r="D12" s="20" t="n">
        <v>0.6</v>
      </c>
      <c r="E12" s="20" t="n">
        <v>0</v>
      </c>
      <c r="F12">
        <f>SUM(C12:E12)</f>
        <v/>
      </c>
    </row>
    <row r="13">
      <c r="A13" t="inlineStr">
        <is>
          <t>IT Specialist</t>
        </is>
      </c>
      <c r="B13" t="inlineStr">
        <is>
          <t>M22-M27</t>
        </is>
      </c>
      <c r="C13" s="20">
        <f>1/3</f>
        <v/>
      </c>
      <c r="D13" s="20">
        <f>1/3</f>
        <v/>
      </c>
      <c r="E13" s="20">
        <f>1/3</f>
        <v/>
      </c>
      <c r="F13">
        <f>SUM(C13:E13)</f>
        <v/>
      </c>
    </row>
    <row r="14">
      <c r="A14" t="inlineStr">
        <is>
          <t>IT Specialist</t>
        </is>
      </c>
      <c r="B14" t="inlineStr">
        <is>
          <t>M28-M30</t>
        </is>
      </c>
      <c r="C14" s="20" t="n">
        <v>0</v>
      </c>
      <c r="D14" s="20" t="n">
        <v>0</v>
      </c>
      <c r="E14" s="20" t="n">
        <v>1</v>
      </c>
      <c r="F14">
        <f>SUM(C14:E14)</f>
        <v/>
      </c>
    </row>
    <row r="15">
      <c r="A15" t="inlineStr">
        <is>
          <t>IoT Specialist</t>
        </is>
      </c>
      <c r="B15" t="inlineStr">
        <is>
          <t>M19-M21</t>
        </is>
      </c>
      <c r="C15" s="20" t="n">
        <v>0.4</v>
      </c>
      <c r="D15" s="20" t="n">
        <v>0.6</v>
      </c>
      <c r="E15" s="20" t="n">
        <v>0</v>
      </c>
      <c r="F15">
        <f>SUM(C15:E15)</f>
        <v/>
      </c>
    </row>
    <row r="16">
      <c r="A16" t="inlineStr">
        <is>
          <t>IoT Specialist</t>
        </is>
      </c>
      <c r="B16" t="inlineStr">
        <is>
          <t>M22-M27</t>
        </is>
      </c>
      <c r="C16" s="20" t="n">
        <v>0.2</v>
      </c>
      <c r="D16" s="20" t="n">
        <v>0.4</v>
      </c>
      <c r="E16" s="20" t="n">
        <v>0.4</v>
      </c>
      <c r="F16">
        <f>SUM(C16:E16)</f>
        <v/>
      </c>
    </row>
    <row r="17">
      <c r="A17" t="inlineStr">
        <is>
          <t>IoT Specialist</t>
        </is>
      </c>
      <c r="B17" t="inlineStr">
        <is>
          <t>M28-M30</t>
        </is>
      </c>
      <c r="C17" s="20" t="n">
        <v>0</v>
      </c>
      <c r="D17" s="20" t="n">
        <v>0</v>
      </c>
      <c r="E17" s="20" t="n">
        <v>1</v>
      </c>
      <c r="F17">
        <f>SUM(C17:E17)</f>
        <v/>
      </c>
    </row>
    <row r="18">
      <c r="A18" t="inlineStr">
        <is>
          <t>Specjalista ds. logistyki TSL</t>
        </is>
      </c>
      <c r="B18" t="inlineStr">
        <is>
          <t>M19-M21</t>
        </is>
      </c>
      <c r="C18" s="20" t="n">
        <v>0.4</v>
      </c>
      <c r="D18" s="20" t="n">
        <v>0.6</v>
      </c>
      <c r="E18" s="20" t="n">
        <v>0</v>
      </c>
      <c r="F18">
        <f>SUM(C18:E18)</f>
        <v/>
      </c>
    </row>
    <row r="19">
      <c r="A19" t="inlineStr">
        <is>
          <t>Specjalista ds. logistyki TSL</t>
        </is>
      </c>
      <c r="B19" t="inlineStr">
        <is>
          <t>M22-M27</t>
        </is>
      </c>
      <c r="C19" s="20" t="n">
        <v>0.2</v>
      </c>
      <c r="D19" s="20" t="n">
        <v>0.3</v>
      </c>
      <c r="E19" s="20" t="n">
        <v>0.5</v>
      </c>
      <c r="F19">
        <f>SUM(C19:E19)</f>
        <v/>
      </c>
    </row>
    <row r="20">
      <c r="A20" t="inlineStr">
        <is>
          <t>Specjalista ds. logistyki TSL</t>
        </is>
      </c>
      <c r="B20" t="inlineStr">
        <is>
          <t>M28-M30</t>
        </is>
      </c>
      <c r="C20" s="20" t="n">
        <v>0</v>
      </c>
      <c r="D20" s="20" t="n">
        <v>0</v>
      </c>
      <c r="E20" s="20" t="n">
        <v>1</v>
      </c>
      <c r="F20">
        <f>SUM(C20:E20)</f>
        <v/>
      </c>
    </row>
    <row r="22">
      <c r="A22" s="15" t="inlineStr">
        <is>
          <t>Stanowisko</t>
        </is>
      </c>
      <c r="B22" s="15" t="inlineStr">
        <is>
          <t>Zadanie</t>
        </is>
      </c>
      <c r="C22" s="15" t="inlineStr">
        <is>
          <t>Etat</t>
        </is>
      </c>
      <c r="D22" s="15" t="inlineStr">
        <is>
          <t>M19</t>
        </is>
      </c>
      <c r="E22" s="15" t="inlineStr">
        <is>
          <t>M20</t>
        </is>
      </c>
      <c r="F22" s="15" t="inlineStr">
        <is>
          <t>M21</t>
        </is>
      </c>
      <c r="G22" s="15" t="inlineStr">
        <is>
          <t>M22</t>
        </is>
      </c>
      <c r="H22" s="15" t="inlineStr">
        <is>
          <t>M23</t>
        </is>
      </c>
      <c r="I22" s="15" t="inlineStr">
        <is>
          <t>M24</t>
        </is>
      </c>
      <c r="J22" s="15" t="inlineStr">
        <is>
          <t>M25</t>
        </is>
      </c>
      <c r="K22" s="15" t="inlineStr">
        <is>
          <t>M26</t>
        </is>
      </c>
      <c r="L22" s="15" t="inlineStr">
        <is>
          <t>M27</t>
        </is>
      </c>
      <c r="M22" s="15" t="inlineStr">
        <is>
          <t>M28</t>
        </is>
      </c>
      <c r="N22" s="15" t="inlineStr">
        <is>
          <t>M29</t>
        </is>
      </c>
      <c r="O22" s="15" t="inlineStr">
        <is>
          <t>M30</t>
        </is>
      </c>
      <c r="P22" s="15" t="inlineStr">
        <is>
          <t>Etatomiesiące</t>
        </is>
      </c>
      <c r="Q22" s="15" t="inlineStr">
        <is>
          <t>Stawka brutto/mc</t>
        </is>
      </c>
      <c r="R22" s="15" t="inlineStr">
        <is>
          <t>Koszt zł</t>
        </is>
      </c>
    </row>
    <row r="23">
      <c r="A23" t="inlineStr">
        <is>
          <t>AI Lead</t>
        </is>
      </c>
      <c r="B23" t="inlineStr">
        <is>
          <t>Z6</t>
        </is>
      </c>
      <c r="C23" t="n">
        <v>0.75</v>
      </c>
      <c r="D23">
        <f>$C23*$C$3</f>
        <v/>
      </c>
      <c r="E23">
        <f>$C23*$C$3</f>
        <v/>
      </c>
      <c r="F23">
        <f>$C23*$C$3</f>
        <v/>
      </c>
      <c r="G23">
        <f>$C23*$C$4</f>
        <v/>
      </c>
      <c r="H23">
        <f>$C23*$C$4</f>
        <v/>
      </c>
      <c r="I23">
        <f>$C23*$C$4</f>
        <v/>
      </c>
      <c r="J23">
        <f>$C23*$C$4</f>
        <v/>
      </c>
      <c r="K23">
        <f>$C23*$C$4</f>
        <v/>
      </c>
      <c r="L23">
        <f>$C23*$C$4</f>
        <v/>
      </c>
      <c r="M23">
        <f>$C23*$C$5</f>
        <v/>
      </c>
      <c r="N23">
        <f>$C23*$C$5</f>
        <v/>
      </c>
      <c r="O23">
        <f>$C23*$C$5</f>
        <v/>
      </c>
      <c r="P23">
        <f>SUM(D23:O23)</f>
        <v/>
      </c>
      <c r="Q23" t="n">
        <v>23000</v>
      </c>
      <c r="R23">
        <f>ROUND(Q23*1.205*P23,2)</f>
        <v/>
      </c>
    </row>
    <row r="24">
      <c r="A24" t="inlineStr">
        <is>
          <t>AI Lead</t>
        </is>
      </c>
      <c r="B24" t="inlineStr">
        <is>
          <t>Z7</t>
        </is>
      </c>
      <c r="C24" t="n">
        <v>0.75</v>
      </c>
      <c r="D24">
        <f>$C24*$D$3</f>
        <v/>
      </c>
      <c r="E24">
        <f>$C24*$D$3</f>
        <v/>
      </c>
      <c r="F24">
        <f>$C24*$D$3</f>
        <v/>
      </c>
      <c r="G24">
        <f>$C24*$D$4</f>
        <v/>
      </c>
      <c r="H24">
        <f>$C24*$D$4</f>
        <v/>
      </c>
      <c r="I24">
        <f>$C24*$D$4</f>
        <v/>
      </c>
      <c r="J24">
        <f>$C24*$D$4</f>
        <v/>
      </c>
      <c r="K24">
        <f>$C24*$D$4</f>
        <v/>
      </c>
      <c r="L24">
        <f>$C24*$D$4</f>
        <v/>
      </c>
      <c r="M24">
        <f>$C24*$D$5</f>
        <v/>
      </c>
      <c r="N24">
        <f>$C24*$D$5</f>
        <v/>
      </c>
      <c r="O24">
        <f>$C24*$D$5</f>
        <v/>
      </c>
      <c r="P24">
        <f>SUM(D24:O24)</f>
        <v/>
      </c>
      <c r="Q24" t="n">
        <v>23000</v>
      </c>
      <c r="R24">
        <f>ROUND(Q24*1.205*P24,2)</f>
        <v/>
      </c>
    </row>
    <row r="25">
      <c r="A25" t="inlineStr">
        <is>
          <t>AI Lead</t>
        </is>
      </c>
      <c r="B25" t="inlineStr">
        <is>
          <t>Z9</t>
        </is>
      </c>
      <c r="C25" t="n">
        <v>0.75</v>
      </c>
      <c r="D25">
        <f>$C25*$E$3</f>
        <v/>
      </c>
      <c r="E25">
        <f>$C25*$E$3</f>
        <v/>
      </c>
      <c r="F25">
        <f>$C25*$E$3</f>
        <v/>
      </c>
      <c r="G25">
        <f>$C25*$E$4</f>
        <v/>
      </c>
      <c r="H25">
        <f>$C25*$E$4</f>
        <v/>
      </c>
      <c r="I25">
        <f>$C25*$E$4</f>
        <v/>
      </c>
      <c r="J25">
        <f>$C25*$E$4</f>
        <v/>
      </c>
      <c r="K25">
        <f>$C25*$E$4</f>
        <v/>
      </c>
      <c r="L25">
        <f>$C25*$E$4</f>
        <v/>
      </c>
      <c r="M25">
        <f>$C25*$E$5</f>
        <v/>
      </c>
      <c r="N25">
        <f>$C25*$E$5</f>
        <v/>
      </c>
      <c r="O25">
        <f>$C25*$E$5</f>
        <v/>
      </c>
      <c r="P25">
        <f>SUM(D25:O25)</f>
        <v/>
      </c>
      <c r="Q25" t="n">
        <v>23000</v>
      </c>
      <c r="R25">
        <f>ROUND(Q23*1.205*C23*12,2)-R23-R24</f>
        <v/>
      </c>
    </row>
    <row r="26">
      <c r="A26" s="17" t="inlineStr">
        <is>
          <t>kontrola: suma miesięczna - etat (AI Lead)</t>
        </is>
      </c>
      <c r="B26" s="17" t="inlineStr"/>
      <c r="C26" s="17" t="inlineStr"/>
      <c r="D26" s="17">
        <f>ROUND(D23+D24+D25-$C$23,6)</f>
        <v/>
      </c>
      <c r="E26" s="17">
        <f>ROUND(E23+E24+E25-$C$23,6)</f>
        <v/>
      </c>
      <c r="F26" s="17">
        <f>ROUND(F23+F24+F25-$C$23,6)</f>
        <v/>
      </c>
      <c r="G26" s="17">
        <f>ROUND(G23+G24+G25-$C$23,6)</f>
        <v/>
      </c>
      <c r="H26" s="17">
        <f>ROUND(H23+H24+H25-$C$23,6)</f>
        <v/>
      </c>
      <c r="I26" s="17">
        <f>ROUND(I23+I24+I25-$C$23,6)</f>
        <v/>
      </c>
      <c r="J26" s="17">
        <f>ROUND(J23+J24+J25-$C$23,6)</f>
        <v/>
      </c>
      <c r="K26" s="17">
        <f>ROUND(K23+K24+K25-$C$23,6)</f>
        <v/>
      </c>
      <c r="L26" s="17">
        <f>ROUND(L23+L24+L25-$C$23,6)</f>
        <v/>
      </c>
      <c r="M26" s="17">
        <f>ROUND(M23+M24+M25-$C$23,6)</f>
        <v/>
      </c>
      <c r="N26" s="17">
        <f>ROUND(N23+N24+N25-$C$23,6)</f>
        <v/>
      </c>
      <c r="O26" s="17">
        <f>ROUND(O23+O24+O25-$C$23,6)</f>
        <v/>
      </c>
      <c r="P26" s="17">
        <f>ROUND(P23+P24+P25-12*C23,6)</f>
        <v/>
      </c>
      <c r="Q26" s="17" t="inlineStr"/>
      <c r="R26" s="17">
        <f>R23+R24+R25</f>
        <v/>
      </c>
    </row>
    <row r="27">
      <c r="A27" t="inlineStr">
        <is>
          <t>AI Senior Engineer</t>
        </is>
      </c>
      <c r="B27" t="inlineStr">
        <is>
          <t>Z6</t>
        </is>
      </c>
      <c r="C27" t="n">
        <v>0.75</v>
      </c>
      <c r="D27">
        <f>$C27*$C$6</f>
        <v/>
      </c>
      <c r="E27">
        <f>$C27*$C$6</f>
        <v/>
      </c>
      <c r="F27">
        <f>$C27*$C$6</f>
        <v/>
      </c>
      <c r="G27">
        <f>$C27*$C$7</f>
        <v/>
      </c>
      <c r="H27">
        <f>$C27*$C$7</f>
        <v/>
      </c>
      <c r="I27">
        <f>$C27*$C$7</f>
        <v/>
      </c>
      <c r="J27">
        <f>$C27*$C$7</f>
        <v/>
      </c>
      <c r="K27">
        <f>$C27*$C$7</f>
        <v/>
      </c>
      <c r="L27">
        <f>$C27*$C$7</f>
        <v/>
      </c>
      <c r="M27">
        <f>$C27*$C$8</f>
        <v/>
      </c>
      <c r="N27">
        <f>$C27*$C$8</f>
        <v/>
      </c>
      <c r="O27">
        <f>$C27*$C$8</f>
        <v/>
      </c>
      <c r="P27">
        <f>SUM(D27:O27)</f>
        <v/>
      </c>
      <c r="Q27" t="n">
        <v>16500</v>
      </c>
      <c r="R27">
        <f>ROUND(Q27*1.205*P27,2)</f>
        <v/>
      </c>
    </row>
    <row r="28">
      <c r="A28" t="inlineStr">
        <is>
          <t>AI Senior Engineer</t>
        </is>
      </c>
      <c r="B28" t="inlineStr">
        <is>
          <t>Z7</t>
        </is>
      </c>
      <c r="C28" t="n">
        <v>0.75</v>
      </c>
      <c r="D28">
        <f>$C28*$D$6</f>
        <v/>
      </c>
      <c r="E28">
        <f>$C28*$D$6</f>
        <v/>
      </c>
      <c r="F28">
        <f>$C28*$D$6</f>
        <v/>
      </c>
      <c r="G28">
        <f>$C28*$D$7</f>
        <v/>
      </c>
      <c r="H28">
        <f>$C28*$D$7</f>
        <v/>
      </c>
      <c r="I28">
        <f>$C28*$D$7</f>
        <v/>
      </c>
      <c r="J28">
        <f>$C28*$D$7</f>
        <v/>
      </c>
      <c r="K28">
        <f>$C28*$D$7</f>
        <v/>
      </c>
      <c r="L28">
        <f>$C28*$D$7</f>
        <v/>
      </c>
      <c r="M28">
        <f>$C28*$D$8</f>
        <v/>
      </c>
      <c r="N28">
        <f>$C28*$D$8</f>
        <v/>
      </c>
      <c r="O28">
        <f>$C28*$D$8</f>
        <v/>
      </c>
      <c r="P28">
        <f>SUM(D28:O28)</f>
        <v/>
      </c>
      <c r="Q28" t="n">
        <v>16500</v>
      </c>
      <c r="R28">
        <f>ROUND(Q28*1.205*P28,2)</f>
        <v/>
      </c>
    </row>
    <row r="29">
      <c r="A29" t="inlineStr">
        <is>
          <t>AI Senior Engineer</t>
        </is>
      </c>
      <c r="B29" t="inlineStr">
        <is>
          <t>Z9</t>
        </is>
      </c>
      <c r="C29" t="n">
        <v>0.75</v>
      </c>
      <c r="D29">
        <f>$C29*$E$6</f>
        <v/>
      </c>
      <c r="E29">
        <f>$C29*$E$6</f>
        <v/>
      </c>
      <c r="F29">
        <f>$C29*$E$6</f>
        <v/>
      </c>
      <c r="G29">
        <f>$C29*$E$7</f>
        <v/>
      </c>
      <c r="H29">
        <f>$C29*$E$7</f>
        <v/>
      </c>
      <c r="I29">
        <f>$C29*$E$7</f>
        <v/>
      </c>
      <c r="J29">
        <f>$C29*$E$7</f>
        <v/>
      </c>
      <c r="K29">
        <f>$C29*$E$7</f>
        <v/>
      </c>
      <c r="L29">
        <f>$C29*$E$7</f>
        <v/>
      </c>
      <c r="M29">
        <f>$C29*$E$8</f>
        <v/>
      </c>
      <c r="N29">
        <f>$C29*$E$8</f>
        <v/>
      </c>
      <c r="O29">
        <f>$C29*$E$8</f>
        <v/>
      </c>
      <c r="P29">
        <f>SUM(D29:O29)</f>
        <v/>
      </c>
      <c r="Q29" t="n">
        <v>16500</v>
      </c>
      <c r="R29">
        <f>ROUND(Q27*1.205*C27*12,2)-R27-R28</f>
        <v/>
      </c>
    </row>
    <row r="30">
      <c r="A30" s="17" t="inlineStr">
        <is>
          <t>kontrola: suma miesięczna - etat (AI Senior Engineer)</t>
        </is>
      </c>
      <c r="B30" s="17" t="inlineStr"/>
      <c r="C30" s="17" t="inlineStr"/>
      <c r="D30" s="17">
        <f>ROUND(D27+D28+D29-$C$27,6)</f>
        <v/>
      </c>
      <c r="E30" s="17">
        <f>ROUND(E27+E28+E29-$C$27,6)</f>
        <v/>
      </c>
      <c r="F30" s="17">
        <f>ROUND(F27+F28+F29-$C$27,6)</f>
        <v/>
      </c>
      <c r="G30" s="17">
        <f>ROUND(G27+G28+G29-$C$27,6)</f>
        <v/>
      </c>
      <c r="H30" s="17">
        <f>ROUND(H27+H28+H29-$C$27,6)</f>
        <v/>
      </c>
      <c r="I30" s="17">
        <f>ROUND(I27+I28+I29-$C$27,6)</f>
        <v/>
      </c>
      <c r="J30" s="17">
        <f>ROUND(J27+J28+J29-$C$27,6)</f>
        <v/>
      </c>
      <c r="K30" s="17">
        <f>ROUND(K27+K28+K29-$C$27,6)</f>
        <v/>
      </c>
      <c r="L30" s="17">
        <f>ROUND(L27+L28+L29-$C$27,6)</f>
        <v/>
      </c>
      <c r="M30" s="17">
        <f>ROUND(M27+M28+M29-$C$27,6)</f>
        <v/>
      </c>
      <c r="N30" s="17">
        <f>ROUND(N27+N28+N29-$C$27,6)</f>
        <v/>
      </c>
      <c r="O30" s="17">
        <f>ROUND(O27+O28+O29-$C$27,6)</f>
        <v/>
      </c>
      <c r="P30" s="17">
        <f>ROUND(P27+P28+P29-12*C27,6)</f>
        <v/>
      </c>
      <c r="Q30" s="17" t="inlineStr"/>
      <c r="R30" s="17">
        <f>R27+R28+R29</f>
        <v/>
      </c>
    </row>
    <row r="31">
      <c r="A31" t="inlineStr">
        <is>
          <t>Cybersecurity / AI Act Specialist</t>
        </is>
      </c>
      <c r="B31" t="inlineStr">
        <is>
          <t>Z6</t>
        </is>
      </c>
      <c r="C31" t="n">
        <v>0.25</v>
      </c>
      <c r="D31">
        <f>$C31*$C$9</f>
        <v/>
      </c>
      <c r="E31">
        <f>$C31*$C$9</f>
        <v/>
      </c>
      <c r="F31">
        <f>$C31*$C$9</f>
        <v/>
      </c>
      <c r="G31">
        <f>$C31*$C$10</f>
        <v/>
      </c>
      <c r="H31">
        <f>$C31*$C$10</f>
        <v/>
      </c>
      <c r="I31">
        <f>$C31*$C$10</f>
        <v/>
      </c>
      <c r="J31">
        <f>$C31*$C$10</f>
        <v/>
      </c>
      <c r="K31">
        <f>$C31*$C$10</f>
        <v/>
      </c>
      <c r="L31">
        <f>$C31*$C$10</f>
        <v/>
      </c>
      <c r="M31">
        <f>$C31*$C$11</f>
        <v/>
      </c>
      <c r="N31">
        <f>$C31*$C$11</f>
        <v/>
      </c>
      <c r="O31">
        <f>$C31*$C$11</f>
        <v/>
      </c>
      <c r="P31">
        <f>SUM(D31:O31)</f>
        <v/>
      </c>
      <c r="Q31" t="n">
        <v>21000</v>
      </c>
      <c r="R31">
        <f>ROUND(Q31*1.205*P31,2)</f>
        <v/>
      </c>
    </row>
    <row r="32">
      <c r="A32" t="inlineStr">
        <is>
          <t>Cybersecurity / AI Act Specialist</t>
        </is>
      </c>
      <c r="B32" t="inlineStr">
        <is>
          <t>Z7</t>
        </is>
      </c>
      <c r="C32" t="n">
        <v>0.25</v>
      </c>
      <c r="D32">
        <f>$C32*$D$9</f>
        <v/>
      </c>
      <c r="E32">
        <f>$C32*$D$9</f>
        <v/>
      </c>
      <c r="F32">
        <f>$C32*$D$9</f>
        <v/>
      </c>
      <c r="G32">
        <f>$C32*$D$10</f>
        <v/>
      </c>
      <c r="H32">
        <f>$C32*$D$10</f>
        <v/>
      </c>
      <c r="I32">
        <f>$C32*$D$10</f>
        <v/>
      </c>
      <c r="J32">
        <f>$C32*$D$10</f>
        <v/>
      </c>
      <c r="K32">
        <f>$C32*$D$10</f>
        <v/>
      </c>
      <c r="L32">
        <f>$C32*$D$10</f>
        <v/>
      </c>
      <c r="M32">
        <f>$C32*$D$11</f>
        <v/>
      </c>
      <c r="N32">
        <f>$C32*$D$11</f>
        <v/>
      </c>
      <c r="O32">
        <f>$C32*$D$11</f>
        <v/>
      </c>
      <c r="P32">
        <f>SUM(D32:O32)</f>
        <v/>
      </c>
      <c r="Q32" t="n">
        <v>21000</v>
      </c>
      <c r="R32">
        <f>ROUND(Q32*1.205*P32,2)</f>
        <v/>
      </c>
    </row>
    <row r="33">
      <c r="A33" t="inlineStr">
        <is>
          <t>Cybersecurity / AI Act Specialist</t>
        </is>
      </c>
      <c r="B33" t="inlineStr">
        <is>
          <t>Z9</t>
        </is>
      </c>
      <c r="C33" t="n">
        <v>0.25</v>
      </c>
      <c r="D33">
        <f>$C33*$E$9</f>
        <v/>
      </c>
      <c r="E33">
        <f>$C33*$E$9</f>
        <v/>
      </c>
      <c r="F33">
        <f>$C33*$E$9</f>
        <v/>
      </c>
      <c r="G33">
        <f>$C33*$E$10</f>
        <v/>
      </c>
      <c r="H33">
        <f>$C33*$E$10</f>
        <v/>
      </c>
      <c r="I33">
        <f>$C33*$E$10</f>
        <v/>
      </c>
      <c r="J33">
        <f>$C33*$E$10</f>
        <v/>
      </c>
      <c r="K33">
        <f>$C33*$E$10</f>
        <v/>
      </c>
      <c r="L33">
        <f>$C33*$E$10</f>
        <v/>
      </c>
      <c r="M33">
        <f>$C33*$E$11</f>
        <v/>
      </c>
      <c r="N33">
        <f>$C33*$E$11</f>
        <v/>
      </c>
      <c r="O33">
        <f>$C33*$E$11</f>
        <v/>
      </c>
      <c r="P33">
        <f>SUM(D33:O33)</f>
        <v/>
      </c>
      <c r="Q33" t="n">
        <v>21000</v>
      </c>
      <c r="R33">
        <f>ROUND(Q31*1.205*C31*12,2)-R31-R32</f>
        <v/>
      </c>
    </row>
    <row r="34">
      <c r="A34" s="17" t="inlineStr">
        <is>
          <t>kontrola: suma miesięczna - etat (Cybersecurity / AI Act Specialist)</t>
        </is>
      </c>
      <c r="B34" s="17" t="inlineStr"/>
      <c r="C34" s="17" t="inlineStr"/>
      <c r="D34" s="17">
        <f>ROUND(D31+D32+D33-$C$31,6)</f>
        <v/>
      </c>
      <c r="E34" s="17">
        <f>ROUND(E31+E32+E33-$C$31,6)</f>
        <v/>
      </c>
      <c r="F34" s="17">
        <f>ROUND(F31+F32+F33-$C$31,6)</f>
        <v/>
      </c>
      <c r="G34" s="17">
        <f>ROUND(G31+G32+G33-$C$31,6)</f>
        <v/>
      </c>
      <c r="H34" s="17">
        <f>ROUND(H31+H32+H33-$C$31,6)</f>
        <v/>
      </c>
      <c r="I34" s="17">
        <f>ROUND(I31+I32+I33-$C$31,6)</f>
        <v/>
      </c>
      <c r="J34" s="17">
        <f>ROUND(J31+J32+J33-$C$31,6)</f>
        <v/>
      </c>
      <c r="K34" s="17">
        <f>ROUND(K31+K32+K33-$C$31,6)</f>
        <v/>
      </c>
      <c r="L34" s="17">
        <f>ROUND(L31+L32+L33-$C$31,6)</f>
        <v/>
      </c>
      <c r="M34" s="17">
        <f>ROUND(M31+M32+M33-$C$31,6)</f>
        <v/>
      </c>
      <c r="N34" s="17">
        <f>ROUND(N31+N32+N33-$C$31,6)</f>
        <v/>
      </c>
      <c r="O34" s="17">
        <f>ROUND(O31+O32+O33-$C$31,6)</f>
        <v/>
      </c>
      <c r="P34" s="17">
        <f>ROUND(P31+P32+P33-12*C31,6)</f>
        <v/>
      </c>
      <c r="Q34" s="17" t="inlineStr"/>
      <c r="R34" s="17">
        <f>R31+R32+R33</f>
        <v/>
      </c>
    </row>
    <row r="35">
      <c r="A35" t="inlineStr">
        <is>
          <t>IT Specialist</t>
        </is>
      </c>
      <c r="B35" t="inlineStr">
        <is>
          <t>Z6</t>
        </is>
      </c>
      <c r="C35" t="n">
        <v>1</v>
      </c>
      <c r="D35">
        <f>$C35*$C$12</f>
        <v/>
      </c>
      <c r="E35">
        <f>$C35*$C$12</f>
        <v/>
      </c>
      <c r="F35">
        <f>$C35*$C$12</f>
        <v/>
      </c>
      <c r="G35">
        <f>$C35*$C$13</f>
        <v/>
      </c>
      <c r="H35">
        <f>$C35*$C$13</f>
        <v/>
      </c>
      <c r="I35">
        <f>$C35*$C$13</f>
        <v/>
      </c>
      <c r="J35">
        <f>$C35*$C$13</f>
        <v/>
      </c>
      <c r="K35">
        <f>$C35*$C$13</f>
        <v/>
      </c>
      <c r="L35">
        <f>$C35*$C$13</f>
        <v/>
      </c>
      <c r="M35">
        <f>$C35*$C$14</f>
        <v/>
      </c>
      <c r="N35">
        <f>$C35*$C$14</f>
        <v/>
      </c>
      <c r="O35">
        <f>$C35*$C$14</f>
        <v/>
      </c>
      <c r="P35">
        <f>SUM(D35:O35)</f>
        <v/>
      </c>
      <c r="Q35" t="n">
        <v>19000</v>
      </c>
      <c r="R35">
        <f>ROUND(Q35*1.205*P35,2)</f>
        <v/>
      </c>
    </row>
    <row r="36">
      <c r="A36" t="inlineStr">
        <is>
          <t>IT Specialist</t>
        </is>
      </c>
      <c r="B36" t="inlineStr">
        <is>
          <t>Z7</t>
        </is>
      </c>
      <c r="C36" t="n">
        <v>1</v>
      </c>
      <c r="D36">
        <f>$C36*$D$12</f>
        <v/>
      </c>
      <c r="E36">
        <f>$C36*$D$12</f>
        <v/>
      </c>
      <c r="F36">
        <f>$C36*$D$12</f>
        <v/>
      </c>
      <c r="G36">
        <f>$C36*$D$13</f>
        <v/>
      </c>
      <c r="H36">
        <f>$C36*$D$13</f>
        <v/>
      </c>
      <c r="I36">
        <f>$C36*$D$13</f>
        <v/>
      </c>
      <c r="J36">
        <f>$C36*$D$13</f>
        <v/>
      </c>
      <c r="K36">
        <f>$C36*$D$13</f>
        <v/>
      </c>
      <c r="L36">
        <f>$C36*$D$13</f>
        <v/>
      </c>
      <c r="M36">
        <f>$C36*$D$14</f>
        <v/>
      </c>
      <c r="N36">
        <f>$C36*$D$14</f>
        <v/>
      </c>
      <c r="O36">
        <f>$C36*$D$14</f>
        <v/>
      </c>
      <c r="P36">
        <f>SUM(D36:O36)</f>
        <v/>
      </c>
      <c r="Q36" t="n">
        <v>19000</v>
      </c>
      <c r="R36">
        <f>ROUND(Q36*1.205*P36,2)</f>
        <v/>
      </c>
    </row>
    <row r="37">
      <c r="A37" t="inlineStr">
        <is>
          <t>IT Specialist</t>
        </is>
      </c>
      <c r="B37" t="inlineStr">
        <is>
          <t>Z9</t>
        </is>
      </c>
      <c r="C37" t="n">
        <v>1</v>
      </c>
      <c r="D37">
        <f>$C37*$E$12</f>
        <v/>
      </c>
      <c r="E37">
        <f>$C37*$E$12</f>
        <v/>
      </c>
      <c r="F37">
        <f>$C37*$E$12</f>
        <v/>
      </c>
      <c r="G37">
        <f>$C37*$E$13</f>
        <v/>
      </c>
      <c r="H37">
        <f>$C37*$E$13</f>
        <v/>
      </c>
      <c r="I37">
        <f>$C37*$E$13</f>
        <v/>
      </c>
      <c r="J37">
        <f>$C37*$E$13</f>
        <v/>
      </c>
      <c r="K37">
        <f>$C37*$E$13</f>
        <v/>
      </c>
      <c r="L37">
        <f>$C37*$E$13</f>
        <v/>
      </c>
      <c r="M37">
        <f>$C37*$E$14</f>
        <v/>
      </c>
      <c r="N37">
        <f>$C37*$E$14</f>
        <v/>
      </c>
      <c r="O37">
        <f>$C37*$E$14</f>
        <v/>
      </c>
      <c r="P37">
        <f>SUM(D37:O37)</f>
        <v/>
      </c>
      <c r="Q37" t="n">
        <v>19000</v>
      </c>
      <c r="R37">
        <f>ROUND(Q35*1.205*C35*12,2)-R35-R36</f>
        <v/>
      </c>
    </row>
    <row r="38">
      <c r="A38" s="17" t="inlineStr">
        <is>
          <t>kontrola: suma miesięczna - etat (IT Specialist)</t>
        </is>
      </c>
      <c r="B38" s="17" t="inlineStr"/>
      <c r="C38" s="17" t="inlineStr"/>
      <c r="D38" s="17">
        <f>ROUND(D35+D36+D37-$C$35,6)</f>
        <v/>
      </c>
      <c r="E38" s="17">
        <f>ROUND(E35+E36+E37-$C$35,6)</f>
        <v/>
      </c>
      <c r="F38" s="17">
        <f>ROUND(F35+F36+F37-$C$35,6)</f>
        <v/>
      </c>
      <c r="G38" s="17">
        <f>ROUND(G35+G36+G37-$C$35,6)</f>
        <v/>
      </c>
      <c r="H38" s="17">
        <f>ROUND(H35+H36+H37-$C$35,6)</f>
        <v/>
      </c>
      <c r="I38" s="17">
        <f>ROUND(I35+I36+I37-$C$35,6)</f>
        <v/>
      </c>
      <c r="J38" s="17">
        <f>ROUND(J35+J36+J37-$C$35,6)</f>
        <v/>
      </c>
      <c r="K38" s="17">
        <f>ROUND(K35+K36+K37-$C$35,6)</f>
        <v/>
      </c>
      <c r="L38" s="17">
        <f>ROUND(L35+L36+L37-$C$35,6)</f>
        <v/>
      </c>
      <c r="M38" s="17">
        <f>ROUND(M35+M36+M37-$C$35,6)</f>
        <v/>
      </c>
      <c r="N38" s="17">
        <f>ROUND(N35+N36+N37-$C$35,6)</f>
        <v/>
      </c>
      <c r="O38" s="17">
        <f>ROUND(O35+O36+O37-$C$35,6)</f>
        <v/>
      </c>
      <c r="P38" s="17">
        <f>ROUND(P35+P36+P37-12*C35,6)</f>
        <v/>
      </c>
      <c r="Q38" s="17" t="inlineStr"/>
      <c r="R38" s="17">
        <f>R35+R36+R37</f>
        <v/>
      </c>
    </row>
    <row r="39">
      <c r="A39" t="inlineStr">
        <is>
          <t>IoT Specialist</t>
        </is>
      </c>
      <c r="B39" t="inlineStr">
        <is>
          <t>Z6</t>
        </is>
      </c>
      <c r="C39" t="n">
        <v>0.5</v>
      </c>
      <c r="D39">
        <f>$C39*$C$15</f>
        <v/>
      </c>
      <c r="E39">
        <f>$C39*$C$15</f>
        <v/>
      </c>
      <c r="F39">
        <f>$C39*$C$15</f>
        <v/>
      </c>
      <c r="G39">
        <f>$C39*$C$16</f>
        <v/>
      </c>
      <c r="H39">
        <f>$C39*$C$16</f>
        <v/>
      </c>
      <c r="I39">
        <f>$C39*$C$16</f>
        <v/>
      </c>
      <c r="J39">
        <f>$C39*$C$16</f>
        <v/>
      </c>
      <c r="K39">
        <f>$C39*$C$16</f>
        <v/>
      </c>
      <c r="L39">
        <f>$C39*$C$16</f>
        <v/>
      </c>
      <c r="M39">
        <f>$C39*$C$17</f>
        <v/>
      </c>
      <c r="N39">
        <f>$C39*$C$17</f>
        <v/>
      </c>
      <c r="O39">
        <f>$C39*$C$17</f>
        <v/>
      </c>
      <c r="P39">
        <f>SUM(D39:O39)</f>
        <v/>
      </c>
      <c r="Q39" t="n">
        <v>15000</v>
      </c>
      <c r="R39">
        <f>ROUND(Q39*1.205*P39,2)</f>
        <v/>
      </c>
    </row>
    <row r="40">
      <c r="A40" t="inlineStr">
        <is>
          <t>IoT Specialist</t>
        </is>
      </c>
      <c r="B40" t="inlineStr">
        <is>
          <t>Z7</t>
        </is>
      </c>
      <c r="C40" t="n">
        <v>0.5</v>
      </c>
      <c r="D40">
        <f>$C40*$D$15</f>
        <v/>
      </c>
      <c r="E40">
        <f>$C40*$D$15</f>
        <v/>
      </c>
      <c r="F40">
        <f>$C40*$D$15</f>
        <v/>
      </c>
      <c r="G40">
        <f>$C40*$D$16</f>
        <v/>
      </c>
      <c r="H40">
        <f>$C40*$D$16</f>
        <v/>
      </c>
      <c r="I40">
        <f>$C40*$D$16</f>
        <v/>
      </c>
      <c r="J40">
        <f>$C40*$D$16</f>
        <v/>
      </c>
      <c r="K40">
        <f>$C40*$D$16</f>
        <v/>
      </c>
      <c r="L40">
        <f>$C40*$D$16</f>
        <v/>
      </c>
      <c r="M40">
        <f>$C40*$D$17</f>
        <v/>
      </c>
      <c r="N40">
        <f>$C40*$D$17</f>
        <v/>
      </c>
      <c r="O40">
        <f>$C40*$D$17</f>
        <v/>
      </c>
      <c r="P40">
        <f>SUM(D40:O40)</f>
        <v/>
      </c>
      <c r="Q40" t="n">
        <v>15000</v>
      </c>
      <c r="R40">
        <f>ROUND(Q40*1.205*P40,2)</f>
        <v/>
      </c>
    </row>
    <row r="41">
      <c r="A41" t="inlineStr">
        <is>
          <t>IoT Specialist</t>
        </is>
      </c>
      <c r="B41" t="inlineStr">
        <is>
          <t>Z9</t>
        </is>
      </c>
      <c r="C41" t="n">
        <v>0.5</v>
      </c>
      <c r="D41">
        <f>$C41*$E$15</f>
        <v/>
      </c>
      <c r="E41">
        <f>$C41*$E$15</f>
        <v/>
      </c>
      <c r="F41">
        <f>$C41*$E$15</f>
        <v/>
      </c>
      <c r="G41">
        <f>$C41*$E$16</f>
        <v/>
      </c>
      <c r="H41">
        <f>$C41*$E$16</f>
        <v/>
      </c>
      <c r="I41">
        <f>$C41*$E$16</f>
        <v/>
      </c>
      <c r="J41">
        <f>$C41*$E$16</f>
        <v/>
      </c>
      <c r="K41">
        <f>$C41*$E$16</f>
        <v/>
      </c>
      <c r="L41">
        <f>$C41*$E$16</f>
        <v/>
      </c>
      <c r="M41">
        <f>$C41*$E$17</f>
        <v/>
      </c>
      <c r="N41">
        <f>$C41*$E$17</f>
        <v/>
      </c>
      <c r="O41">
        <f>$C41*$E$17</f>
        <v/>
      </c>
      <c r="P41">
        <f>SUM(D41:O41)</f>
        <v/>
      </c>
      <c r="Q41" t="n">
        <v>15000</v>
      </c>
      <c r="R41">
        <f>ROUND(Q39*1.205*C39*12,2)-R39-R40</f>
        <v/>
      </c>
    </row>
    <row r="42">
      <c r="A42" s="17" t="inlineStr">
        <is>
          <t>kontrola: suma miesięczna - etat (IoT Specialist)</t>
        </is>
      </c>
      <c r="B42" s="17" t="inlineStr"/>
      <c r="C42" s="17" t="inlineStr"/>
      <c r="D42" s="17">
        <f>ROUND(D39+D40+D41-$C$39,6)</f>
        <v/>
      </c>
      <c r="E42" s="17">
        <f>ROUND(E39+E40+E41-$C$39,6)</f>
        <v/>
      </c>
      <c r="F42" s="17">
        <f>ROUND(F39+F40+F41-$C$39,6)</f>
        <v/>
      </c>
      <c r="G42" s="17">
        <f>ROUND(G39+G40+G41-$C$39,6)</f>
        <v/>
      </c>
      <c r="H42" s="17">
        <f>ROUND(H39+H40+H41-$C$39,6)</f>
        <v/>
      </c>
      <c r="I42" s="17">
        <f>ROUND(I39+I40+I41-$C$39,6)</f>
        <v/>
      </c>
      <c r="J42" s="17">
        <f>ROUND(J39+J40+J41-$C$39,6)</f>
        <v/>
      </c>
      <c r="K42" s="17">
        <f>ROUND(K39+K40+K41-$C$39,6)</f>
        <v/>
      </c>
      <c r="L42" s="17">
        <f>ROUND(L39+L40+L41-$C$39,6)</f>
        <v/>
      </c>
      <c r="M42" s="17">
        <f>ROUND(M39+M40+M41-$C$39,6)</f>
        <v/>
      </c>
      <c r="N42" s="17">
        <f>ROUND(N39+N40+N41-$C$39,6)</f>
        <v/>
      </c>
      <c r="O42" s="17">
        <f>ROUND(O39+O40+O41-$C$39,6)</f>
        <v/>
      </c>
      <c r="P42" s="17">
        <f>ROUND(P39+P40+P41-12*C39,6)</f>
        <v/>
      </c>
      <c r="Q42" s="17" t="inlineStr"/>
      <c r="R42" s="17">
        <f>R39+R40+R41</f>
        <v/>
      </c>
    </row>
    <row r="43">
      <c r="A43" t="inlineStr">
        <is>
          <t>Specjalista ds. logistyki TSL</t>
        </is>
      </c>
      <c r="B43" t="inlineStr">
        <is>
          <t>Z6</t>
        </is>
      </c>
      <c r="C43" t="n">
        <v>0.5</v>
      </c>
      <c r="D43">
        <f>$C43*$C$18</f>
        <v/>
      </c>
      <c r="E43">
        <f>$C43*$C$18</f>
        <v/>
      </c>
      <c r="F43">
        <f>$C43*$C$18</f>
        <v/>
      </c>
      <c r="G43">
        <f>$C43*$C$19</f>
        <v/>
      </c>
      <c r="H43">
        <f>$C43*$C$19</f>
        <v/>
      </c>
      <c r="I43">
        <f>$C43*$C$19</f>
        <v/>
      </c>
      <c r="J43">
        <f>$C43*$C$19</f>
        <v/>
      </c>
      <c r="K43">
        <f>$C43*$C$19</f>
        <v/>
      </c>
      <c r="L43">
        <f>$C43*$C$19</f>
        <v/>
      </c>
      <c r="M43">
        <f>$C43*$C$20</f>
        <v/>
      </c>
      <c r="N43">
        <f>$C43*$C$20</f>
        <v/>
      </c>
      <c r="O43">
        <f>$C43*$C$20</f>
        <v/>
      </c>
      <c r="P43">
        <f>SUM(D43:O43)</f>
        <v/>
      </c>
      <c r="Q43" t="n">
        <v>10000</v>
      </c>
      <c r="R43">
        <f>ROUND(Q43*1.205*P43,2)</f>
        <v/>
      </c>
    </row>
    <row r="44">
      <c r="A44" t="inlineStr">
        <is>
          <t>Specjalista ds. logistyki TSL</t>
        </is>
      </c>
      <c r="B44" t="inlineStr">
        <is>
          <t>Z7</t>
        </is>
      </c>
      <c r="C44" t="n">
        <v>0.5</v>
      </c>
      <c r="D44">
        <f>$C44*$D$18</f>
        <v/>
      </c>
      <c r="E44">
        <f>$C44*$D$18</f>
        <v/>
      </c>
      <c r="F44">
        <f>$C44*$D$18</f>
        <v/>
      </c>
      <c r="G44">
        <f>$C44*$D$19</f>
        <v/>
      </c>
      <c r="H44">
        <f>$C44*$D$19</f>
        <v/>
      </c>
      <c r="I44">
        <f>$C44*$D$19</f>
        <v/>
      </c>
      <c r="J44">
        <f>$C44*$D$19</f>
        <v/>
      </c>
      <c r="K44">
        <f>$C44*$D$19</f>
        <v/>
      </c>
      <c r="L44">
        <f>$C44*$D$19</f>
        <v/>
      </c>
      <c r="M44">
        <f>$C44*$D$20</f>
        <v/>
      </c>
      <c r="N44">
        <f>$C44*$D$20</f>
        <v/>
      </c>
      <c r="O44">
        <f>$C44*$D$20</f>
        <v/>
      </c>
      <c r="P44">
        <f>SUM(D44:O44)</f>
        <v/>
      </c>
      <c r="Q44" t="n">
        <v>10000</v>
      </c>
      <c r="R44">
        <f>ROUND(Q44*1.205*P44,2)</f>
        <v/>
      </c>
    </row>
    <row r="45">
      <c r="A45" t="inlineStr">
        <is>
          <t>Specjalista ds. logistyki TSL</t>
        </is>
      </c>
      <c r="B45" t="inlineStr">
        <is>
          <t>Z9</t>
        </is>
      </c>
      <c r="C45" t="n">
        <v>0.5</v>
      </c>
      <c r="D45">
        <f>$C45*$E$18</f>
        <v/>
      </c>
      <c r="E45">
        <f>$C45*$E$18</f>
        <v/>
      </c>
      <c r="F45">
        <f>$C45*$E$18</f>
        <v/>
      </c>
      <c r="G45">
        <f>$C45*$E$19</f>
        <v/>
      </c>
      <c r="H45">
        <f>$C45*$E$19</f>
        <v/>
      </c>
      <c r="I45">
        <f>$C45*$E$19</f>
        <v/>
      </c>
      <c r="J45">
        <f>$C45*$E$19</f>
        <v/>
      </c>
      <c r="K45">
        <f>$C45*$E$19</f>
        <v/>
      </c>
      <c r="L45">
        <f>$C45*$E$19</f>
        <v/>
      </c>
      <c r="M45">
        <f>$C45*$E$20</f>
        <v/>
      </c>
      <c r="N45">
        <f>$C45*$E$20</f>
        <v/>
      </c>
      <c r="O45">
        <f>$C45*$E$20</f>
        <v/>
      </c>
      <c r="P45">
        <f>SUM(D45:O45)</f>
        <v/>
      </c>
      <c r="Q45" t="n">
        <v>10000</v>
      </c>
      <c r="R45">
        <f>ROUND(Q43*1.205*C43*12,2)-R43-R44</f>
        <v/>
      </c>
    </row>
    <row r="46">
      <c r="A46" s="17" t="inlineStr">
        <is>
          <t>kontrola: suma miesięczna - etat (Specjalista ds. logistyki TSL)</t>
        </is>
      </c>
      <c r="B46" s="17" t="inlineStr"/>
      <c r="C46" s="17" t="inlineStr"/>
      <c r="D46" s="17">
        <f>ROUND(D43+D44+D45-$C$43,6)</f>
        <v/>
      </c>
      <c r="E46" s="17">
        <f>ROUND(E43+E44+E45-$C$43,6)</f>
        <v/>
      </c>
      <c r="F46" s="17">
        <f>ROUND(F43+F44+F45-$C$43,6)</f>
        <v/>
      </c>
      <c r="G46" s="17">
        <f>ROUND(G43+G44+G45-$C$43,6)</f>
        <v/>
      </c>
      <c r="H46" s="17">
        <f>ROUND(H43+H44+H45-$C$43,6)</f>
        <v/>
      </c>
      <c r="I46" s="17">
        <f>ROUND(I43+I44+I45-$C$43,6)</f>
        <v/>
      </c>
      <c r="J46" s="17">
        <f>ROUND(J43+J44+J45-$C$43,6)</f>
        <v/>
      </c>
      <c r="K46" s="17">
        <f>ROUND(K43+K44+K45-$C$43,6)</f>
        <v/>
      </c>
      <c r="L46" s="17">
        <f>ROUND(L43+L44+L45-$C$43,6)</f>
        <v/>
      </c>
      <c r="M46" s="17">
        <f>ROUND(M43+M44+M45-$C$43,6)</f>
        <v/>
      </c>
      <c r="N46" s="17">
        <f>ROUND(N43+N44+N45-$C$43,6)</f>
        <v/>
      </c>
      <c r="O46" s="17">
        <f>ROUND(O43+O44+O45-$C$43,6)</f>
        <v/>
      </c>
      <c r="P46" s="17">
        <f>ROUND(P43+P44+P45-12*C43,6)</f>
        <v/>
      </c>
      <c r="Q46" s="17" t="inlineStr"/>
      <c r="R46" s="17">
        <f>R43+R44+R45</f>
        <v/>
      </c>
    </row>
    <row r="47">
      <c r="A47" t="inlineStr">
        <is>
          <t>Backend/Full-Stack Developer</t>
        </is>
      </c>
      <c r="B47" t="inlineStr">
        <is>
          <t>Z6</t>
        </is>
      </c>
      <c r="C47" t="n">
        <v>1</v>
      </c>
      <c r="D47" t="n">
        <v>1</v>
      </c>
      <c r="E47" t="n">
        <v>1</v>
      </c>
      <c r="F47" t="n">
        <v>1</v>
      </c>
      <c r="G47" t="n">
        <v>1</v>
      </c>
      <c r="H47" t="n">
        <v>1</v>
      </c>
      <c r="I47" t="n">
        <v>1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>
        <f>SUM(D47:O47)</f>
        <v/>
      </c>
      <c r="Q47" t="n">
        <v>18000</v>
      </c>
      <c r="R47">
        <f>ROUND(Q47*1.205*P47,2)</f>
        <v/>
      </c>
    </row>
    <row r="48">
      <c r="A48" t="inlineStr">
        <is>
          <t>Backend/Full-Stack Developer</t>
        </is>
      </c>
      <c r="B48" t="inlineStr">
        <is>
          <t>Z9</t>
        </is>
      </c>
      <c r="C48" t="n">
        <v>1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1</v>
      </c>
      <c r="O48" t="n">
        <v>1</v>
      </c>
      <c r="P48">
        <f>SUM(D48:O48)</f>
        <v/>
      </c>
      <c r="Q48" t="n">
        <v>18000</v>
      </c>
      <c r="R48">
        <f>ROUND(Q48*1.205*P48,2)</f>
        <v/>
      </c>
    </row>
    <row r="49">
      <c r="A49" t="inlineStr">
        <is>
          <t>Razem personel Everest11 Z6</t>
        </is>
      </c>
      <c r="R49">
        <f>SUMIF(B23:B48,"Z6",R23:R48)</f>
        <v/>
      </c>
    </row>
    <row r="50">
      <c r="A50" t="inlineStr">
        <is>
          <t>Razem personel Everest11 Z7</t>
        </is>
      </c>
      <c r="R50">
        <f>SUMIF(B23:B48,"Z7",R23:R48)</f>
        <v/>
      </c>
    </row>
    <row r="51">
      <c r="A51" t="inlineStr">
        <is>
          <t>Razem personel Everest11 Z9</t>
        </is>
      </c>
      <c r="R51">
        <f>SUMIF(B23:B48,"Z9",R23:R48)</f>
        <v/>
      </c>
    </row>
    <row r="52">
      <c r="A52" t="inlineStr">
        <is>
          <t>Suma Z6+Z7+Z9</t>
        </is>
      </c>
      <c r="R52">
        <f>SUM(R49:R51)</f>
        <v/>
      </c>
    </row>
    <row r="53">
      <c r="A53" t="inlineStr">
        <is>
          <t>Stan dotychczasowy (6 stanowisk /3 + Backend Z6 12 mc)</t>
        </is>
      </c>
      <c r="R53">
        <f>959782.5+260280</f>
        <v/>
      </c>
    </row>
    <row r="54">
      <c r="A54" t="inlineStr">
        <is>
          <t>Różnica (powinna wynosić 0)</t>
        </is>
      </c>
      <c r="R54">
        <f>ROUND(R52-R53,2)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2026-10-01T16:37:34Z</dcterms:created>
  <dcterms:modified xmlns:dcterms="http://purl.org/dc/terms/" xmlns:xsi="http://www.w3.org/2001/XMLSchema-instance" xsi:type="dcterms:W3CDTF">2026-10-02T08:06:08Z</dcterms:modified>
</cp:coreProperties>
</file>