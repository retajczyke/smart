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  <sheet xmlns:r="http://schemas.openxmlformats.org/officeDocument/2006/relationships" name="9_Niespójności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01.10.2026,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W TOKU: Eurostat road_eqs_semit (2023: 544,97 tys.), GITD (licencje wspólnotowe 43 280 na 07.2026). Do pobrania: wartość Eurostat 2024 z datą. "76 tys. firm" i "200 tys. naczep MŚP" bez źródła.</t>
        </is>
      </c>
      <c r="D21" s="7" t="inlineStr">
        <is>
          <t>W TOKU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Trzech anotatorów Everest11 + konsensus ze specjalistą TSL; PRz tylko odbiera dataset (zakaz wzajemnego zlecania zadań personelowi, Instrukcja i Przewodnik). Zmiana względem Rejestru.</t>
        </is>
      </c>
      <c r="D22" s="12" t="inlineStr">
        <is>
          <t>DO POTWIERDZENIA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</t>
        </is>
      </c>
      <c r="C25" s="2" t="inlineStr">
        <is>
          <t>Usunięte z Z6: Trans.eu/TimoCom/e-CMR, produkcyjny dashboard, utrzymanie. Koszty bez zmian; ryzyko niedostatecznego uzasadnienia 9 mies. 7 stanowisk (wariant zapasowy: zmniejszenie IT Specialist/Backend).</t>
        </is>
      </c>
      <c r="D25" s="12" t="inlineStr">
        <is>
          <t>DO POTWIERDZENIA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Zakłada istnienie komitetu sterującego (K5-05).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  <row r="28">
      <c r="A28" s="2" t="inlineStr">
        <is>
          <t>D27</t>
        </is>
      </c>
      <c r="B28" s="2" t="inlineStr">
        <is>
          <t>Komitet sterujący jako organ go/no-go (skład: kierownik zarządzający, kierownik B+R, przedstawiciel PRz)</t>
        </is>
      </c>
      <c r="C28" s="2" t="inlineStr">
        <is>
          <t>W opisach KM-Z1..Z9 wskazano komitet sterujący (K5-05). Trzeba potwierdzić, że istnieje w umowie konsorcjum, albo wpisać go do umowy. Alternatywa: decyzja kierownika zarządzającego po opinii kierownika B+R.</t>
        </is>
      </c>
      <c r="D28" s="11" t="inlineStr">
        <is>
          <t>DO POTWIERDZENIA</t>
        </is>
      </c>
      <c r="E28" s="2" t="inlineStr">
        <is>
          <t>Właściciel</t>
        </is>
      </c>
      <c r="F28" s="2" t="inlineStr">
        <is>
          <t>K5-05, K3-21</t>
        </is>
      </c>
    </row>
    <row r="29">
      <c r="A29" s="2" t="inlineStr">
        <is>
          <t>D28</t>
        </is>
      </c>
      <c r="B29" s="2" t="inlineStr">
        <is>
          <t>Niezależna weryfikacja KM zadań PRz przez AI Lead Everest11 (przeliczenie metryk na zamrożonym zbiorze)</t>
        </is>
      </c>
      <c r="C29" s="2" t="inlineStr">
        <is>
          <t>Sposób zapewnienia niezależnego nadzoru nad zadaniami PRz, skoro obaj kierownicy są pracownikami PRz (K5-09). Wpisane w polu weryfikacji KM-Z1, Z3, Z4, Z5, Z7, Z8.</t>
        </is>
      </c>
      <c r="D29" s="11" t="inlineStr">
        <is>
          <t>DO POTWIERDZENIA</t>
        </is>
      </c>
      <c r="E29" s="2" t="inlineStr">
        <is>
          <t>Właściciel</t>
        </is>
      </c>
      <c r="F29" s="2" t="inlineStr">
        <is>
          <t>K5-09, K3-12</t>
        </is>
      </c>
    </row>
    <row r="30">
      <c r="A30" s="2" t="inlineStr">
        <is>
          <t>D29</t>
        </is>
      </c>
      <c r="B30" s="2" t="inlineStr">
        <is>
          <t>Podział etatów 6 stanowisk Everest11 między Z6, Z7 i Z9</t>
        </is>
      </c>
      <c r="C30" s="2" t="inlineStr">
        <is>
          <t>Obecnie budżet dzieli 12 mc na trzy równe części (K3-36, K3-37). Opisy podają zakres bez liczb. Potrzebny rzeczywisty podział miesięcy przy zachowaniu sumy kosztów (blok budżetowy).</t>
        </is>
      </c>
      <c r="D30" s="14" t="inlineStr">
        <is>
          <t>OTWARTA</t>
        </is>
      </c>
      <c r="E30" s="2" t="inlineStr">
        <is>
          <t>Claude + właściciel</t>
        </is>
      </c>
      <c r="F30" s="2" t="inlineStr">
        <is>
          <t>K3-36, K3-37</t>
        </is>
      </c>
    </row>
    <row r="31">
      <c r="A31" s="2" t="inlineStr">
        <is>
          <t>D30</t>
        </is>
      </c>
      <c r="B31" s="2" t="inlineStr">
        <is>
          <t>Dokumentacja AI Act, RODO i patentowa poza kosztami B+R w Z2, Z6, Z9; patent tylko w Z11</t>
        </is>
      </c>
      <c r="C31" s="2" t="inlineStr">
        <is>
          <t>Dostosować 6.1 (Kosterna: dokumentacja patentowa; Hajduk: ocena trafności alertów) do opisów zadań.</t>
        </is>
      </c>
      <c r="D31" s="11" t="inlineStr">
        <is>
          <t>DO POTWIERDZENIA</t>
        </is>
      </c>
      <c r="E31" s="2" t="inlineStr">
        <is>
          <t>Właściciel</t>
        </is>
      </c>
      <c r="F31" s="2" t="inlineStr">
        <is>
          <t>K3-38, K3-40, K3-11, K3-66</t>
        </is>
      </c>
    </row>
    <row r="32">
      <c r="A32" s="2" t="inlineStr">
        <is>
          <t>D31</t>
        </is>
      </c>
      <c r="B32" s="2" t="inlineStr">
        <is>
          <t>Nazwa zadania Z6: zostaje „Pipeline PoC + integracja TMS/eFTI/e-CMR (Z6)” czy zmiana na „Pipeline PoL/PoC i zgodność z eFTI (Z6)”</t>
        </is>
      </c>
      <c r="C32" s="2" t="inlineStr">
        <is>
          <t>Nazwa obejmuje integracje, które opis Z6 wyłącza z prac B+R. Rekomendacja: zmiana nazwy na „Pipeline PoL/PoC i zgodność z eFTI (Z6)”. Nazwa wpisywana jest raz w 3.1.1 i pobierana automatycznie przez pozycje kosztowe, więc zmiana jest jednorazowa (do sprawdzenia w LSI).</t>
        </is>
      </c>
      <c r="D32" s="11" t="inlineStr">
        <is>
          <t>DO POTWIERDZENIA</t>
        </is>
      </c>
      <c r="E32" s="2" t="inlineStr">
        <is>
          <t>Właściciel</t>
        </is>
      </c>
      <c r="F32" s="2" t="inlineStr">
        <is>
          <t>K3-08, N01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OTWARTE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OTWARTE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OTWARTE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</t>
        </is>
      </c>
      <c r="G1" s="3" t="inlineStr">
        <is>
          <t>W trakcie</t>
        </is>
      </c>
      <c r="H1" s="3" t="inlineStr">
        <is>
          <t>Do weryf.</t>
        </is>
      </c>
      <c r="I1" s="3" t="inlineStr">
        <is>
          <t>Zweryf. (wg Rejestru)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Tekst gotowy do kontroli: Poprawki_do_wklejenia_WP01-WP03.docx (K3-23/24 w WP09) Uwaga: ryzyka R1-R5, R9 trzeba po wersji 2 sprawdzić pod kątem spójności z progami no-go z kamieni.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7</v>
      </c>
      <c r="G5" s="4" t="n">
        <v>0</v>
      </c>
      <c r="H5" s="4" t="n">
        <v>0</v>
      </c>
      <c r="I5" s="4" t="n">
        <v>0</v>
      </c>
      <c r="J5" s="4" t="inlineStr">
        <is>
          <t>Tekst do wklejenia + podżądania (macierz pokrycia) - do wypełnienia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8</v>
      </c>
      <c r="G6" s="4" t="n">
        <v>0</v>
      </c>
      <c r="H6" s="4" t="n">
        <v>1</v>
      </c>
      <c r="I6" s="4" t="n">
        <v>0</v>
      </c>
      <c r="J6" s="4" t="inlineStr">
        <is>
          <t>Tekst do wklejenia + podżądania (macierz pokrycia) - do wypełnienia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11</v>
      </c>
      <c r="G7" s="4" t="n">
        <v>0</v>
      </c>
      <c r="H7" s="4" t="n">
        <v>9</v>
      </c>
      <c r="I7" s="4" t="n">
        <v>1</v>
      </c>
      <c r="J7" s="4" t="inlineStr">
        <is>
          <t>Tekst do wklejenia + podżądania (macierz pokrycia) - do wypełnienia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1</v>
      </c>
      <c r="G8" s="4" t="n">
        <v>0</v>
      </c>
      <c r="H8" s="4" t="n">
        <v>3</v>
      </c>
      <c r="I8" s="4" t="n">
        <v>2</v>
      </c>
      <c r="J8" s="4" t="inlineStr">
        <is>
          <t>Tekst do wklejenia + podżądania (macierz pokrycia) - do wypełnienia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Tekst do wklejenia + podżądania (macierz pokrycia) - do wypełnienia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Tekst do wklejenia + podżądania (macierz pokrycia) - do wypełnienia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11</v>
      </c>
      <c r="G11" s="4" t="n">
        <v>0</v>
      </c>
      <c r="H11" s="4" t="n">
        <v>0</v>
      </c>
      <c r="I11" s="4" t="n">
        <v>0</v>
      </c>
      <c r="J11" s="4" t="inlineStr">
        <is>
          <t>Tekst do wklejenia + podżądania (macierz pokrycia) - do wypełnienia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Tekst do wklejenia + podżądania (macierz pokrycia) - do wypełnienia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14</v>
      </c>
      <c r="G13" s="4" t="n">
        <v>0</v>
      </c>
      <c r="H13" s="4" t="n">
        <v>0</v>
      </c>
      <c r="I13" s="4" t="n">
        <v>0</v>
      </c>
      <c r="J13" s="4" t="inlineStr">
        <is>
          <t>Tekst do wklejenia + podżądania (macierz pokrycia) - do wypełnienia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OTWARTE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OTWARTE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5" customWidth="1" min="3" max="3"/>
    <col width="60" customWidth="1" min="4" max="4"/>
    <col width="22" customWidth="1" min="5" max="5"/>
    <col width="11" customWidth="1" min="6" max="6"/>
    <col width="11" customWidth="1" min="7" max="7"/>
  </cols>
  <sheetData>
    <row r="1">
      <c r="A1" s="15" t="inlineStr">
        <is>
          <t>Nr</t>
        </is>
      </c>
      <c r="B1" s="15" t="inlineStr">
        <is>
          <t>Miejsce we wniosku</t>
        </is>
      </c>
      <c r="C1" s="15" t="inlineStr">
        <is>
          <t>Obecny zapis</t>
        </is>
      </c>
      <c r="D1" s="15" t="inlineStr">
        <is>
          <t>Wymagana zmiana</t>
        </is>
      </c>
      <c r="E1" s="15" t="inlineStr">
        <is>
          <t>Źródło</t>
        </is>
      </c>
      <c r="F1" s="15" t="inlineStr">
        <is>
          <t>Priorytet</t>
        </is>
      </c>
      <c r="G1" s="15" t="inlineStr">
        <is>
          <t>Status</t>
        </is>
      </c>
    </row>
    <row r="2">
      <c r="A2" s="2" t="inlineStr">
        <is>
          <t>N01</t>
        </is>
      </c>
      <c r="B2" s="2" t="inlineStr">
        <is>
          <t>3.1.1 Nazwa zadania Z6 (i wszystkie pozycje kosztowe Z6 w 3.1.2)</t>
        </is>
      </c>
      <c r="C2" s="2" t="inlineStr">
        <is>
          <t>„Pipeline PoC + integracja TMS/eFTI/e-CMR (Z6)”: nazwa obejmuje integrację TMS i e-CMR, które opis Z6 wyłącza z prac B+R i kosztów.</t>
        </is>
      </c>
      <c r="D2" s="2" t="inlineStr">
        <is>
          <t>Zmienić nazwę, np. na „Pipeline PoL/PoC i zgodność z eFTI (Z6)”. Nazwę wpisuje się raz w 3.1.1, a pola przy pozycjach kosztowych pobierają ją automatycznie (Instrukcja, pole techniczne), więc zmiana jest jednorazowa. Do sprawdzenia w LSI. Alternatywa: zostawić nazwę, bo opis Z6 już wyłącza integracje standardowe. Wymaga decyzji właściciela.</t>
        </is>
      </c>
      <c r="E2" s="2" t="inlineStr">
        <is>
          <t>K3-08; D24</t>
        </is>
      </c>
      <c r="F2" s="14" t="inlineStr">
        <is>
          <t>WYSOKI</t>
        </is>
      </c>
      <c r="G2" s="2" t="inlineStr">
        <is>
          <t>OTWARTE</t>
        </is>
      </c>
    </row>
    <row r="3">
      <c r="A3" s="2" t="inlineStr">
        <is>
          <t>N02</t>
        </is>
      </c>
      <c r="B3" s="2" t="inlineStr">
        <is>
          <t>1.2 Wskaźnik innowacyjności nr 1 (model 3D): wartość docelowa, jednostka, metodologia</t>
        </is>
      </c>
      <c r="C3" s="2" t="inlineStr">
        <is>
          <t>„Błąd estymacji pozycji ≤30 cm”, jednostka [cm]/[Hz]; uzasadnienie, że błąd 30 cm pozwala wykryć przemieszczenie 100 mm.</t>
        </is>
      </c>
      <c r="D3" s="2" t="inlineStr">
        <is>
          <t>Jednostka [m]/[Hz]. Wartość: mediana nie więcej niż 0,30 m i percentyl 95 nie więcej niż 0,35 m. Poprawić uzasadnienie: wykrywanie przemieszczeń od 0,10 m opiera się na błędzie przemieszczenia względnego (mediana 0,03 m), a nie na błędzie pozycji bezwzględnej. Weryfikacja: Z5 (rig) i Z9 (1000 pomiarów).</t>
        </is>
      </c>
      <c r="E3" s="2" t="inlineStr">
        <is>
          <t>K3-16, K3-17, K3-13; KM-Z5, KM-Z9</t>
        </is>
      </c>
      <c r="F3" s="14" t="inlineStr">
        <is>
          <t>WYSOKI</t>
        </is>
      </c>
      <c r="G3" s="2" t="inlineStr">
        <is>
          <t>OTWARTE</t>
        </is>
      </c>
    </row>
    <row r="4">
      <c r="A4" s="2" t="inlineStr">
        <is>
          <t>N03</t>
        </is>
      </c>
      <c r="B4" s="2" t="inlineStr">
        <is>
          <t>1.2 Wskaźnik nr 2 (AUC-ROC): wartość bazowa i weryfikacja</t>
        </is>
      </c>
      <c r="C4" s="2" t="inlineStr">
        <is>
          <t>Baza AUC-ROC 0,50 (klasyfikator losowy); weryfikacja: „niezależna walidacja Everest11 na danych terenowych Z9”.</t>
        </is>
      </c>
      <c r="D4" s="2" t="inlineStr">
        <is>
          <t>Baza: wynik detektora progowego wg EN 12195-1 zmierzony na tym samym teście w Z4 (D16). Wartość docelowa 0,85 dotyczy modelu FP32 (KM-Z4); w Z9 model po kompresji nie mniej niż 0,82. Usunąć sformułowanie o niezależnej walidacji Everest11, zastąpić ścieżką audytu Z9.</t>
        </is>
      </c>
      <c r="E4" s="2" t="inlineStr">
        <is>
          <t>K1-03, K3-15, K3-19; D16, D22</t>
        </is>
      </c>
      <c r="F4" s="14" t="inlineStr">
        <is>
          <t>WYSOKI</t>
        </is>
      </c>
      <c r="G4" s="2" t="inlineStr">
        <is>
          <t>OTWARTE</t>
        </is>
      </c>
    </row>
    <row r="5">
      <c r="A5" s="2" t="inlineStr">
        <is>
          <t>N04</t>
        </is>
      </c>
      <c r="B5" s="2" t="inlineStr">
        <is>
          <t>1.2 Wskaźnik nr 3 (mAP)</t>
        </is>
      </c>
      <c r="C5" s="2" t="inlineStr">
        <is>
          <t>Wartość bazowa „N/D” w jednym miejscu i „0%” w innym; weryfikacja: „ocena eksperta TSL Everest11 jako ground truth”.</t>
        </is>
      </c>
      <c r="D5" s="2" t="inlineStr">
        <is>
          <t>Ujednolicić bazę jako „brak systemu, wartość 0”. Podać mAP 0,75 dla FP32 i 0,72 po kompresji (Z9). Ground truth: inspekcje z Z2 i procedura ślepa z Z9, bez wskazywania jednej osoby.</t>
        </is>
      </c>
      <c r="E5" s="2" t="inlineStr">
        <is>
          <t>K3-15, K3-19; D05, D22</t>
        </is>
      </c>
      <c r="F5" s="14" t="inlineStr">
        <is>
          <t>WYSOKI</t>
        </is>
      </c>
      <c r="G5" s="2" t="inlineStr">
        <is>
          <t>OTWARTE</t>
        </is>
      </c>
    </row>
    <row r="6">
      <c r="A6" s="2" t="inlineStr">
        <is>
          <t>N05</t>
        </is>
      </c>
      <c r="B6" s="2" t="inlineStr">
        <is>
          <t>1.2 Wskaźnik nr 4 (czas PoC i zgodność z eFTI)</t>
        </is>
      </c>
      <c r="C6" s="2" t="inlineStr">
        <is>
          <t>„Testy terenowe Z9 na min. 50 cyklach”; zgodność z polami eFTI ≥95% bez określenia mianownika.</t>
        </is>
      </c>
      <c r="D6" s="2" t="inlineStr">
        <is>
          <t>Z9: co najmniej 200 cykli. Doprecyzować: 95% wszystkich pól obligatoryjnych; zgodność treści PoL/PoC z ground truth co najmniej 90% do potwierdzenia (KM-Z6).</t>
        </is>
      </c>
      <c r="E6" s="2" t="inlineStr">
        <is>
          <t>K3-20; KM-Z6, KM-Z9</t>
        </is>
      </c>
      <c r="F6" s="2" t="inlineStr">
        <is>
          <t>ŚREDNI</t>
        </is>
      </c>
      <c r="G6" s="2" t="inlineStr">
        <is>
          <t>OTWARTE</t>
        </is>
      </c>
    </row>
    <row r="7">
      <c r="A7" s="2" t="inlineStr">
        <is>
          <t>N06</t>
        </is>
      </c>
      <c r="B7" s="2" t="inlineStr">
        <is>
          <t>1.2 Wskaźnik nr 5 (opóźnienie alertu): jednostka i baza</t>
        </is>
      </c>
      <c r="C7" s="2" t="inlineStr">
        <is>
          <t>Jednostka [ms], baza „≥300 000 ms”.</t>
        </is>
      </c>
      <c r="D7" s="2" t="inlineStr">
        <is>
          <t>Jednostka [s]: wartość docelowa 1 s (percentyl 95), baza 300 s. Dodać, że parametr jest mierzony po kompresji (Z7) i w terenie (Z9).</t>
        </is>
      </c>
      <c r="E7" s="2" t="inlineStr">
        <is>
          <t>Instrukcja (SI); K3-17; D18</t>
        </is>
      </c>
      <c r="F7" s="2" t="inlineStr">
        <is>
          <t>ŚREDNI</t>
        </is>
      </c>
      <c r="G7" s="2" t="inlineStr">
        <is>
          <t>OTWARTE</t>
        </is>
      </c>
    </row>
    <row r="8">
      <c r="A8" s="2" t="inlineStr">
        <is>
          <t>N07</t>
        </is>
      </c>
      <c r="B8" s="2" t="inlineStr">
        <is>
          <t>1.4 Wskaźnik dodatkowy: pokrycie pól eFTI</t>
        </is>
      </c>
      <c r="C8" s="2" t="inlineStr">
        <is>
          <t>„potwierdzone audytem podwykonawcy prawnego”, „audyt prawny podwykonawcy (Z6)”.</t>
        </is>
      </c>
      <c r="D8" s="2" t="inlineStr">
        <is>
          <t>Usunąć podwykonawcę prawnego (nie ma go w budżecie). Metoda: test zgodności z implementacją referencyjną KE i walidacja XSD wykonane przez zespół Everest11 (Z6).</t>
        </is>
      </c>
      <c r="E8" s="2" t="inlineStr">
        <is>
          <t>K3-08, K3-45; opis Z6</t>
        </is>
      </c>
      <c r="F8" s="14" t="inlineStr">
        <is>
          <t>WYSOKI</t>
        </is>
      </c>
      <c r="G8" s="2" t="inlineStr">
        <is>
          <t>OTWARTE</t>
        </is>
      </c>
    </row>
    <row r="9">
      <c r="A9" s="2" t="inlineStr">
        <is>
          <t>N08</t>
        </is>
      </c>
      <c r="B9" s="2" t="inlineStr">
        <is>
          <t>1.4 Wskaźnik dodatkowy: wykorzystanie kubatury (fill rate)</t>
        </is>
      </c>
      <c r="C9" s="2" t="inlineStr">
        <is>
          <t>Pomiar radarem mmWave na kursach floty w Z9; baza 65% (Eurostat 2024, źródło niezweryfikowane).</t>
        </is>
      </c>
      <c r="D9" s="2" t="inlineStr">
        <is>
          <t>Z9 zawiera teraz wskaźnik operacyjny (cel 80%), niebędący parametrem kamienia. Baza 65%: potwierdzić źródło (D20) albo przeformułować jako wartość mierzoną na tych samych pojazdach przed wdrożeniem.</t>
        </is>
      </c>
      <c r="E9" s="2" t="inlineStr">
        <is>
          <t>D20; opis Z9</t>
        </is>
      </c>
      <c r="F9" s="2" t="inlineStr">
        <is>
          <t>ŚREDNI</t>
        </is>
      </c>
      <c r="G9" s="2" t="inlineStr">
        <is>
          <t>OTWARTE</t>
        </is>
      </c>
    </row>
    <row r="10">
      <c r="A10" s="2" t="inlineStr">
        <is>
          <t>N09</t>
        </is>
      </c>
      <c r="B10" s="2" t="inlineStr">
        <is>
          <t>1.1 Cel projektu, 1.2 Innowacyjność, opis prac Z2 i Z5 (wiersze z „0,5 g”)</t>
        </is>
      </c>
      <c r="C10" s="2" t="inlineStr">
        <is>
          <t>„amplitudy do 0,5 g”.</t>
        </is>
      </c>
      <c r="D10" s="2" t="inlineStr">
        <is>
          <t>Zapis w SI: „do 4,9 m/s2 (0,5 g)”, spójnie z KM-Z2, KM-Z5 i opisami zadań.</t>
        </is>
      </c>
      <c r="E10" s="2" t="inlineStr">
        <is>
          <t>D18</t>
        </is>
      </c>
      <c r="F10" s="2" t="inlineStr">
        <is>
          <t>NISKI</t>
        </is>
      </c>
      <c r="G10" s="2" t="inlineStr">
        <is>
          <t>OTWARTE</t>
        </is>
      </c>
    </row>
    <row r="11">
      <c r="A11" s="2" t="inlineStr">
        <is>
          <t>N10</t>
        </is>
      </c>
      <c r="B11" s="2" t="inlineStr">
        <is>
          <t>3.1.1 Opisy zadań Z1-Z9 i kamienie milowe (pola zakresu, szczegółowego opisu, KM)</t>
        </is>
      </c>
      <c r="C11" s="2" t="inlineStr">
        <is>
          <t>Obecne teksty.</t>
        </is>
      </c>
      <c r="D11" s="2" t="inlineStr">
        <is>
          <t>Zastąpić tekstami z części pierwszej tego dokumentu.</t>
        </is>
      </c>
      <c r="E11" s="2" t="inlineStr">
        <is>
          <t>K3-01 do K3-22</t>
        </is>
      </c>
      <c r="F11" s="14" t="inlineStr">
        <is>
          <t>WYSOKI</t>
        </is>
      </c>
      <c r="G11" s="2" t="inlineStr">
        <is>
          <t>OTWARTE</t>
        </is>
      </c>
    </row>
    <row r="12">
      <c r="A12" s="2" t="inlineStr">
        <is>
          <t>N11</t>
        </is>
      </c>
      <c r="B12" s="2" t="inlineStr">
        <is>
          <t>3.1.2 Uzasadnienie kosztu: AI Senior Engineer Z2</t>
        </is>
      </c>
      <c r="C12" s="2" t="inlineStr">
        <is>
          <t>„Opracuje specyfikację anotacji Instance Segmentation COCO dla podwykonawcy”.</t>
        </is>
      </c>
      <c r="D12" s="2" t="inlineStr">
        <is>
          <t>„dla anotatorów Everest11”. Anotacja jest realizowana przez personel Lidera.</t>
        </is>
      </c>
      <c r="E12" s="2" t="inlineStr">
        <is>
          <t>K3-10, K3-39; D21</t>
        </is>
      </c>
      <c r="F12" s="14" t="inlineStr">
        <is>
          <t>WYSOKI</t>
        </is>
      </c>
      <c r="G12" s="2" t="inlineStr">
        <is>
          <t>OTWARTE</t>
        </is>
      </c>
    </row>
    <row r="13">
      <c r="A13" s="2" t="inlineStr">
        <is>
          <t>N12</t>
        </is>
      </c>
      <c r="B13" s="2" t="inlineStr">
        <is>
          <t>3.1.2 Uzasadnienie kosztu: Anotatorzy Z2</t>
        </is>
      </c>
      <c r="C13" s="2" t="inlineStr">
        <is>
          <t>Zakres i nakład „wg wolumenu”.</t>
        </is>
      </c>
      <c r="D13" s="2" t="inlineStr">
        <is>
          <t>3 osoby, 1,0 etatu, 10 miesięcy M9-M18, zakres jak w opisie Z2 (anotacja, zgłaszanie przypadków niejednoznacznych, udział w pomiarze zgodności). Zgodnie z nakładem 3200-3600 godzin w budżecie porównać z 3 x 10 x 168 godzin.</t>
        </is>
      </c>
      <c r="E13" s="2" t="inlineStr">
        <is>
          <t>K3-39, K5-03</t>
        </is>
      </c>
      <c r="F13" s="14" t="inlineStr">
        <is>
          <t>WYSOKI</t>
        </is>
      </c>
      <c r="G13" s="2" t="inlineStr">
        <is>
          <t>OTWARTE</t>
        </is>
      </c>
    </row>
    <row r="14">
      <c r="A14" s="2" t="inlineStr">
        <is>
          <t>N13</t>
        </is>
      </c>
      <c r="B14" s="2" t="inlineStr">
        <is>
          <t>3.1.2 Uzasadnienie kosztu: Cybersecurity / AI Act Specialist Z9 (wiersz „przegląd prior art i analizę freedom-to-operate”, aktualizacja dokumentacji AI Act)</t>
        </is>
      </c>
      <c r="C14" s="2" t="inlineStr">
        <is>
          <t>Aktualizacja dokumentacji AI Act, integralność PoC, materiały do zgłoszenia EPO, prior art, FTO.</t>
        </is>
      </c>
      <c r="D14" s="2" t="inlineStr">
        <is>
          <t>Zostawić testy bezpieczeństwa prototypu w terenie i uruchamianie zamrożonego skryptu ewaluacyjnego (niezależny ewaluator). Usunąć AI Act, EPO, prior art, FTO (są w Z11 i poza B+R).</t>
        </is>
      </c>
      <c r="E14" s="2" t="inlineStr">
        <is>
          <t>K3-40, K3-66; D05</t>
        </is>
      </c>
      <c r="F14" s="14" t="inlineStr">
        <is>
          <t>WYSOKI</t>
        </is>
      </c>
      <c r="G14" s="2" t="inlineStr">
        <is>
          <t>OTWARTE</t>
        </is>
      </c>
    </row>
    <row r="15">
      <c r="A15" s="2" t="inlineStr">
        <is>
          <t>N14</t>
        </is>
      </c>
      <c r="B15" s="2" t="inlineStr">
        <is>
          <t>3.1.2 Uzasadnienia kosztu: Cybersecurity Z2 i Z6</t>
        </is>
      </c>
      <c r="C15" s="2" t="inlineStr">
        <is>
          <t>Klasyfikacja ryzyka AI Act, karta oceny ryzyka, polityka RODO.</t>
        </is>
      </c>
      <c r="D15" s="2" t="inlineStr">
        <is>
          <t>Zostawić prace techniczne (szyfrowanie, klucze, pseudonimizacja, podpis, integralność). Usunąć dokumentację AI Act i politykę RODO z kosztów B+R (czynność przedwdrożeniowa).</t>
        </is>
      </c>
      <c r="E15" s="2" t="inlineStr">
        <is>
          <t>K3-38; 6.1 Maziarz</t>
        </is>
      </c>
      <c r="F15" s="14" t="inlineStr">
        <is>
          <t>WYSOKI</t>
        </is>
      </c>
      <c r="G15" s="2" t="inlineStr">
        <is>
          <t>OTWARTE</t>
        </is>
      </c>
    </row>
    <row r="16">
      <c r="A16" s="2" t="inlineStr">
        <is>
          <t>N15</t>
        </is>
      </c>
      <c r="B16" s="2" t="inlineStr">
        <is>
          <t>3.1.2 Uzasadnienia kosztu: IT Specialist Z6 i Backend/Full-Stack Z6</t>
        </is>
      </c>
      <c r="C16" s="2" t="inlineStr">
        <is>
          <t>Trans.eu, TimoCom, e-CMR, „rozwój i utrzymanie” API, „w całości siłami własnymi Lidera”.</t>
        </is>
      </c>
      <c r="D16" s="2" t="inlineStr">
        <is>
          <t>Zastąpić zakresem z opisu Z6: pipeline i generator eFTI (IT), strumieniowy potok, kolejkowanie i test zgodności eFTI (Backend). Usunąć utrzymanie i integracje standardowe.</t>
        </is>
      </c>
      <c r="E16" s="2" t="inlineStr">
        <is>
          <t>K3-08, K3-38; D24</t>
        </is>
      </c>
      <c r="F16" s="14" t="inlineStr">
        <is>
          <t>WYSOKI</t>
        </is>
      </c>
      <c r="G16" s="2" t="inlineStr">
        <is>
          <t>OTWARTE</t>
        </is>
      </c>
    </row>
    <row r="17">
      <c r="A17" s="2" t="inlineStr">
        <is>
          <t>N16</t>
        </is>
      </c>
      <c r="B17" s="2" t="inlineStr">
        <is>
          <t>3.1.2 Pozycje kosztowe Backend/Full-Stack: Z6 i Z9</t>
        </is>
      </c>
      <c r="C17" s="2" t="inlineStr">
        <is>
          <t>Jedna pozycja Z6 na 12 mc, 260 280 zł.</t>
        </is>
      </c>
      <c r="D17" s="2" t="inlineStr">
        <is>
          <t>Dwie pozycje: Z6 9 mc (195 210 zł) i Z9 3 mc (65 070 zł), suma bez zmian; opis Z9 w zakresie walidacji PoC i zgodności eFTI w terenie.</t>
        </is>
      </c>
      <c r="E17" s="2" t="inlineStr">
        <is>
          <t>K3-36, K3-37; D07</t>
        </is>
      </c>
      <c r="F17" s="14" t="inlineStr">
        <is>
          <t>WYSOKI</t>
        </is>
      </c>
      <c r="G17" s="2" t="inlineStr">
        <is>
          <t>OTWARTE</t>
        </is>
      </c>
    </row>
    <row r="18">
      <c r="A18" s="2" t="inlineStr">
        <is>
          <t>N17</t>
        </is>
      </c>
      <c r="B18" s="2" t="inlineStr">
        <is>
          <t>3.1.2 IT Specialist Z9</t>
        </is>
      </c>
      <c r="C18" s="2" t="inlineStr">
        <is>
          <t>„hotfixy”, utrzymanie środowiska integracyjnego.</t>
        </is>
      </c>
      <c r="D18" s="2" t="inlineStr">
        <is>
          <t>Rejestracja i analiza danych KPI; poprawki tylko w oknie korekt w M30. Bez bieżącego utrzymania.</t>
        </is>
      </c>
      <c r="E18" s="2" t="inlineStr">
        <is>
          <t>K3-38; opis Z9</t>
        </is>
      </c>
      <c r="F18" s="2" t="inlineStr">
        <is>
          <t>ŚREDNI</t>
        </is>
      </c>
      <c r="G18" s="2" t="inlineStr">
        <is>
          <t>OTWARTE</t>
        </is>
      </c>
    </row>
    <row r="19">
      <c r="A19" s="2" t="inlineStr">
        <is>
          <t>N18</t>
        </is>
      </c>
      <c r="B19" s="2" t="inlineStr">
        <is>
          <t>3.1.2 Sześć stanowisk Everest11 w Z6, Z7, Z9: metoda szacowania</t>
        </is>
      </c>
      <c r="C19" s="2" t="inlineStr">
        <is>
          <t>„12 mc fazy PR podzielone przez 3”.</t>
        </is>
      </c>
      <c r="D19" s="2" t="inlineStr">
        <is>
          <t>Rzeczywisty podział miesięcy lub godzin między zadania, przy zachowaniu sumy i etatu w każdym miesiącu (propozycja w bloku budżetowym).</t>
        </is>
      </c>
      <c r="E19" s="2" t="inlineStr">
        <is>
          <t>K3-36, K3-37; D29</t>
        </is>
      </c>
      <c r="F19" s="14" t="inlineStr">
        <is>
          <t>WYSOKI</t>
        </is>
      </c>
      <c r="G19" s="2" t="inlineStr">
        <is>
          <t>OTWARTE</t>
        </is>
      </c>
    </row>
    <row r="20">
      <c r="A20" s="2" t="inlineStr">
        <is>
          <t>N19</t>
        </is>
      </c>
      <c r="B20" s="2" t="inlineStr">
        <is>
          <t>6.1 Jakub Kosterna (AI Lead): zakres obowiązków</t>
        </is>
      </c>
      <c r="C20" s="2" t="inlineStr">
        <is>
          <t>Przygotowanie dokumentacji technicznej do zgłoszenia patentowego.</t>
        </is>
      </c>
      <c r="D20" s="2" t="inlineStr">
        <is>
          <t>Usunąć lub opisać jako dostarczenie danych technicznych do rzecznika w Z11, poza kosztami Z9.</t>
        </is>
      </c>
      <c r="E20" s="2" t="inlineStr">
        <is>
          <t>K3-40, K3-66; D30</t>
        </is>
      </c>
      <c r="F20" s="2" t="inlineStr">
        <is>
          <t>ŚREDNI</t>
        </is>
      </c>
      <c r="G20" s="2" t="inlineStr">
        <is>
          <t>OTWARTE</t>
        </is>
      </c>
    </row>
    <row r="21">
      <c r="A21" s="2" t="inlineStr">
        <is>
          <t>N20</t>
        </is>
      </c>
      <c r="B21" s="2" t="inlineStr">
        <is>
          <t>6.1 Michał Hajduk (specjalista TSL): zakres obowiązków</t>
        </is>
      </c>
      <c r="C21" s="2" t="inlineStr">
        <is>
          <t>Badanie akceptacji UX i ocena trafności alertów z perspektywy operacyjnej.</t>
        </is>
      </c>
      <c r="D21" s="2" t="inlineStr">
        <is>
          <t>Ground truth i scenariusze operacyjne; ocena trafności alertów skryptem, bez udziału pracownika odbiorcy wdrożenia; UX prowadzi AI Senior Engineer. Dodać deklarację poufności wobec podmiotów powiązanych (MJA Partners, Natanek Logistics).</t>
        </is>
      </c>
      <c r="E21" s="2" t="inlineStr">
        <is>
          <t>K3-11, K5-07; D05</t>
        </is>
      </c>
      <c r="F21" s="14" t="inlineStr">
        <is>
          <t>WYSOKI</t>
        </is>
      </c>
      <c r="G21" s="2" t="inlineStr">
        <is>
          <t>OTWARTE</t>
        </is>
      </c>
    </row>
    <row r="22">
      <c r="A22" s="2" t="inlineStr">
        <is>
          <t>N21</t>
        </is>
      </c>
      <c r="B22" s="2" t="inlineStr">
        <is>
          <t>6.1 Personel planowany: Anotatorzy, Backend/Full-Stack</t>
        </is>
      </c>
      <c r="C22" s="2" t="inlineStr">
        <is>
          <t>Anotatorzy: M1-M18, „wymiar wg wolumenu”. Backend: Z2 (M13-M18) i Z6 (M19-M30), 18 mc.</t>
        </is>
      </c>
      <c r="D22" s="2" t="inlineStr">
        <is>
          <t>Anotatorzy: 3 osoby, 1,0 etatu, 10 mc [M9-M18]. Backend: Z2 6 mc, Z6 9 mc, Z9 3 mc, razem 18 mc.</t>
        </is>
      </c>
      <c r="E22" s="2" t="inlineStr">
        <is>
          <t>K5-03, K5-10, K5-11; D07</t>
        </is>
      </c>
      <c r="F22" s="14" t="inlineStr">
        <is>
          <t>WYSOKI</t>
        </is>
      </c>
      <c r="G22" s="2" t="inlineStr">
        <is>
          <t>OTWARTE</t>
        </is>
      </c>
    </row>
    <row r="23">
      <c r="A23" s="2" t="inlineStr">
        <is>
          <t>N22</t>
        </is>
      </c>
      <c r="B23" s="2" t="inlineStr">
        <is>
          <t>6.1 Sposób zarządzania projektem (ścieżka decyzyjna)</t>
        </is>
      </c>
      <c r="C23" s="2" t="inlineStr">
        <is>
          <t>Brak komitetu sterującego i niezależnego nadzoru nad zadaniami PRz.</t>
        </is>
      </c>
      <c r="D23" s="2" t="inlineStr">
        <is>
          <t>Dopisać skład i rolę komitetu (kierownik zarządzający, kierownik B+R, przedstawiciel PRz), osobę weryfikującą i odbierającą każdy KM oraz niezależne przeliczenie metryk przez AI Lead Everest11.</t>
        </is>
      </c>
      <c r="E23" s="2" t="inlineStr">
        <is>
          <t>K5-05, K5-09; D27, D28</t>
        </is>
      </c>
      <c r="F23" s="14" t="inlineStr">
        <is>
          <t>WYSOKI</t>
        </is>
      </c>
      <c r="G23" s="2" t="inlineStr">
        <is>
          <t>OTWARTE</t>
        </is>
      </c>
    </row>
    <row r="24">
      <c r="A24" s="2" t="inlineStr">
        <is>
          <t>N23</t>
        </is>
      </c>
      <c r="B24" s="2" t="inlineStr">
        <is>
          <t>6.2 Zasoby techniczne Everest11 (przeznaczenie)</t>
        </is>
      </c>
      <c r="C24" s="2" t="inlineStr">
        <is>
          <t>„koordynacja prac konsorcjum, zarządzanie projektem, integracja systemowa (API TMS, eFTI, e-CMR)”, „walidacja KPI w ruchu komercyjnym”.</t>
        </is>
      </c>
      <c r="D24" s="2" t="inlineStr">
        <is>
          <t>Opisać zasoby (stanowiska, serwery, repozytoria) bez funkcji koordynacyjnych w pracach B+R. „W ruchu komercyjnym” zamienić na „w eksploatacji na flocie testowej”. Dopisać parametry komputerów, serwerów i chmury (uwaga 14).</t>
        </is>
      </c>
      <c r="E24" s="2" t="inlineStr">
        <is>
          <t>K3-38, K5-14</t>
        </is>
      </c>
      <c r="F24" s="2" t="inlineStr">
        <is>
          <t>ŚREDNI</t>
        </is>
      </c>
      <c r="G24" s="2" t="inlineStr">
        <is>
          <t>OTWARTE</t>
        </is>
      </c>
    </row>
    <row r="25">
      <c r="A25" s="2" t="inlineStr">
        <is>
          <t>N24</t>
        </is>
      </c>
      <c r="B25" s="2" t="inlineStr">
        <is>
          <t>5. Analiza ryzyka R3 (opis zapobiegania) i R8 (podwykonawstwo)</t>
        </is>
      </c>
      <c r="C25" s="2" t="inlineStr">
        <is>
          <t>R3: „z udziałem podwykonawcy anotacji”. R8: podwykonawstwo obejmuje anotację datasetu.</t>
        </is>
      </c>
      <c r="D25" s="2" t="inlineStr">
        <is>
          <t>Usunąć anotację z listy podwykonawstwa. R8: montaż (Z2, Z9) i rzecznik patentowy (Z11). Zastąpić R1-R5, R9 i dodać R10-R12 tekstami z części drugiej.</t>
        </is>
      </c>
      <c r="E25" s="2" t="inlineStr">
        <is>
          <t>K3-10, K3-46, K3-25 do K3-32</t>
        </is>
      </c>
      <c r="F25" s="14" t="inlineStr">
        <is>
          <t>WYSOKI</t>
        </is>
      </c>
      <c r="G25" s="2" t="inlineStr">
        <is>
          <t>OTWARTE</t>
        </is>
      </c>
    </row>
    <row r="26">
      <c r="A26" s="2" t="inlineStr">
        <is>
          <t>N25</t>
        </is>
      </c>
      <c r="B26" s="2" t="inlineStr">
        <is>
          <t>3.1.1 Z9 (stary tekst): odbiór i niezależna walidacja</t>
        </is>
      </c>
      <c r="C26" s="2" t="inlineStr">
        <is>
          <t>Protokół podpisuje kierownik B+R i kluczowy personel PRz; „niezależna walidacja PRz na ≥180 kursach”.</t>
        </is>
      </c>
      <c r="D26" s="2" t="inlineStr">
        <is>
          <t>Zastąpione ścieżką audytu z nowego tekstu (PRz tylko odbiór metodyczny w Z8). Sprawdzić, czy zdanie nie zostało także w sekcjach 1.2 i 2.x.</t>
        </is>
      </c>
      <c r="E26" s="2" t="inlineStr">
        <is>
          <t>K3-11, K3-12; D25</t>
        </is>
      </c>
      <c r="F26" s="14" t="inlineStr">
        <is>
          <t>WYSOKI</t>
        </is>
      </c>
      <c r="G26" s="2" t="inlineStr">
        <is>
          <t>OTWARTE</t>
        </is>
      </c>
    </row>
    <row r="27">
      <c r="A27" s="2" t="inlineStr">
        <is>
          <t>N26</t>
        </is>
      </c>
      <c r="B27" s="2" t="inlineStr">
        <is>
          <t>6.4 Podwykonawcy oraz pozycje podwykonawstwa Z2 (150 000 zł) i Z9 (70 000 zł)</t>
        </is>
      </c>
      <c r="C27" s="2" t="inlineStr">
        <is>
          <t>Brak kalkulacji i liczby ofert; wymagania dla niewybranego podwykonawcy.</t>
        </is>
      </c>
      <c r="D27" s="2" t="inlineStr">
        <is>
          <t>Uzupełnić: zakres (tylko montaż, instalacja, demontaż), liczba pojazdów, pracochłonność lub ryczałt, oferty, wybór kwoty; rozdzielenie Z2 i Z9. Wymagania minimalne wykonawcy.</t>
        </is>
      </c>
      <c r="E27" s="2" t="inlineStr">
        <is>
          <t>K3-43 do K3-46; D08</t>
        </is>
      </c>
      <c r="F27" s="14" t="inlineStr">
        <is>
          <t>WYSOKI</t>
        </is>
      </c>
      <c r="G27" s="2" t="inlineStr">
        <is>
          <t>OTWARTE</t>
        </is>
      </c>
    </row>
    <row r="28">
      <c r="A28" s="2" t="inlineStr">
        <is>
          <t>N27</t>
        </is>
      </c>
      <c r="B28" s="2" t="inlineStr">
        <is>
          <t>Model finansowy (Założenia, Rozliczenie dotacji)</t>
        </is>
      </c>
      <c r="C28" s="2" t="inlineStr">
        <is>
          <t>Komentarz „18 miesięcy” w Założeniach; liczby godzin i etatów jak w starej wersji budżetu.</t>
        </is>
      </c>
      <c r="D28" s="2" t="inlineStr">
        <is>
          <t>Poprawić na 30 miesięcy oraz uspójnić z nowym podziałem Backend Z6/Z9 (N16) i z podziałem N18.</t>
        </is>
      </c>
      <c r="E28" s="2" t="inlineStr">
        <is>
          <t>K3-36; uwaga ogólna o spójności</t>
        </is>
      </c>
      <c r="F28" s="2" t="inlineStr">
        <is>
          <t>ŚREDNI</t>
        </is>
      </c>
      <c r="G28" s="2" t="inlineStr">
        <is>
          <t>OTWARTE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2026-10-01T20:37:14Z</dcterms:modified>
</cp:coreProperties>
</file>