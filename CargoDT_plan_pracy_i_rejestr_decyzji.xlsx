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50" customWidth="1" min="1" max="1"/>
  </cols>
  <sheetData>
    <row r="1">
      <c r="A1" s="1" t="inlineStr">
        <is>
          <t>CargoDT - plan pracy i rejestr decyzji (stan: 05.10.2026,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row r="14">
      <c r="A14" t="inlineStr">
        <is>
          <t>Styl tekstów do wklejenia</t>
        </is>
      </c>
      <c r="B14" t="inlineStr">
        <is>
          <t>Czas przyszły dla działań projektu; akapity zaczynamy pełnym zdaniem, nie jednowyrazową etykietą ("Oprogramowanie.", "Tak.", "Zakres."). Ustalenie właścicielki, 02.10.2026.</t>
        </is>
      </c>
    </row>
    <row r="15">
      <c r="A15" t="inlineStr">
        <is>
          <t>Min. 3 dostawców w metodzie szacowania</t>
        </is>
      </c>
      <c r="B15" t="inlineStr">
        <is>
          <t>Każdy koszt ma w metodzie co najmniej trzech dostawców lub źródeł cen z nazwy, a jeśli usługa ma jednego dostawcę z natury (organizator kongresu, opłaty urzędowe EPO), napisano to wprost. Ustalenie właścicielki, 02.10.2026.</t>
        </is>
      </c>
    </row>
    <row r="16">
      <c r="A16" t="inlineStr">
        <is>
          <t>Pliki zamknięte (D50)</t>
        </is>
      </c>
      <c r="B16" t="inlineStr">
        <is>
          <t>Korygujemy wyłącznie: Model_finansowy_CargoDT_Everest_II_kwartal_2026.xlsm, Sekcja_K6_sprawozdanie_2Q2026_model.docx i ten rejestr. Pliki Sekcja_1.3_i_ceny.docx, Poprawki_do_wklejenia_WP01-WP03.docx i Opisy_zadan_z_kamieniami_milowymi.docx są zamknięte: zmiany w nich opisuje wyłącznie Zmiany_do_wprowadzenia_w_plikach_zamknietych.docx.</t>
        </is>
      </c>
    </row>
    <row r="17">
      <c r="A17" t="inlineStr">
        <is>
          <t>Błędy własne</t>
        </is>
      </c>
      <c r="B17" t="inlineStr">
        <is>
          <t>Każdy błąd Claude znaleziony w trakcie pracy trafia do arkusza 8 z opisem korekty (np. E22 do E28).</t>
        </is>
      </c>
    </row>
    <row r="18">
      <c r="A18" t="inlineStr">
        <is>
          <t>Komentarze w modelu</t>
        </is>
      </c>
      <c r="B18" t="inlineStr">
        <is>
          <t>Pole Komentarz w arkuszach modelu ma limit 10 000 znaków (Instrukcja modelu). Liczby w komentarzach muszą zgadzać się z przeliczonym modelem; po każdej zmianie danych przeliczamy model kontrolnie.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 | 05.10: koszt 4 875 zł zostaje; propozycja podstawy kwoty (9 komponentów) i zespół komercjalizacji w dokumencie K6, część 8 (D53).</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ZAMKNIĘTE (06.10.2026): źródła są w pliku CargoDT_LSI_do_wklejenia.docx: Eurostat road_eqs_semit 2023 (544,97 tys. naczep), GITD (43 280 licencji, 07.2026), PZPM (72%), Frost &amp; Sullivan (86%), TLP/SpotData (76 tys. firm), GUS (12 tys. spedytorów). SAM 200 tys. ma wyliczenie (ok. 337 tys. naczep, przyjęto 200 tys.). Zostaje do poprawy zdanie o CEE (N91).</t>
        </is>
      </c>
      <c r="D21" s="7" t="inlineStr">
        <is>
          <t>ZAMKNIĘTE</t>
        </is>
      </c>
      <c r="E21" s="4" t="inlineStr">
        <is>
          <t>Claude + właściciel</t>
        </is>
      </c>
      <c r="F21" s="4" t="inlineStr">
        <is>
          <t>K2-05, K2-11, K1-05</t>
        </is>
      </c>
    </row>
    <row r="22">
      <c r="A22" s="2" t="inlineStr">
        <is>
          <t>D21</t>
        </is>
      </c>
      <c r="B22" s="2" t="inlineStr">
        <is>
          <t>K3-05: drugi anotator próby κ</t>
        </is>
      </c>
      <c r="C22" s="2" t="inlineStr">
        <is>
          <t>ZASTĄPIONA (06.10.2026): rozbieżności między anotatorami rozstrzyga AI Senior Engineer (autor specyfikacji anotacji) według binarnych kryteriów taksonomii z Z3; specjalista TSL dostarcza tylko protokoły inspekcji (zgodnie z plikiem LSI i uwagą K3-11). Wcześniejsza wersja: konsensus ze specjalistą TSL. Trzech anotatorów Everest11; PRz tylko odbiera dataset (zakaz wzajemnego zlecania zadań, Instrukcja i Przewodnik).</t>
        </is>
      </c>
      <c r="D22" s="12" t="inlineStr">
        <is>
          <t>ZASTĄPIONA (do potwierdzenia przez właścicielkę)</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bez zmiany sumy i dofinansowania</t>
        </is>
      </c>
      <c r="C42" s="2" t="inlineStr">
        <is>
          <t>Suma kwalifikowalna 86 871,00 zł i dofinansowanie 43 435,50 zł bez zmian względem poprzedniej wersji (ogółem 101 273,37 zł zamiast 104 075,78 zł wyłącznie z powodu poprawy VAT: stawki podróży netto=brutto, tłumaczenia z VAT). TRANSLOG 23 919 zł wg cennika historycznego: powierzchnia 9 m² (285 EUR/m²) + opłata podstawowa 350 EUR = 13 735 zł (de minimis 5.3.8); energia 130 EUR, zabudowa 199 EUR/m², meble 240 EUR = 10 184 zł (art. 19, 5.3.2); kurs NBP 4,2836, waloryzacja ok. 10%. Doradztwo 14 dni x 8 h x 125 zł = 14 000 zł; rzecznik 8 000 zł (de minimis) + 15 500 zł (dokumentacja, zgłoszenie, tłumaczenia, art. 28); EPO 7 785 zł; element dekoracyjny stoiska 1 200 zł; podróże 3 x 5 489 zł. Zatwierdzona 02.10.2026.</t>
        </is>
      </c>
      <c r="D42" s="16" t="inlineStr">
        <is>
          <t>ZATWIERDZONA</t>
        </is>
      </c>
      <c r="E42" s="2" t="inlineStr">
        <is>
          <t>Właścicielka</t>
        </is>
      </c>
      <c r="F42" s="2" t="inlineStr">
        <is>
          <t>K3-24, K3-59..66</t>
        </is>
      </c>
    </row>
    <row r="43">
      <c r="A43" s="2" t="inlineStr">
        <is>
          <t>D42</t>
        </is>
      </c>
      <c r="B43" s="2" t="inlineStr">
        <is>
          <t>Amortyzacja: przesunięcia cen przy niezmienionej sumie (Everest11 57 100 zł, PRz 147 700 zł)</t>
        </is>
      </c>
      <c r="C43" s="2" t="inlineStr">
        <is>
          <t>PRz Z1: ToF typ 2 zestaw 10 000 zł, EO typ 2 4 500 zł, radar typ 2 3 500 zł (K3-50). Everest11 Z2: kamera ToF Orbbec Femto Bolt 2 100 zł + akcesoria 400 zł (zamiast OAK-D Pro W, active stereo); platforma edge AI: jednostka 1 400 zł, dysk 400 zł, router 1 200 zł za komplet 3 000 zł (zamiast 500/1 000/1 500). Odpis jednorazowy, likwidacja po M30 (D01).</t>
        </is>
      </c>
      <c r="D43" s="16" t="inlineStr">
        <is>
          <t>DO POTWIERDZENIA</t>
        </is>
      </c>
      <c r="E43" s="2" t="inlineStr">
        <is>
          <t>Właścicielka, dział techniczny</t>
        </is>
      </c>
      <c r="F43" s="2" t="inlineStr">
        <is>
          <t>K3-48..58</t>
        </is>
      </c>
    </row>
    <row r="44">
      <c r="A44" s="2" t="inlineStr">
        <is>
          <t>D43</t>
        </is>
      </c>
      <c r="B44" s="2" t="inlineStr">
        <is>
          <t>PRz Z8: godziny obniżone do stawek z Z1-Z5, budżet bez zmian</t>
        </is>
      </c>
      <c r="C44" s="2" t="inlineStr">
        <is>
          <t>Decyzja właścicielki: stawki godzinowe w Z8 mają być takie same jak w Z1, Z3, Z4, Z5 (x1,08 względem dotychczasowych liczb w Z8), a godziny są obniżone (np. główny specjalista 301 zamiast 325). Godziny Z8: 301, 301, 111, 102, 224, 185, 189, 185; suma Z8 113 076,00 zł (było 113 084,00); suma pozycji osobowych PRz 679 464,72 zł (było 679 472,72). Z1, Z3, Z4, Z5 bez zmian (zgodne z plikiem PRz).</t>
        </is>
      </c>
      <c r="D44" s="16" t="inlineStr">
        <is>
          <t>ZATWIERDZONA (właścicielka)</t>
        </is>
      </c>
      <c r="E44" s="2" t="inlineStr">
        <is>
          <t>Właścicielka, PRz</t>
        </is>
      </c>
      <c r="F44" s="2" t="inlineStr">
        <is>
          <t>K3-41, K3-42</t>
        </is>
      </c>
    </row>
    <row r="45">
      <c r="A45" s="2" t="inlineStr">
        <is>
          <t>D44</t>
        </is>
      </c>
      <c r="B45" s="2" t="inlineStr">
        <is>
          <t>Podwykonawstwo Z2/Z9: średnia z 3 ofert, rozdział zakresu, R8</t>
        </is>
      </c>
      <c r="C45" s="2" t="inlineStr">
        <is>
          <t>Z2 150 000 zł: montaż toru (M7-M8) i demontaż po kampanii (M18), 600 godz. x 250 zł (50 000 zł za pojazd). Z9 70 000 zł: montaż zestawów prototypowych (M22) i demontaż (M30), ok. 280 godz. x 250 zł (ok. 23 333 zł za pojazd). Kwoty to średnia 3 ofert (Cadway-Automotive, RLE VESOFTX, BEISSBARTH EQUIPMENT); rozkład godzin to kalkulacja Everest11 dobrana do ofert. Stawka 250 zł/h w zakresie 200-300 zł (kb.pl, Interia, cenauslug.pl; do sprawdzenia w przeglądarce). Wybór wykonawcy z zachowaniem zasady konkurencyjności. Nazwa Z9 wg N29. R8 przepisane. WERSJA OSTATECZNA: plik Sekcja_3.1_podwykonawstwo_i_stawki_PRz.docx z poprawkami właścicielki (usunięto zdanie „Podwykonawca nie wykona prac badawczych”, atrybucję godzin do IoT Specialist i odwołanie do pkt 6.4 w wyborze wykonawcy).</t>
        </is>
      </c>
      <c r="D45" s="16" t="inlineStr">
        <is>
          <t>ZATWIERDZONA (D08), szczegóły do potwierdzenia T37</t>
        </is>
      </c>
      <c r="E45" s="2" t="inlineStr">
        <is>
          <t>Właścicielka</t>
        </is>
      </c>
      <c r="F45" s="2" t="inlineStr">
        <is>
          <t>K3-43..47, K5-19</t>
        </is>
      </c>
    </row>
    <row r="46">
      <c r="A46" s="2" t="inlineStr">
        <is>
          <t>D45</t>
        </is>
      </c>
      <c r="B46" s="2" t="inlineStr">
        <is>
          <t>K6-07: dane za II kwartał 2026 w modelu Everest11 i prognoza dotychczasowej działalności z I półrocza x 2</t>
        </is>
      </c>
      <c r="C46" s="2" t="inlineStr">
        <is>
          <t>Do modelu wpisane: data sprawozdania 30.06.2026 (Założenia C14), bilans i RZiS (Sprawozdania finansowe, kol. F) oraz prognoza dotychczasowej działalności z wyniku I półrocza razy 2 (Przychody w. 27: 19 526,84; Koszty w. 15, 24, 43, 65). Wpływ: zysk netto łącznie 2026 996 -&gt; 962 tys. zł, środki na koniec 2026 2 648 -&gt; 2 564 tys. zł, wskaźniki bez istotnych zmian, opłacalność bez zmian. Dwie komórki (F82, F195) z zaokrągleniem o 0,11 i 0,02 tys. zł, by bilans się zgadzał.</t>
        </is>
      </c>
      <c r="D46" s="16" t="inlineStr">
        <is>
          <t>DO POTWIERDZENIA</t>
        </is>
      </c>
      <c r="E46" s="2" t="inlineStr">
        <is>
          <t>Właścicielka</t>
        </is>
      </c>
      <c r="F46" s="2" t="inlineStr">
        <is>
          <t>K6-07, K6-06, K6-09</t>
        </is>
      </c>
    </row>
    <row r="47">
      <c r="A47" s="2" t="inlineStr">
        <is>
          <t>D46</t>
        </is>
      </c>
      <c r="B47" s="2" t="inlineStr">
        <is>
          <t>Rotacje dotychczasowej działalności: poziom z I półrocza 2026 (należności 37 dni, zobowiązania 29 dni) zamiast średniej 2023-2025</t>
        </is>
      </c>
      <c r="C47" s="2" t="inlineStr">
        <is>
          <t>Model: średnia 2023-2025 (96-133 dni). Rzeczywiste: 59 dni (31.03.2026), 29 dni (30.06.2026). Wrażliwość: przy 60 dniach środki na koniec 2026 760 tys. zł, przy 29 dniach -793 tys. zł. Rekomendacja: wariant A i wyjaśnienie księgowej (T40), albo wariant B (60 dni).</t>
        </is>
      </c>
      <c r="D47" s="16" t="inlineStr">
        <is>
          <t>WPROWADZONA W MODELU (do potwierdzenia przez właścicielkę)</t>
        </is>
      </c>
      <c r="E47" s="2" t="inlineStr">
        <is>
          <t>Właścicielka, księgowa</t>
        </is>
      </c>
      <c r="F47" s="2" t="inlineStr">
        <is>
          <t>K6-04, K6-08</t>
        </is>
      </c>
    </row>
    <row r="48">
      <c r="A48" s="2" t="inlineStr">
        <is>
          <t>D47</t>
        </is>
      </c>
      <c r="B48" s="2" t="inlineStr">
        <is>
          <t>Zakupy od Natanek Logistics (ok. 95% usług obcych) opisujemy wprost; Natanek Logistics nie jest „niezależnym klientem”</t>
        </is>
      </c>
      <c r="C48" s="2" t="inlineStr">
        <is>
          <t>Decyzja właścicielki 05.10.2026: piszemy wprost o skali (ok. 13,4 mln zł w 2025, ok. 8,4 mln zł w I półroczu 2026). Zmiany: ryzyko R12 (Opisy zadań, Poprawki), opis Z9 (niezależność walidacji), pkt 1.3 (Natanek Logistics powiązany z Inwestorem), komentarz Sprawozdania w modelu.</t>
        </is>
      </c>
      <c r="D48" s="16" t="inlineStr">
        <is>
          <t>ZATWIERDZONA</t>
        </is>
      </c>
      <c r="E48" s="2" t="inlineStr">
        <is>
          <t>Właścicielka</t>
        </is>
      </c>
      <c r="F48" s="2" t="inlineStr">
        <is>
          <t>K3-32, K3-11, K6-16</t>
        </is>
      </c>
    </row>
    <row r="49">
      <c r="A49" s="2" t="inlineStr">
        <is>
          <t>D48</t>
        </is>
      </c>
      <c r="B49" s="2" t="inlineStr">
        <is>
          <t>Dotychczasowa działalność: jeden odbiorca (Amazon, umowa); usunięte „ponad 50 aktywnych kontrahentów”</t>
        </is>
      </c>
      <c r="C49" s="2" t="inlineStr">
        <is>
          <t>Decyzja właścicielki 05.10.2026: Amazon to jedyny aktywny odbiorca w 2026 (95% w 2025, 5% Nara Motors). Usunięte sformułowania o bazie 50+ w pkt 1.3 (3 miejsca), komentarzach modelu (Przychody, Koszty, Opłacalność) i planie zastępczym R11. Kanał sprzedaży CargoDT: trzej operatorzy z LOI na 50 naczep, sprzedaż bezpośrednia, 15 rozmów (III-V 2026). ZMIANA 06.10.2026 (D59): baza „ponad 50 kontrahentów” zostaje we wniosku, ale bez słowa „aktywnych” i bez „bieżącej współpracy”.</t>
        </is>
      </c>
      <c r="D49" s="16" t="inlineStr">
        <is>
          <t>ZATWIERDZONA</t>
        </is>
      </c>
      <c r="E49" s="2" t="inlineStr">
        <is>
          <t>Właścicielka</t>
        </is>
      </c>
      <c r="F49" s="2" t="inlineStr">
        <is>
          <t>K2-01, K2-16, K6-05</t>
        </is>
      </c>
    </row>
    <row r="50">
      <c r="A50" s="2" t="inlineStr">
        <is>
          <t>D49</t>
        </is>
      </c>
      <c r="B50" s="2" t="inlineStr">
        <is>
          <t>K6-12: struktura udziałów po dokapitalizowaniu</t>
        </is>
      </c>
      <c r="C50" s="2" t="inlineStr">
        <is>
          <t>Jedyny wspólnik: Wojciech Chrzanowski (KRS: wpis 02.06.2025, 100 udziałów, 5 000 zł). Po przyznaniu dofinansowania wycena spółki, Z. Natanek obejmie udziały zgodnie z wyceną, nie więcej niż 20%. Przy wkładzie 1 253 358 zł 20% to wycena po podwyższeniu ok. 6,3 mln zł. Komentarz w arkuszu Finansowanie.</t>
        </is>
      </c>
      <c r="D50" s="16" t="inlineStr">
        <is>
          <t>ZATWIERDZONA</t>
        </is>
      </c>
      <c r="E50" s="2" t="inlineStr">
        <is>
          <t>Właścicielka</t>
        </is>
      </c>
      <c r="F50" s="2" t="inlineStr">
        <is>
          <t>K6-12</t>
        </is>
      </c>
    </row>
    <row r="51">
      <c r="A51" s="2" t="inlineStr">
        <is>
          <t>D50</t>
        </is>
      </c>
      <c r="B51" s="2" t="inlineStr">
        <is>
          <t>Zasada organizacyjna: korygujemy tylko model Everest11, dokument K6 i rejestr; pozostałe pliki są zamknięte</t>
        </is>
      </c>
      <c r="C51" s="2" t="inlineStr">
        <is>
          <t>Decyzja właścicielki 05.10.2026: Sekcja_1.3_i_ceny.docx, Poprawki_do_wklejenia_WP01-WP03.docx, Opisy_zadan_z_kamieniami_milowymi.docx nie są zmieniane. Wszystkie zmiany do nich opisuje odrębne zestawienie Zmiany_do_wprowadzenia_w_plikach_zamknietych.docx. Trzy pliki przywrócone do wersji sprzed zmian z 05.10.</t>
        </is>
      </c>
      <c r="D51" s="16" t="inlineStr">
        <is>
          <t>ZATWIERDZONA</t>
        </is>
      </c>
      <c r="E51" s="2" t="inlineStr">
        <is>
          <t>Właścicielka</t>
        </is>
      </c>
      <c r="F51" s="2" t="inlineStr">
        <is>
          <t>D47, D48, N83</t>
        </is>
      </c>
    </row>
    <row r="52">
      <c r="A52" s="2" t="inlineStr">
        <is>
          <t>D51</t>
        </is>
      </c>
      <c r="B52" s="2" t="inlineStr">
        <is>
          <t>K6-12: kapitał zakładowy rośnie tylko o wartość nominalną, wkład inwestora to głównie nadwyżka na kapitał zapasowy</t>
        </is>
      </c>
      <c r="C52" s="2" t="inlineStr">
        <is>
          <t>Zastępuje zdanie o wycenie 6,3 mln zł. Inwestor obejmuje wszystkie nowe udziały, dotychczasowy wspólnik niczego nie wnosi (25 udziałów po 50 zł = 1 250 zł nominalnie przy 20%). Wycena po przyznaniu dofinansowania określa liczbę udziałów i cenę emisyjną. Uwaga: przy wkładzie 1 253 358 zł i limicie 20% wycena po podwyższeniu musi wynieść co najmniej ok. 6,3 mln zł (przed ok. 5,0 mln zł).</t>
        </is>
      </c>
      <c r="D52" s="16" t="inlineStr">
        <is>
          <t>ZATWIERDZONA (tekst), ryzyko wyceny do świadomości właścicielki</t>
        </is>
      </c>
      <c r="E52" s="2" t="inlineStr">
        <is>
          <t>Właścicielka</t>
        </is>
      </c>
      <c r="F52" s="2" t="inlineStr">
        <is>
          <t>K6-12</t>
        </is>
      </c>
    </row>
    <row r="53">
      <c r="A53" s="2" t="inlineStr">
        <is>
          <t>D52</t>
        </is>
      </c>
      <c r="B53" s="2" t="inlineStr">
        <is>
          <t>K6-14: harmonogram płatności skorygowany (suma zaliczek 89,5% Everest11 i 89,63% konsorcjum)</t>
        </is>
      </c>
      <c r="C53" s="2" t="inlineStr">
        <is>
          <t>Wcześniejsza weryfikacja K6-14 była błędna (zaliczka liczona jako F razy H). Poprawnie suma zaliczek wynosiła 91,63% i 91,21% (limit 90%), refundacja końcowa 8,4% i 8,8%. Przesunięte 63 048,12 zł dofinansowania z II półrocza 2028 do II półrocza 2029 w obu arkuszach (Everest11 i Konsorcjum). Sumy bez zmian. Plik PRz ma 90,0% i 10,0%.</t>
        </is>
      </c>
      <c r="D53" s="16" t="inlineStr">
        <is>
          <t>WPROWADZONA W MODELU</t>
        </is>
      </c>
      <c r="E53" s="2" t="inlineStr">
        <is>
          <t>Claude</t>
        </is>
      </c>
      <c r="F53" s="2" t="inlineStr">
        <is>
          <t>K6-14</t>
        </is>
      </c>
    </row>
    <row r="54">
      <c r="A54" s="2" t="inlineStr">
        <is>
          <t>D53</t>
        </is>
      </c>
      <c r="B54" s="2" t="inlineStr">
        <is>
          <t>K2-13 i N58: koszt docelowy zestawu 4 875 zł (9 komponentów) i zespół komercjalizacji 1,5-4,5 etatu przy 19,2 tys. zł/etat</t>
        </is>
      </c>
      <c r="C54" s="2" t="inlineStr">
        <is>
          <t>Propozycja Claude na prośbę właścicielki („wiarygodnie i spójnie”). Tylko cena Jetson (399 USD, 1KU+) pochodzi z cennika; pozostałe ceny to założenia klasy OEM do potwierdzenia ofertami w Z7. Etaty wynikają dokładnie z kwot w modelu; widełki płac z Hays Salary Guide 2026 (13 000-19 000 zł brutto). Wrażliwość: koszt +1 000 zł obniża marżę brutto z 35% do 22%.</t>
        </is>
      </c>
      <c r="D54" s="16" t="inlineStr">
        <is>
          <t>DO ZATWIERDZENIA (dział techniczny, właścicielka)</t>
        </is>
      </c>
      <c r="E54" s="2" t="inlineStr">
        <is>
          <t>Dział techniczny, właścicielka</t>
        </is>
      </c>
      <c r="F54" s="2" t="inlineStr">
        <is>
          <t>K2-12, K2-13, N58</t>
        </is>
      </c>
    </row>
    <row r="55">
      <c r="A55" s="2" t="inlineStr">
        <is>
          <t>D54</t>
        </is>
      </c>
      <c r="B55" s="2" t="inlineStr">
        <is>
          <t>Korekta o 1 grosz w budżecie (wersja C wniosku)</t>
        </is>
      </c>
      <c r="C55" s="2" t="inlineStr">
        <is>
          <t>Dofinansowanie Everest11 w LSI 2 964 296,11 zł (konsorcjum 3 998 262,01 zł), wkład własny 1 253 357,99 zł ogółem i 1 172 420,21 zł kwalifikowalnie. Powód: LSI obcina dofinansowanie do pełnych groszy w pozycjach AI Senior Engineer Z9 i podwykonawstwo Z9. Model dopasowany: kolumna F w obu arkuszach Zaliczka-refundacja obcięta do groszy.</t>
        </is>
      </c>
      <c r="D55" s="16" t="inlineStr">
        <is>
          <t>WPROWADZONA W MODELU</t>
        </is>
      </c>
      <c r="E55" s="2" t="inlineStr">
        <is>
          <t>Właścicielka, Claude</t>
        </is>
      </c>
      <c r="F55" s="2" t="inlineStr">
        <is>
          <t>K6-12, K6-14</t>
        </is>
      </c>
    </row>
    <row r="56">
      <c r="A56" s="2" t="inlineStr">
        <is>
          <t>D55</t>
        </is>
      </c>
      <c r="B56" s="2" t="inlineStr">
        <is>
          <t>Szczegółowe komentarze do 11 arkuszy modelu (zarzut „zbyt ogólne”)</t>
        </is>
      </c>
      <c r="C56" s="2" t="inlineStr">
        <is>
          <t>Nowe teksty w Sekcja_K6, część 9 (limit 10 000 znaków, Instrukcja pkt 16), do wklejenia przez właścicielkę w komórki: Założenia B79, Sprawozdania B203, Przychody B255, Koszty B645, Środki trwałe B873, Rozliczenie dotacji B327, Kapitał pracujący B133, Finansowanie B179, Opłacalność B106, Ocena B444, Opłacalność - Konsorcjum B101. Zastępują komentarze z części 4.</t>
        </is>
      </c>
      <c r="D56" s="16" t="inlineStr">
        <is>
          <t>TEKST GOTOWY (do wklejenia w model)</t>
        </is>
      </c>
      <c r="E56" s="2" t="inlineStr">
        <is>
          <t>Właścicielka, Claude</t>
        </is>
      </c>
      <c r="F56" s="2" t="inlineStr">
        <is>
          <t>K6-01 do K6-17 (ogólność komentarzy)</t>
        </is>
      </c>
    </row>
    <row r="57">
      <c r="A57" s="2" t="inlineStr">
        <is>
          <t>D56</t>
        </is>
      </c>
      <c r="B57" s="2" t="inlineStr">
        <is>
          <t>Przegląd pliku CargoDT_LSI_do_wklejenia.docx (opisy po weryfikacji technicznej)</t>
        </is>
      </c>
      <c r="C57" s="2" t="inlineStr">
        <is>
          <t>Plik odpowiada na większość uwag technicznych (K1, K3 zadania i KM, R1 do R5, R9), progi spójne we wszystkich polach. Nie wolno go wklejać bez poprawek: 5 problemów wysokiej wagi (baza ponad 50 kontrahentów, R11 i R12 niezgodne z D47 i D48, brak pól K3-33 i K3-39, zamiany ZNAJDŹ nieistniejące w wersji C, K14-01). Szczegóły i teksty zamienne: Zmiany_do_wprowadzenia_w_plikach_zamknietych.docx, część 7.</t>
        </is>
      </c>
      <c r="D57" s="16" t="inlineStr">
        <is>
          <t>WYNIK GOTOWY (część 7), DECYZJE DO PODJĘCIA</t>
        </is>
      </c>
      <c r="E57" s="2" t="inlineStr">
        <is>
          <t>Właścicielka, dział techniczny, Claude</t>
        </is>
      </c>
      <c r="F57" s="2" t="inlineStr">
        <is>
          <t>K1-01 do K3-66, K5-12/13, K14-01</t>
        </is>
      </c>
    </row>
    <row r="58">
      <c r="A58" s="2" t="inlineStr">
        <is>
          <t>D57</t>
        </is>
      </c>
      <c r="B58" s="2" t="inlineStr">
        <is>
          <t>R10 kontra 2.2 i Z11: czy sprzedaż może ruszyć przed przeniesieniem praw PRz</t>
        </is>
      </c>
      <c r="C58" s="2" t="inlineStr">
        <is>
          <t>Propozycja Claude: sprzedaż po przeniesieniu (do 30.11.2029), pilotaż 11.2029 na podstawie umowy o wykonywaniu wspólnych praw (§ 11 ust. 5); usunąć z R10 zdanie „Brak przeniesienia nie wstrzymuje wdrożenia”.</t>
        </is>
      </c>
      <c r="D58" s="16" t="inlineStr">
        <is>
          <t>DO ZATWIERDZENIA</t>
        </is>
      </c>
      <c r="E58" s="2" t="inlineStr">
        <is>
          <t>Właścicielka (po konsultacji z PRz)</t>
        </is>
      </c>
      <c r="F58" s="2" t="inlineStr">
        <is>
          <t>K2-02, K3-25</t>
        </is>
      </c>
    </row>
    <row r="59">
      <c r="A59" s="2" t="inlineStr">
        <is>
          <t>D58</t>
        </is>
      </c>
      <c r="B59" s="2" t="inlineStr">
        <is>
          <t>K14-01: wskaźnik „Przychody ze sprzedaży poza RP” (wartość 0 zł w 2030 r.)</t>
        </is>
      </c>
      <c r="C59" s="2" t="inlineStr">
        <is>
          <t>ZASTĘPUJE wcześniejszą propozycję z 06.10 (pierwsza licencja CEE w 2030). Obowiązuje D40: wartość 0 zł w 2030 r., ryzyko komentarza eksperta zaakceptowane. Do zrobienia: wkleić pole 8.2 z Sekcja_3.2 część 6 i zamienić zdanie „wynikają z modelu od 2032-2033” na „przychodów poza RP nie zakładamy w prognozie”, bo model nie ma sprzedaży zagranicznej.</t>
        </is>
      </c>
      <c r="D59" s="16" t="inlineStr">
        <is>
          <t>ZAMKNIĘTA (D40), do wklejenia</t>
        </is>
      </c>
      <c r="E59" s="2" t="inlineStr">
        <is>
          <t>Właścicielka</t>
        </is>
      </c>
      <c r="F59" s="2" t="inlineStr">
        <is>
          <t>K14-01, K3-24, K2-05</t>
        </is>
      </c>
    </row>
    <row r="60">
      <c r="A60" s="2" t="inlineStr">
        <is>
          <t>D59</t>
        </is>
      </c>
      <c r="B60" s="2" t="inlineStr">
        <is>
          <t>Baza „ponad 50 kontrahentów” zostaje we wniosku (zmienia D48)</t>
        </is>
      </c>
      <c r="C60" s="2" t="inlineStr">
        <is>
          <t>Decyzja właścicielki 06.10.2026: kontrahenci istnieją, ale nie są aktywni. Sformułowania: „baza ponad 50 kontrahentów Everest11, z którymi spółka współpracowała, także obecnie nieaktywnych”; bez „aktywnych” i „bieżącej współpracy”. Ryzyko: uwaga K2-01 prosi o strukturę bazy; potrzebny wyciąg z TMS (T55). Komentarze w modelu (Przychody, Koszty, Opłacalność) nie wymagają zmian, bo już nie powołują się na bazę.</t>
        </is>
      </c>
      <c r="D60" s="16" t="inlineStr">
        <is>
          <t>ZATWIERDZONA (sformułowania do potwierdzenia)</t>
        </is>
      </c>
      <c r="E60" s="2" t="inlineStr">
        <is>
          <t>Właścicielka</t>
        </is>
      </c>
      <c r="F60" s="2" t="inlineStr">
        <is>
          <t>K2-01, K2-16, K6-05</t>
        </is>
      </c>
    </row>
    <row r="61">
      <c r="A61" s="2" t="inlineStr">
        <is>
          <t>D60</t>
        </is>
      </c>
      <c r="B61" s="2" t="inlineStr">
        <is>
          <t>Model PRz po wniosku wersja C (2) z 06.10.2026: budżet bez zmian, poprawione błędy techniczne</t>
        </is>
      </c>
      <c r="C61" s="2" t="inlineStr">
        <is>
          <t>Wniosek: PRz wydatki ogółem 1 067 936,90 zł, kwalifikowalne i dofinansowanie 1 033 965,90 zł (100%), środki własne 33 971 zł (VAT od aparatury). Model PRz (Zaliczka-refundacja: razem 1 067 936,90 / 1 033 965,90 / 1 033 965,90) zgodny; kategorie (amortyzacja 147,7 tys., koszty pośrednie 206,8 tys., personel 679,5 tys.) zgodne w zaokrągleniu do tys. Zaliczki 90,00% dofinansowania, max transza 22,3%, pierwsza 5,5%. Poprawiono tylko błędy techniczne: zbłąkane formuły (#VALUE!, #DIV/0!) w arkuszach Zaliczka-refundacja i Zaliczka-refundacja Konsorcjum (35 komórek) oraz 42 komórki z #N/A i #VALUE! w ukrytych wierszach szablonu (Środki trwałe 40, Koszty operacyjne 1, Założenia J134), z zachowaniem kontroli błędnych danych. Przeliczenie w LibreOffice: poza usuniętymi błędami żadna wartość w modelu się nie zmieniła. Te same 42 komórki są w modelu Everest i poprawię je w kroku Everest. Plik: Model_finansowy_CargoDT_PRz.xlsm. Następny krok: model Everest. ZMIANA 06.10 (liczby): harmonogram Zaliczka-refundacja PRz przebudowany wg harmonogramu kosztów z wniosku (zadania Z1 M1-M9, Z3 M6-M18, Z4/Z5 M19-M27, Z8 M22-M30, aparatura i VAT 33 971 zł w I półr. 2027): II/2026 56 868,12; I/2027 308 392,89 (wydatki ogółem 342 363,89 z VAT); II/2027 152 773,06; I/2028 136 613,86; II/2028 198 564,77; I/2029 76 322,64; II/2029 refundacja 104 430,56. Suma bez zmian (1 067 936,90 / 1 033 965,90). Zaliczki 89,90% (było 90,00%), pierwsza 5,50%, największa 29,8%. Koszty odtworzone z wniosku sumują się co do grosza do 1 033 965,90 zł. Komentarze PRz: w drugiej kolejności.</t>
        </is>
      </c>
      <c r="D61" s="16" t="inlineStr">
        <is>
          <t>WPROWADZONA W MODELU PRz</t>
        </is>
      </c>
      <c r="E61" s="2" t="inlineStr">
        <is>
          <t>Claude, właścicielka</t>
        </is>
      </c>
      <c r="F61" s="2" t="inlineStr">
        <is>
          <t>K6-14</t>
        </is>
      </c>
    </row>
    <row r="62">
      <c r="A62" s="2" t="inlineStr">
        <is>
          <t>D61</t>
        </is>
      </c>
      <c r="B62" s="2" t="inlineStr">
        <is>
          <t>Komentarze do modelu PRz i decyzje o modelu (06.10.2026): wykonane</t>
        </is>
      </c>
      <c r="C62" s="2" t="inlineStr">
        <is>
          <t>Decyzje właścicielki: (1) bez danych PRz za 2023-2024 (uproszczona sprawozdawczość organizacji badawczej; ryzyko pkt 5b Instrukcji zostaje, komentarze podają 2024 jako porównanie); (2) koszty pośrednie przeniesione w modelu PRz do Pozostałych kosztów rodzajowych (Projekt), kwoty bez zmian; (3) stawka amortyzacji prac rozwojowych 0% (C195/C196), bez zmiany liczb; (4) dane PRz dostarczone (sprawozdanie 2025 MSiG 86/2026 poz. 21407, plan 2026 zarządzenie 20/2026, zestawienie amortyzacji): użyte w komentarzach; amortyzacji nie wyodrębniono w modelu, bo brak podziału na grupy i lat 2027-2029 oraz nakładów (plan 2026: 60 152,2 tys. zł). Z dokumentów: zmiana stanu produktów jest pozycją stałą (2024: -11 912; 2025: -16 520 tys. zł) i nie jest zmianą zapasów (produkty w toku wzrosły), więc wcześniejszy opis mechanizmu K6-17 był błędny (E36); plan 2026 nie obejmuje kosztów finansowych 160 i podatku 25 w modelu (zysk modelu 1 909 vs plan 1 724,9). Dokument: Komentarze_model_finansowy_PRz.docx.</t>
        </is>
      </c>
      <c r="D62" s="16" t="inlineStr">
        <is>
          <t>WPROWADZONA W MODELU PRz; komentarze gotowe</t>
        </is>
      </c>
      <c r="E62" s="2" t="inlineStr">
        <is>
          <t>Claude, właścicielka, PRz (kwestor)</t>
        </is>
      </c>
      <c r="F62" s="2" t="inlineStr">
        <is>
          <t>K6-01, K6-14, K6-17</t>
        </is>
      </c>
    </row>
    <row r="63">
      <c r="A63" s="2" t="inlineStr">
        <is>
          <t>D62</t>
        </is>
      </c>
      <c r="B63" s="2" t="inlineStr">
        <is>
          <t>Model Everest po wniosku wersja C (2) z 06.10.2026: liczby wprowadzone (komentarze w następnym kroku)</t>
        </is>
      </c>
      <c r="C63" s="2" t="inlineStr">
        <is>
          <t>Zmiany w liczbach: (1) Zaliczka-refundacja Everest: wydatki ogółem 4 217 654,10 -&gt; 4 214 851,69 zł (VAT 80 937,78 -&gt; 78 135,37; rozłożone proporcjonalnie jak dotąd, kwalifikowalne i dofinansowanie bez zmian: 4 136 716,32 / 2 964 296,11); (2) Zaliczka-refundacja Konsorcjum przeliczona jako suma Everest + PRz wg nowego harmonogramu PRz: ogółem 5 282 788,59, kwalifikowalne 5 170 682,22, dofinansowanie 3 998 262,01; zaliczki 89,60%, pierwsza 7,01%, największa 28,97%; (3) Internacjonalizacja Z10+Z11 w Koszty operacyjne: 2028 33,285 -&gt; 58,097 tys. zł, 2029 53,586 -&gt; 28,774 tys. zł (suma kwalifikowalna 86 871 bez zmian) wg dat z wniosku D: kongres XI 2028, doradztwo przed kongresem, orzeczenie rzecznika XI-XII 2028, dokumentacja i opłaty EPO do 30.04.2029, misja do Czech I-IV 2029 (ZAŁOŻENIE DO POTWIERDZENIA: podział doradztwa i orzeczenia na 2028); (4) aparatura 57,1 tys. zł: usunięta z tabeli Środki trwałe i ujęta jak w PRz jako amortyzacja jednorazowa (oddanie do używania M7 = 05.2027) w Koszty operacyjne, pozycja Zużycie materiałów (Projekt), 2027, badania przemysłowe, dofinansowanie 80%; (5) 40 komórek #N/A w ukrytych wierszach Środki trwałe naprawionych jak w PRz. Wyniki: NPV z dotacją 2034 1 444 tys. zł (było 1 445), IRR 19,9% w 2034 i 40,5% w 2039; wkład własny w komentarzu 1 250 555,58 (kwalifikowalny 1 172 420,21 bez zmian), VAT 78 135,37. Przeliczenie w LibreOffice bez błędów.</t>
        </is>
      </c>
      <c r="D63" s="16" t="inlineStr">
        <is>
          <t>ZATWIERDZONA (06.10); komentarze gotowe: Komentarze_model_finansowy_Everest.docx</t>
        </is>
      </c>
      <c r="E63" s="2" t="inlineStr">
        <is>
          <t>Claude, właścicielka</t>
        </is>
      </c>
      <c r="F63" s="2" t="inlineStr">
        <is>
          <t>K6-14, K6-03, K6-12</t>
        </is>
      </c>
    </row>
    <row r="64">
      <c r="A64" s="2" t="inlineStr">
        <is>
          <t>D63</t>
        </is>
      </c>
      <c r="B64" s="2" t="inlineStr">
        <is>
          <t>Zmiana wkładu własnego Everest11: 1 253 357,99 -&gt; 1 250 555,58 zł (minus 2 802,41 zł, tylko VAT od Z10/Z11); umowa inwestycyjna ma starą kwotę</t>
        </is>
      </c>
      <c r="C64" s="2" t="inlineStr">
        <is>
          <t>Opisane w komentarzu Finansowanie (akapit „Zmiana kwoty wkładu własnego”) i w polu LSI „Opis dokapitalizowania” (Zmiany, poz. 4.1, kwota 1 250 556 zł). Zobowiązanie inwestora (1 253 357,99) pokrywa cały wkład. Rekomendacja: oświadczenie inwestora lub aneks do umowy z datą; do uzgodnienia z inwestorem i kancelarią.</t>
        </is>
      </c>
      <c r="D64" s="16" t="inlineStr">
        <is>
          <t>DO UZGODNIENIA (oświadczenie/aneks)</t>
        </is>
      </c>
      <c r="E64" s="2" t="inlineStr">
        <is>
          <t>Właścicielka, inwestor</t>
        </is>
      </c>
      <c r="F64" s="2" t="inlineStr">
        <is>
          <t>K6-03, K6-12, K6-14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ZROBIONE 05.10 (sprawozdanie II kw., księgowa, KRS, polityka rachunkowości); zob. T44</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WYCOFANE (D48): brak bazy 50+ aktywnych kontrahentów</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PROPOZYCJA GOTOWA (D53); czeka na dział techniczny (T46)</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PROPOZYCJA GOTOWA (D53); czeka na dział techniczny (T46)</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WYCOFANE (D48): brak bazy 50+ aktywnych kontrahentów</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(zamknięte) TRANSLOG: podział pakietu wg cennika historycznego od właścicielki</t>
        </is>
      </c>
      <c r="C31" s="4" t="inlineStr">
        <is>
          <t>Podział 24 000 zł jest oszacowaniem (16 000 + 8 000); tekst powołuje się na korespondencję.</t>
        </is>
      </c>
      <c r="D31" s="4" t="inlineStr">
        <is>
          <t>Właścicielka</t>
        </is>
      </c>
      <c r="E31" s="4" t="inlineStr">
        <is>
          <t>05.10</t>
        </is>
      </c>
      <c r="F31" s="4" t="inlineStr">
        <is>
          <t>K3-64</t>
        </is>
      </c>
      <c r="G31" s="4" t="inlineStr">
        <is>
          <t>ZROBIONE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wniosek o zmianę PKD do 31.03.2027</t>
        </is>
      </c>
      <c r="C33" s="4" t="inlineStr">
        <is>
          <t>Wyjaśnienie celu w części 9 pliku Sekcja_3.2. De minimis: oświadczenie składane przed podpisaniem umowy, nie jest potrzebne we wniosku.</t>
        </is>
      </c>
      <c r="D33" s="4" t="inlineStr">
        <is>
          <t>Właścicielka, PRz, księgowość</t>
        </is>
      </c>
      <c r="E33" s="4" t="inlineStr">
        <is>
          <t>06.10</t>
        </is>
      </c>
      <c r="F33" s="4" t="inlineStr">
        <is>
          <t>K3-23, K3-24, K2-02</t>
        </is>
      </c>
      <c r="G33" s="4" t="inlineStr">
        <is>
          <t>OTWARTE</t>
        </is>
      </c>
    </row>
    <row r="34">
      <c r="A34" s="4" t="inlineStr">
        <is>
          <t>T33</t>
        </is>
      </c>
      <c r="B34" s="4" t="inlineStr">
        <is>
          <t>Zakupy Everest11 i PRz: potwierdzić ceny w 3 źródłach każdej pozycji amortyzacji (tabela w części 6 pliku Sekcja_3.1)</t>
        </is>
      </c>
      <c r="C34" s="4" t="inlineStr">
        <is>
          <t>W metodach wpisano po 3 dostawców; ceny zweryfikowane dla części składników, dla pozostałych (IMU, UPS supercap, LED, minikomputery PRz) do potwierdzenia.</t>
        </is>
      </c>
      <c r="D34" s="4" t="inlineStr">
        <is>
          <t>Właścicielka (Everest11)</t>
        </is>
      </c>
      <c r="E34" s="4" t="inlineStr">
        <is>
          <t>05.10</t>
        </is>
      </c>
      <c r="F34" s="4" t="inlineStr">
        <is>
          <t>K3-49</t>
        </is>
      </c>
      <c r="G34" s="4" t="inlineStr">
        <is>
          <t>OTWARTE</t>
        </is>
      </c>
    </row>
    <row r="35">
      <c r="A35" s="4" t="inlineStr">
        <is>
          <t>T34</t>
        </is>
      </c>
      <c r="B35" s="4" t="inlineStr">
        <is>
          <t>Księgowa: polityka rachunkowości potwierdzona (jednorazowy odpis kompletów do 10 000 zł); symbole KŚT w ewidencji, nie w polach LSI</t>
        </is>
      </c>
      <c r="C35" s="4" t="inlineStr">
        <is>
          <t>Zob. część 6 pliku Sekcja_3.1_sprzet_i_amortyzacja.docx. Łączy się z T03.</t>
        </is>
      </c>
      <c r="D35" s="4" t="inlineStr">
        <is>
          <t>Właścicielka (księgowa), PRz</t>
        </is>
      </c>
      <c r="E35" s="4" t="inlineStr">
        <is>
          <t>05.10</t>
        </is>
      </c>
      <c r="F35" s="4" t="inlineStr">
        <is>
          <t>K3-50, K3-52, K3-56</t>
        </is>
      </c>
      <c r="G35" s="4" t="inlineStr">
        <is>
          <t>ZROBIONE</t>
        </is>
      </c>
    </row>
    <row r="36">
      <c r="A36" s="4" t="inlineStr">
        <is>
          <t>T35</t>
        </is>
      </c>
      <c r="B36" s="4" t="inlineStr">
        <is>
          <t>Dział techniczny: D06 (konfiguracja kamer), klasa dysku NVMe, pasmo i cena radaru</t>
        </is>
      </c>
      <c r="C36" s="4" t="inlineStr">
        <is>
          <t>D06 kamery; klasa dysku NVMe; pasmo i cena radaru; płyta nośna do Jetsona (ok. 1 000 zł na komplet); klasa switcha PoE+. Czekamy na odpowiedź.</t>
        </is>
      </c>
      <c r="D36" s="4" t="inlineStr">
        <is>
          <t>Dział techniczny</t>
        </is>
      </c>
      <c r="E36" s="4" t="inlineStr">
        <is>
          <t>05.10</t>
        </is>
      </c>
      <c r="F36" s="4" t="inlineStr">
        <is>
          <t>K3-55, K3-49, N54</t>
        </is>
      </c>
      <c r="G36" s="4" t="inlineStr">
        <is>
          <t>WYSŁANE (właścicielka potwierdziła 02.10); czekamy na odpowiedzi</t>
        </is>
      </c>
    </row>
    <row r="37">
      <c r="A37" s="4" t="inlineStr">
        <is>
          <t>T36</t>
        </is>
      </c>
      <c r="B37" s="4" t="inlineStr">
        <is>
          <t>Dwie dodatkowe oferty rzecznika patentowego (poza JWP) na orzeczenie, dokumentację i zgłoszenie EPO</t>
        </is>
      </c>
      <c r="C37" s="4" t="inlineStr">
        <is>
          <t>Wymóg: min. 3 dostawców w metodzie szacowania (Instrukcja i uwaga właścicielki). Po ofertach dopiszę metodę w pozycjach 11-1 i 11-2.</t>
        </is>
      </c>
      <c r="D37" s="4" t="inlineStr">
        <is>
          <t>Właścicielka (Everest11)</t>
        </is>
      </c>
      <c r="E37" s="4" t="inlineStr">
        <is>
          <t>05.10</t>
        </is>
      </c>
      <c r="F37" s="4" t="inlineStr">
        <is>
          <t>K3-61, K3-66</t>
        </is>
      </c>
      <c r="G37" s="4" t="inlineStr">
        <is>
          <t>OTWARTE</t>
        </is>
      </c>
    </row>
    <row r="38">
      <c r="A38" s="4" t="inlineStr">
        <is>
          <t>T37</t>
        </is>
      </c>
      <c r="B38" s="4" t="inlineStr">
        <is>
          <t>Opcjonalnie: e-mail do 3 oferentów o rozbicie ofert na godziny i stawki; sprawdzić 3 źródła stawek (kb.pl, Interia, cenauslug.pl)</t>
        </is>
      </c>
      <c r="C38" s="4" t="inlineStr">
        <is>
          <t>Zob. część 9 dokumentu Sekcja_3.1_podwykonawstwo_i_stawki_PRz.docx. Od odpowiedzi zależy zdanie w opisie Z2 i nazwa pozycji Z2.</t>
        </is>
      </c>
      <c r="D38" s="4" t="inlineStr">
        <is>
          <t>Właścicielka (Everest11)</t>
        </is>
      </c>
      <c r="E38" s="4" t="inlineStr">
        <is>
          <t>05.10</t>
        </is>
      </c>
      <c r="F38" s="4" t="inlineStr">
        <is>
          <t>K3-43, K3-44, K3-45</t>
        </is>
      </c>
      <c r="G38" s="4" t="inlineStr">
        <is>
          <t>OTWARTE</t>
        </is>
      </c>
    </row>
    <row r="39">
      <c r="A39" s="4" t="inlineStr">
        <is>
          <t>T38</t>
        </is>
      </c>
      <c r="B39" s="4" t="inlineStr">
        <is>
          <t>PRz: godziny Z8 objęte oddelegowaniami; wyciąg z tabeli stawek Regulaminu (opcjonalnie)</t>
        </is>
      </c>
      <c r="C39" s="4" t="inlineStr">
        <is>
          <t>Zob. część 6.2 dokumentu Sekcja_3.1_podwykonawstwo_i_stawki_PRz.docx. Godziny Z8: 301, 301, 111, 102, 224, 185, 189, 185.</t>
        </is>
      </c>
      <c r="D39" s="4" t="inlineStr">
        <is>
          <t>PRz (przez Właścicielkę)</t>
        </is>
      </c>
      <c r="E39" s="4" t="inlineStr">
        <is>
          <t>05.10</t>
        </is>
      </c>
      <c r="F39" s="4" t="inlineStr">
        <is>
          <t>K3-41, K3-42</t>
        </is>
      </c>
      <c r="G39" s="4" t="inlineStr">
        <is>
          <t>OTWARTE</t>
        </is>
      </c>
    </row>
    <row r="40">
      <c r="A40" s="4" t="inlineStr">
        <is>
          <t>T39</t>
        </is>
      </c>
      <c r="B40" s="4" t="inlineStr">
        <is>
          <t>Księgowa Everest11: struktura wiekowa należności i zobowiązań na 30.06.2026 (do 30, 31-60, 61-90, &gt;90 dni), zaliczki i przedpłaty od odbiorców</t>
        </is>
      </c>
      <c r="C40" s="4" t="inlineStr">
        <is>
          <t>Bilans pokazuje zaliczki 0 i zapasy 0. Bez tych danych K6-08 nie jest w pełni zamknięte; nie wolno ich zgadywać.</t>
        </is>
      </c>
      <c r="D40" s="4" t="inlineStr">
        <is>
          <t>Właścicielka (Everest11)</t>
        </is>
      </c>
      <c r="E40" s="4" t="inlineStr">
        <is>
          <t>05.10</t>
        </is>
      </c>
      <c r="F40" s="4" t="inlineStr">
        <is>
          <t>K6-08</t>
        </is>
      </c>
      <c r="G40" s="4" t="inlineStr">
        <is>
          <t>ZROBIONE: całość sald do 30 dni, brak zaliczek i zapasów (05.10); do doprecyzowania T44</t>
        </is>
      </c>
    </row>
    <row r="41">
      <c r="A41" s="4" t="inlineStr">
        <is>
          <t>T40</t>
        </is>
      </c>
      <c r="B41" s="4" t="inlineStr">
        <is>
          <t>Księgowa Everest11: wyjaśnić spadek zobowiązań handlowych (7,5 mln zł 31.12.2025 -&gt; 1,4 mln zł 30.06.2026) i należności (4,9 -&gt; 2,0 mln zł)</t>
        </is>
      </c>
      <c r="C41" s="4" t="inlineStr">
        <is>
          <t>Podstawa wyboru wariantu A lub B w D46 i odpowiedzi na K6-04.</t>
        </is>
      </c>
      <c r="D41" s="4" t="inlineStr">
        <is>
          <t>Właścicielka (Everest11)</t>
        </is>
      </c>
      <c r="E41" s="4" t="inlineStr">
        <is>
          <t>05.10</t>
        </is>
      </c>
      <c r="F41" s="4" t="inlineStr">
        <is>
          <t>K6-04, D46</t>
        </is>
      </c>
      <c r="G41" s="4" t="inlineStr">
        <is>
          <t>ZROBIONE: regularne płatności, wcześniej przeterminowania, poziom 2026 utrzymany (05.10)</t>
        </is>
      </c>
    </row>
    <row r="42">
      <c r="A42" s="4" t="inlineStr">
        <is>
          <t>T41</t>
        </is>
      </c>
      <c r="B42" s="4" t="inlineStr">
        <is>
          <t>LSI: załączyć podpisane sprawozdania za II kwartał 2026 (bilans, RZiS na 30.06.2026), usunąć załączniki za I kwartał; wpisać zmiany w modelu wg dokumentu K6</t>
        </is>
      </c>
      <c r="C42" s="4" t="inlineStr">
        <is>
          <t>Zob. Sekcja_K6_sprawozdanie_2Q2026_model.docx, części 2 i 6. Pliki PDF od Everest11 podpisane 02.10.2026. Gotowy plik modelu: Model_finansowy_CargoDT_Everest_II_kwartal_2026.xlsm (zmiany z dokumentu K6 już wprowadzone, wariant A rotacji zobowiązań). | 05.10: właścicielka potwierdziła, że ma podpisane sprawozdania II kwartału, PIT Inwestora i zaświadczenie bankowe; pozostaje załączenie w LSI.</t>
        </is>
      </c>
      <c r="D42" s="4" t="inlineStr">
        <is>
          <t>Właścicielka</t>
        </is>
      </c>
      <c r="E42" s="4" t="inlineStr">
        <is>
          <t>06.10</t>
        </is>
      </c>
      <c r="F42" s="4" t="inlineStr">
        <is>
          <t>K6-07</t>
        </is>
      </c>
      <c r="G42" s="4" t="inlineStr">
        <is>
          <t>DOKUMENTY GOTOWE, do załączenia w LSI</t>
        </is>
      </c>
    </row>
    <row r="43">
      <c r="A43" s="4" t="inlineStr">
        <is>
          <t>T42</t>
        </is>
      </c>
      <c r="B43" s="4" t="inlineStr">
        <is>
          <t>Dopisek do maila do księgowej: stawka CIT (19% czy 9%), udział usług obcych od podmiotów powiązanych z Inwestorem (Z. Natanek) w 2025 i I poł. 2026 (K6-16)</t>
        </is>
      </c>
      <c r="C43" s="4" t="inlineStr">
        <is>
          <t>Zob. dokument K6, część 7.1.</t>
        </is>
      </c>
      <c r="D43" s="4" t="inlineStr">
        <is>
          <t>Właścicielka (księgowa)</t>
        </is>
      </c>
      <c r="E43" s="4" t="inlineStr">
        <is>
          <t>05.10</t>
        </is>
      </c>
      <c r="F43" s="4" t="inlineStr">
        <is>
          <t>K6-02, K6-16</t>
        </is>
      </c>
      <c r="G43" s="4" t="inlineStr">
        <is>
          <t>ZROBIONE: CIT 19%; ok. 95% zakupów usług od Natanek Logistics, ok. 5% inni dostawcy (05.10); kwoty do doprecyzowania T44</t>
        </is>
      </c>
    </row>
    <row r="44">
      <c r="A44" s="4" t="inlineStr">
        <is>
          <t>T43</t>
        </is>
      </c>
      <c r="B44" s="4" t="inlineStr">
        <is>
          <t>Dział techniczny i właścicielka: zatwierdzić tabele 8.1 i 8.2 z dokumentu K6 (koszt zestawu 4 875 zł i zespół komercjalizacji)</t>
        </is>
      </c>
      <c r="C44" s="4" t="inlineStr">
        <is>
          <t>Zob. dokument K6, część 7.2.</t>
        </is>
      </c>
      <c r="D44" s="4" t="inlineStr">
        <is>
          <t>Właścicielka</t>
        </is>
      </c>
      <c r="E44" s="4" t="inlineStr">
        <is>
          <t>05.10</t>
        </is>
      </c>
      <c r="F44" s="4" t="inlineStr">
        <is>
          <t>K6-12, K2-12, K2-13, N58, K6-10, K6-11</t>
        </is>
      </c>
      <c r="G44" s="4" t="inlineStr">
        <is>
          <t>OTWARTE</t>
        </is>
      </c>
    </row>
    <row r="45">
      <c r="A45" s="4" t="inlineStr">
        <is>
          <t>T44</t>
        </is>
      </c>
      <c r="B45" s="4" t="inlineStr">
        <is>
          <t>Opcjonalnie: kwoty (nie procenty) zakupów od Natanek Logistics w 2025 i I poł. 2026</t>
        </is>
      </c>
      <c r="C45" s="4" t="inlineStr">
        <is>
          <t>Zob. dokument K6, część 6. Przybliżenia w komentarzu: ok. 13,4 mln zł i ok. 8,4 mln zł.</t>
        </is>
      </c>
      <c r="D45" s="4" t="inlineStr">
        <is>
          <t>Właścicielka (księgowa)</t>
        </is>
      </c>
      <c r="E45" s="4" t="inlineStr">
        <is>
          <t>06.10</t>
        </is>
      </c>
      <c r="F45" s="4" t="inlineStr">
        <is>
          <t>K6-08, K6-16</t>
        </is>
      </c>
      <c r="G45" s="4" t="inlineStr">
        <is>
          <t>OTWARTE</t>
        </is>
      </c>
    </row>
    <row r="46">
      <c r="A46" s="4" t="inlineStr">
        <is>
          <t>T45</t>
        </is>
      </c>
      <c r="B46" s="4" t="inlineStr">
        <is>
          <t>Odpowiedzi właścicielki 05.10: kancelaria adwokacka potwierdzona (słowo „niezależnych” usunięte), brak pokrewieństwa z M. Chrzanowskim, dwaj pozostali operatorzy niepowiązani, umowa z Amazon objęta tajemnicą</t>
        </is>
      </c>
      <c r="C46" s="4" t="inlineStr">
        <is>
          <t>Zob. dokument K6, część 5.2.</t>
        </is>
      </c>
      <c r="D46" s="4" t="inlineStr">
        <is>
          <t>Właścicielka</t>
        </is>
      </c>
      <c r="E46" s="4" t="inlineStr">
        <is>
          <t>06.10</t>
        </is>
      </c>
      <c r="F46" s="4" t="inlineStr">
        <is>
          <t>K6-05, K6-16, K3-32, K2-01</t>
        </is>
      </c>
      <c r="G46" s="4" t="inlineStr">
        <is>
          <t>OTWARTE</t>
        </is>
      </c>
    </row>
    <row r="47">
      <c r="A47" s="4" t="inlineStr">
        <is>
          <t>T46</t>
        </is>
      </c>
      <c r="B47" s="4" t="inlineStr">
        <is>
          <t>Dział techniczny: ocena założeń cenowych komponentów zestawu retrofit (tabela 8.1 w dokumencie K6) i plan zapytań ofertowych w Z7</t>
        </is>
      </c>
      <c r="C47" s="4" t="inlineStr">
        <is>
          <t>Bez tego komentarz w modelu mówi tylko, że ceny to założenia do potwierdzenia.</t>
        </is>
      </c>
      <c r="D47" s="4" t="inlineStr">
        <is>
          <t>Właścicielka (dział techniczny)</t>
        </is>
      </c>
      <c r="E47" s="4" t="inlineStr">
        <is>
          <t>06.10</t>
        </is>
      </c>
      <c r="F47" s="4" t="inlineStr">
        <is>
          <t>K2-13, D53</t>
        </is>
      </c>
      <c r="G47" s="4" t="inlineStr">
        <is>
          <t>OTWARTE</t>
        </is>
      </c>
    </row>
    <row r="48">
      <c r="A48" s="4" t="inlineStr">
        <is>
          <t>T47</t>
        </is>
      </c>
      <c r="B48" s="4" t="inlineStr">
        <is>
          <t>PRz: sprawdzić własny arkusz Zaliczka-refundacja (90,0% zaliczek i 10,0% refundacji, na granicy limitu); opcjonalnie przesunąć ok. 1% do refundacji końcowej</t>
        </is>
      </c>
      <c r="C48" s="4" t="inlineStr">
        <is>
          <t>Plik modelu PRz nie jest edytowany przez Claude.</t>
        </is>
      </c>
      <c r="D48" s="4" t="inlineStr">
        <is>
          <t>PRz (przez właścicielkę)</t>
        </is>
      </c>
      <c r="E48" s="4" t="inlineStr">
        <is>
          <t>06.10</t>
        </is>
      </c>
      <c r="F48" s="4" t="inlineStr">
        <is>
          <t>K6-14</t>
        </is>
      </c>
      <c r="G48" s="4" t="inlineStr">
        <is>
          <t>OPCJONALNE</t>
        </is>
      </c>
    </row>
    <row r="49">
      <c r="A49" s="4" t="inlineStr">
        <is>
          <t>T48</t>
        </is>
      </c>
      <c r="B49" s="4" t="inlineStr">
        <is>
          <t>Wprowadzić zmiany z dokumentu Zmiany_do_wprowadzenia_w_plikach_zamknietych.docx w odpowiednich polach LSI (pkt 1.3, ryzyka R11 i R12, opis Z9, opis dokapitalizowania)</t>
        </is>
      </c>
      <c r="C49" s="4" t="inlineStr">
        <is>
          <t>Pliki źródłowe są zamknięte, zmiany tylko w LSI.</t>
        </is>
      </c>
      <c r="D49" s="4" t="inlineStr">
        <is>
          <t>Właścicielka</t>
        </is>
      </c>
      <c r="E49" s="4" t="inlineStr">
        <is>
          <t>06.10</t>
        </is>
      </c>
      <c r="F49" s="4" t="inlineStr">
        <is>
          <t>D47, D48, N83</t>
        </is>
      </c>
      <c r="G49" s="4" t="inlineStr">
        <is>
          <t>OTWARTE</t>
        </is>
      </c>
    </row>
    <row r="50">
      <c r="A50" s="4" t="inlineStr">
        <is>
          <t>T49</t>
        </is>
      </c>
      <c r="B50" s="4" t="inlineStr">
        <is>
          <t>Zgodność godzin anotatorów (3 x 10 mc x 168 h = 5 040 h) z szacunkiem nakładu w opisie Z2</t>
        </is>
      </c>
      <c r="C50" s="4" t="inlineStr">
        <is>
          <t>Opis Z2 podaje 2 750-3 000 h na anotację 15 000 klatek (11-12 min na klatkę), a reszta ma pokryć próbę zgodności, reanotację, pilotaż i kontrolę. Dział techniczny ma potwierdzić podział ok. 5 040 h, żeby wniosek nie pozostawił niewyjaśnionej różnicy (uwaga K3-39 i K5-03).</t>
        </is>
      </c>
      <c r="D50" s="4" t="inlineStr">
        <is>
          <t>Dział techniczny + Claude</t>
        </is>
      </c>
      <c r="E50" s="4" t="inlineStr">
        <is>
          <t>06.10</t>
        </is>
      </c>
      <c r="F50" s="4" t="inlineStr">
        <is>
          <t>K3-39, K5-03, N12</t>
        </is>
      </c>
      <c r="G50" s="4" t="inlineStr">
        <is>
          <t>OTWARTE</t>
        </is>
      </c>
    </row>
    <row r="51">
      <c r="A51" s="4" t="inlineStr">
        <is>
          <t>T50</t>
        </is>
      </c>
      <c r="B51" s="4" t="inlineStr">
        <is>
          <t>Włoch: wniosek opisuje go jako kierownika Zakładu PRz (K3-33); deklaracje dla Batsch, Nowak, Kusy, Król i potwierdzenie dla AI Lead</t>
        </is>
      </c>
      <c r="C51" s="4" t="inlineStr">
        <is>
          <t>Przewodnik 3.3.1 i 3.3.9: osoba zarządzająca, nadzorująca lub koordynująca u konsorcjanta jest rozliczana wyłącznie w kosztach pośrednich. Biografia Włocha w LSI mówi o funkcji kierownika Zakładu. Trzeba od PRz pisemnie: czy funkcję pełni. Wariant A: wyłączenie 81 793,80 zł (z narzutem 102 242,25 zł) z Personelu PRz; wariant B: korekta biografii tylko jeśli opis jest nieprawdziwy. Od właścicielki: potwierdzenie dla Jakuba Kosterny. Teksty: Zmiany_do_wprowadzenia, poz. 5.1-5.4.</t>
        </is>
      </c>
      <c r="D51" s="4" t="inlineStr">
        <is>
          <t>Właścicielka + PRz</t>
        </is>
      </c>
      <c r="E51" s="4" t="inlineStr">
        <is>
          <t>06.10</t>
        </is>
      </c>
      <c r="F51" s="4" t="inlineStr">
        <is>
          <t>K3-33, D19, T23, N86</t>
        </is>
      </c>
      <c r="G51" s="4" t="inlineStr">
        <is>
          <t>OTWARTE</t>
        </is>
      </c>
    </row>
    <row r="52">
      <c r="A52" s="4" t="inlineStr">
        <is>
          <t>T51</t>
        </is>
      </c>
      <c r="B52" s="4" t="inlineStr">
        <is>
          <t>Uzupełnić żółte pola w komentarzu Finansowanie i potwierdzić D53 oraz sprzedaż zestawów po 2034 r.</t>
        </is>
      </c>
      <c r="C52" s="4" t="inlineStr">
        <is>
          <t>Dane: data Warunkowej Umowy Inwestycyjnej, bank, data i kwota zaświadczenia, źródło sfinansowania nabycia praw PRz; sprawdzić w LSI, że umowa i zaświadczenie są załączone; decyzja o sprzedaży zestawów po 2034 r. (Sekcja_K6, 9.13).</t>
        </is>
      </c>
      <c r="D52" s="4" t="inlineStr">
        <is>
          <t>Właścicielka</t>
        </is>
      </c>
      <c r="E52" s="4" t="inlineStr">
        <is>
          <t>06.10</t>
        </is>
      </c>
      <c r="F52" s="4" t="inlineStr">
        <is>
          <t>D55, D53, K6-12</t>
        </is>
      </c>
      <c r="G52" s="4" t="inlineStr">
        <is>
          <t>OTWARTE</t>
        </is>
      </c>
    </row>
    <row r="53">
      <c r="A53" s="4" t="inlineStr">
        <is>
          <t>T52</t>
        </is>
      </c>
      <c r="B53" s="4" t="inlineStr">
        <is>
          <t>Pliki źródłowe a LSI: poprawić Sekcja_7_zasady_horyzontalne_6R, Sekcja_3.1_sprzet_i_amortyzacja, Sekcja_3.1_podwykonawstwo_i_stawki_PRz (cicha notyfikacja zamiast alarmu dźwiękowego, 30 miesięcy, stawki PRz) albo wkleić pola w całości z pliku LSI</t>
        </is>
      </c>
      <c r="C53" s="4" t="inlineStr">
        <is>
          <t>Zamiany ZNAJDŹ/ZAMIEŃ z części B pliku LSI nie znajdą tekstu w wersji C, bo tych plików jeszcze nie wklejono. Decyzja: poprawiamy pliki (wtedy Claude je przebuduje) albo wklejasz pola w całości z pliku LSI.</t>
        </is>
      </c>
      <c r="D53" s="4" t="inlineStr">
        <is>
          <t>Właścicielka (decyzja), Claude (poprawki)</t>
        </is>
      </c>
      <c r="E53" s="4" t="inlineStr">
        <is>
          <t>06.10</t>
        </is>
      </c>
      <c r="F53" s="4" t="inlineStr">
        <is>
          <t>N92, D49</t>
        </is>
      </c>
      <c r="G53" s="4" t="inlineStr">
        <is>
          <t>OTWARTE</t>
        </is>
      </c>
    </row>
    <row r="54">
      <c r="A54" s="4" t="inlineStr">
        <is>
          <t>T53</t>
        </is>
      </c>
      <c r="B54" s="4" t="inlineStr">
        <is>
          <t>Godziny reanotacji w Z8 (specjaliści danych PRz: 225 i 184 h) wystarczające do reanotacji klas po zmianie taksonomii 2.0? Dopisać wykonawcę reanotacji w Z8</t>
        </is>
      </c>
      <c r="C54" s="4" t="inlineStr">
        <is>
          <t>Anotatorzy Z2 kończą w M18, a reanotacja w M22 do M26.</t>
        </is>
      </c>
      <c r="D54" s="4" t="inlineStr">
        <is>
          <t>Dział techniczny + PRz</t>
        </is>
      </c>
      <c r="E54" s="4" t="inlineStr">
        <is>
          <t>06.10</t>
        </is>
      </c>
      <c r="F54" s="4" t="inlineStr">
        <is>
          <t>N97, K3-09</t>
        </is>
      </c>
      <c r="G54" s="4" t="inlineStr">
        <is>
          <t>OTWARTE</t>
        </is>
      </c>
    </row>
    <row r="55">
      <c r="A55" s="4" t="inlineStr">
        <is>
          <t>T54</t>
        </is>
      </c>
      <c r="B55" s="4" t="inlineStr">
        <is>
          <t>Potwierdzić fakty z pliku LSI bez dokumentów: umowa z Natanek od 03.2025, 5 ciągników i 3 pojazdy, ok. 60 m2 biura, PKD 62.10.B i 63.10.D i termin 31.03.2027, patent Delphi wygasa 2027, kurs NBP 5,0954 z 04.09.2026, rozmowy z ubezpieczycielem, 15 rozmów z klientami</t>
        </is>
      </c>
      <c r="C55" s="4" t="inlineStr">
        <is>
          <t>Zdania w pliku LSI nie mają w repozytorium dokumentu źródłowego; dopisać lub usunąć.</t>
        </is>
      </c>
      <c r="D55" s="4" t="inlineStr">
        <is>
          <t>Właścicielka</t>
        </is>
      </c>
      <c r="E55" s="4" t="inlineStr">
        <is>
          <t>06.10</t>
        </is>
      </c>
      <c r="F55" s="4" t="inlineStr">
        <is>
          <t>Zmiany 7.4</t>
        </is>
      </c>
      <c r="G55" s="4" t="inlineStr">
        <is>
          <t>OTWARTE</t>
        </is>
      </c>
    </row>
    <row r="56">
      <c r="A56" s="4" t="inlineStr">
        <is>
          <t>T55</t>
        </is>
      </c>
      <c r="B56" s="4" t="inlineStr">
        <is>
          <t>Wyciąg z TMS o strukturze kontrahentów (liczba z obrotem w 12 mies., przewoźnicy z flotą 5 do 50 naczep) albo ostateczne usunięcie „bazy ponad 50”</t>
        </is>
      </c>
      <c r="C56" s="4" t="inlineStr">
        <is>
          <t>Uwaga K2-01 wymaga struktury; bez wyciągu zostają teksty z Zmiany 1.1 do 1.4.</t>
        </is>
      </c>
      <c r="D56" s="4" t="inlineStr">
        <is>
          <t>Właścicielka</t>
        </is>
      </c>
      <c r="E56" s="4" t="inlineStr">
        <is>
          <t>06.10</t>
        </is>
      </c>
      <c r="F56" s="4" t="inlineStr">
        <is>
          <t>N88, D47, K2-01</t>
        </is>
      </c>
      <c r="G56" s="4" t="inlineStr">
        <is>
          <t>OTWARTE</t>
        </is>
      </c>
    </row>
    <row r="57">
      <c r="A57" s="4" t="inlineStr">
        <is>
          <t>T56</t>
        </is>
      </c>
      <c r="B57" s="4" t="inlineStr">
        <is>
          <t>Wkleić pola docelowe z Zmiany część 8: R11 (opis i zapobieganie), R12 (3.1 i 3.2 plus po jednym zdaniu), budżet 3.2.3 i 3.2.5 z Sekcja_3.2, pole 8.2 z poprawionym zdaniem</t>
        </is>
      </c>
      <c r="C57" s="4" t="inlineStr">
        <is>
          <t>Teksty gotowe w części 8 dokumentu „Zmiany”. Brakuje tylko dwóch ofert rzecznika dla 11-1 i 11-2 (T36) i decyzji o delegacie na kongres.</t>
        </is>
      </c>
      <c r="D57" s="4" t="inlineStr">
        <is>
          <t>Właścicielka</t>
        </is>
      </c>
      <c r="E57" s="4" t="inlineStr">
        <is>
          <t>06.10</t>
        </is>
      </c>
      <c r="F57" s="4" t="inlineStr">
        <is>
          <t>N89, N98, N101, N102</t>
        </is>
      </c>
      <c r="G57" s="4" t="inlineStr">
        <is>
          <t>OTWARTE</t>
        </is>
      </c>
    </row>
    <row r="58">
      <c r="A58" s="4" t="inlineStr">
        <is>
          <t>T57</t>
        </is>
      </c>
      <c r="B58" s="4" t="inlineStr">
        <is>
          <t>Model Everest po wniosku wersja C (2): wkład własny ogółem 1 253 357,99 -&gt; 1 250 555,58 zł (-2 802,41), wydatki ogółem Everest 4 217 654,10 -&gt; 4 214 851,69 zł, VAT niekwalifikowalny 80 937,78 -&gt; 78 135,37 zł; zaktualizować komentarze (Finansowanie) i Sekcja_K6; sprawdzić Środki trwałe</t>
        </is>
      </c>
      <c r="C58" s="4" t="inlineStr">
        <is>
          <t>Dopiero po zatwierdzeniu modelu PRz przez właścicielkę (kolejność: PRz, potem Everest). Konsorcjum: harmonogram PRz w arkuszu Zaliczka-refundacja Konsorcjum (F = Everest + PRz) przeliczyć wg nowego harmonogramu PRz (D60).</t>
        </is>
      </c>
      <c r="D58" s="4" t="inlineStr">
        <is>
          <t>Claude</t>
        </is>
      </c>
      <c r="E58" s="4" t="inlineStr">
        <is>
          <t>po akceptacji PRz</t>
        </is>
      </c>
      <c r="F58" s="4" t="inlineStr">
        <is>
          <t>D60, D54</t>
        </is>
      </c>
      <c r="G58" s="4" t="inlineStr">
        <is>
          <t>LICZBY WYKONANE 06.10 (D62); komentarze Everest po akceptacji liczb</t>
        </is>
      </c>
    </row>
    <row r="59">
      <c r="A59" s="4" t="inlineStr">
        <is>
          <t>T58</t>
        </is>
      </c>
      <c r="B59" s="4" t="inlineStr">
        <is>
          <t>Wkleić komentarze PRz do modelu PRz (Komentarze_model_finansowy_PRz.docx, część 4) i usunąć żółte warianty</t>
        </is>
      </c>
      <c r="C59" s="4" t="inlineStr">
        <is>
          <t>Teksty mają trzy potwierdzenia PRz na żółto: mechanizm zmiany stanu produktów 2024-2025 (K6-17, najważniejsze), inne przychody operacyjne 2024 (23 988 tys. zł), podstawa zwolnienia z CIT, tryb odzyskania VAT 33 971 zł i składki w stawkach godzinowych.</t>
        </is>
      </c>
      <c r="D59" s="4" t="inlineStr">
        <is>
          <t>Właścicielka</t>
        </is>
      </c>
      <c r="E59" s="4" t="inlineStr">
        <is>
          <t>06.10</t>
        </is>
      </c>
      <c r="F59" s="4" t="inlineStr">
        <is>
          <t>K6-01, K6-14, K6-17; D61</t>
        </is>
      </c>
      <c r="G59" s="4" t="inlineStr">
        <is>
          <t>OTWARTE</t>
        </is>
      </c>
    </row>
    <row r="60">
      <c r="A60" s="4" t="inlineStr">
        <is>
          <t>T59</t>
        </is>
      </c>
      <c r="B60" s="4" t="inlineStr">
        <is>
          <t>ANULOWANE (decyzja właścicielki 06.10): dane PRz za 2023 i 2024 r. nie będą wprowadzane</t>
        </is>
      </c>
      <c r="C60" s="4" t="inlineStr">
        <is>
          <t>Uproszczona sprawozdawczość organizacji badawczej. Ryzyko: pkt 5b Instrukcji wymienia trzy lata historyczne. Dane 2024 są w komentarzu Sprawozdania; sprawozdanie 2025 z danymi porównawczymi 2024 jest w dokumentach PRz.</t>
        </is>
      </c>
      <c r="D60" s="4" t="inlineStr">
        <is>
          <t>Właścicielka (PRz) + Claude</t>
        </is>
      </c>
      <c r="E60" s="4" t="inlineStr">
        <is>
          <t>06.10</t>
        </is>
      </c>
      <c r="F60" s="4" t="inlineStr">
        <is>
          <t>D61 pkt 1</t>
        </is>
      </c>
      <c r="G60" s="4" t="inlineStr">
        <is>
          <t>ANULOWANE</t>
        </is>
      </c>
    </row>
    <row r="61">
      <c r="A61" s="4" t="inlineStr">
        <is>
          <t>T60</t>
        </is>
      </c>
      <c r="B61" s="4" t="inlineStr">
        <is>
          <t>Komentarze do modelu Everest (11 arkuszy): zaktualizować Sekcja_K6 (kwoty 1 250 555,58, VAT 78 135,37, aparatura jednorazowo, harmonogram konsorcjum, struktura jak w PRz: wymagania Instrukcji, odpowiedzi na uwagi)</t>
        </is>
      </c>
      <c r="C61" s="4" t="inlineStr">
        <is>
          <t>Po akceptacji liczb Everest (D62). Zawartość: dane z II kwartału 2026 już są; do aktualizacji: Finansowanie, Środki trwałe, Koszty operacyjne (internacjonalizacja, aparatura), Opłacalność (IRR 19,9%), Opłacalność - Konsorcjum, Rozliczenie dotacji.</t>
        </is>
      </c>
      <c r="D61" s="4" t="inlineStr">
        <is>
          <t>Claude</t>
        </is>
      </c>
      <c r="E61" s="4" t="inlineStr">
        <is>
          <t>po akceptacji D62</t>
        </is>
      </c>
      <c r="F61" s="4" t="inlineStr">
        <is>
          <t>D62</t>
        </is>
      </c>
      <c r="G61" s="4" t="inlineStr">
        <is>
          <t>KOMENTARZE GOTOWE 06.10 (Komentarze_model_finansowy_Everest.docx); do wklejenia po uzupełnieniu żółtych pól</t>
        </is>
      </c>
    </row>
    <row r="62">
      <c r="A62" s="4" t="inlineStr">
        <is>
          <t>T61</t>
        </is>
      </c>
      <c r="B62" s="4" t="inlineStr">
        <is>
          <t>Oświadczenie inwestora lub aneks do Warunkowej Umowy Inwestycyjnej (wkład 1 250 555,58 zamiast 1 253 357,99 zł); uzupełnić żółte pola w Finansowaniu (umowa, bank, zaświadczenie, źródło sfinansowania praw PRz); stawka składki wypadkowej; daty doradztwa i orzeczenia rzecznika (Z10/Z11)</t>
        </is>
      </c>
      <c r="C62" s="4" t="inlineStr">
        <is>
          <t>Patrz Komentarze_model_finansowy_Everest.docx, część 6. Załączniki K6-07, K6-10, K6-11 i data w pkt 1.3 (K6-18) bez zmian.</t>
        </is>
      </c>
      <c r="D62" s="4" t="inlineStr">
        <is>
          <t>Właścicielka</t>
        </is>
      </c>
      <c r="E62" s="4" t="inlineStr">
        <is>
          <t>07.10</t>
        </is>
      </c>
      <c r="F62" s="4" t="inlineStr">
        <is>
          <t>D63; K6-03, K6-12</t>
        </is>
      </c>
      <c r="G62"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 (stan 05.10)</t>
        </is>
      </c>
      <c r="G1" s="3" t="inlineStr">
        <is>
          <t>W trakcie (stan 05.10)</t>
        </is>
      </c>
      <c r="H1" s="3" t="inlineStr">
        <is>
          <t>Tekst gotowy, do weryf. (stan 05.10)</t>
        </is>
      </c>
      <c r="I1" s="3" t="inlineStr">
        <is>
          <t>Zweryf. (stan 05.10)</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Opisy zadań: wersja 2 w pliku Opisy_zadan (zamknięty); godziny Z8 zaktualizowane; 62 żółte wartości czekają na dział techniczny (T11, T29, T35); zmiana opisu Z9 (D47) tylko w LSI wg zestawienia.</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Kamienie milowe: wersja 2 w pliku Opisy_zadan (zamknięty); żółte progi: T11, T35.</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Ryzyka: wersja 2 w plikach Opisy_zadan i Poprawki (zamknięte); R12 (K3-32) i plan zastępczy R11 do zmiany w LSI wg zestawienia (D47, D48); R8 (K3-46) w Sekcja_3.1_podwykonawstwo.</t>
        </is>
      </c>
    </row>
    <row r="5">
      <c r="A5" s="4" t="inlineStr">
        <is>
          <t>WP04 Innowacyjność i wskaźniki</t>
        </is>
      </c>
      <c r="B5" s="4" t="inlineStr">
        <is>
          <t>P1</t>
        </is>
      </c>
      <c r="C5" s="4" t="inlineStr">
        <is>
          <t>pon 05.10</t>
        </is>
      </c>
      <c r="D5" s="4" t="n">
        <v>7</v>
      </c>
      <c r="E5" s="4" t="inlineStr">
        <is>
          <t>K1-01, K1-02, K1-03, K1-04, K1-05, K1-06, K14-01</t>
        </is>
      </c>
      <c r="F5" s="4" t="n">
        <v>0</v>
      </c>
      <c r="G5" s="4" t="n">
        <v>0</v>
      </c>
      <c r="H5" s="4" t="n">
        <v>7</v>
      </c>
      <c r="I5" s="4" t="n">
        <v>0</v>
      </c>
      <c r="J5" s="4" t="inlineStr">
        <is>
          <t>Sekcja Wskazniki_innowacyjnosci_1.2_i_1.4.docx gotowa; 6 żółtych parametrów (T11), oferty dla I1 (T10), karty konkurencji (T12).</t>
        </is>
      </c>
    </row>
    <row r="6">
      <c r="A6" s="4" t="inlineStr">
        <is>
          <t>WP05 Wdrożenie, rynek, ceny</t>
        </is>
      </c>
      <c r="B6" s="4" t="inlineStr">
        <is>
          <t>P1</t>
        </is>
      </c>
      <c r="C6" s="4" t="inlineStr">
        <is>
          <t>pon 05.10</t>
        </is>
      </c>
      <c r="D6" s="4" t="n">
        <v>9</v>
      </c>
      <c r="E6" s="4" t="inlineStr">
        <is>
          <t>K2-01, K2-04, K2-05, K2-06, K2-09, K2-10, K2-11, K2-15, K2-17</t>
        </is>
      </c>
      <c r="F6" s="4" t="n">
        <v>0</v>
      </c>
      <c r="G6" s="4" t="n">
        <v>0</v>
      </c>
      <c r="H6" s="4" t="n">
        <v>9</v>
      </c>
      <c r="I6" s="4" t="n">
        <v>0</v>
      </c>
      <c r="J6" s="4" t="inlineStr">
        <is>
          <t>Sekcja_1.3_i_ceny.docx gotowa (zamknięta); zmiany po D47 i D48 (usunięte „ponad 50 aktywnych kontrahentów”, powiązanie Natanek Logistics) tylko w LSI wg zestawienia; ceny: T10, T14, T19.</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0</v>
      </c>
      <c r="G7" s="4" t="n">
        <v>0</v>
      </c>
      <c r="H7" s="4" t="n">
        <v>20</v>
      </c>
      <c r="I7" s="4" t="n">
        <v>1</v>
      </c>
      <c r="J7" s="4" t="inlineStr">
        <is>
          <t>Sekcja_6.1 gotowa (założenia D37: T23); Sekcja_6.2-6.4 z 7 żółtymi polami (T25, T26); K3-41 i K3-42 w Sekcja_3.1_podwykonawstwo_i_stawki_PRz.docx (stawki PRz, godziny Z8 zgodnie z D43).</t>
        </is>
      </c>
    </row>
    <row r="8">
      <c r="A8" s="4" t="inlineStr">
        <is>
          <t>WP07 Podwykonawcy i montaż</t>
        </is>
      </c>
      <c r="B8" s="4" t="inlineStr">
        <is>
          <t>P1</t>
        </is>
      </c>
      <c r="C8" s="4" t="inlineStr">
        <is>
          <t>pt 02.10</t>
        </is>
      </c>
      <c r="D8" s="4" t="n">
        <v>6</v>
      </c>
      <c r="E8" s="4" t="inlineStr">
        <is>
          <t>K3-43, K3-44, K3-45, K3-46, K3-47, K5-19</t>
        </is>
      </c>
      <c r="F8" s="4" t="n">
        <v>0</v>
      </c>
      <c r="G8" s="4" t="n">
        <v>0</v>
      </c>
      <c r="H8" s="4" t="n">
        <v>4</v>
      </c>
      <c r="I8" s="4" t="n">
        <v>2</v>
      </c>
      <c r="J8" s="4" t="inlineStr">
        <is>
          <t>Sekcja_3.1_podwykonawstwo_i_stawki_PRz.docx: wersja ostateczna z poprawkami właścicielki; opcjonalnie T37.</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Sekcja_3.1_sprzet_i_amortyzacja.docx gotowa (14 pozycji); czeka: T33 (ceny), T35 (dział techniczny).</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Sekcja_3.2_internacjonalizacja_Z10_Z11.docx gotowa; czeka: T32, T36.</t>
        </is>
      </c>
    </row>
    <row r="11">
      <c r="A11" s="4" t="inlineStr">
        <is>
          <t>WP10 Zasoby, IP, WNiP</t>
        </is>
      </c>
      <c r="B11" s="4" t="inlineStr">
        <is>
          <t>P1</t>
        </is>
      </c>
      <c r="C11" s="4" t="inlineStr">
        <is>
          <t>pon 05.10</t>
        </is>
      </c>
      <c r="D11" s="4" t="n">
        <v>11</v>
      </c>
      <c r="E11" s="4" t="inlineStr">
        <is>
          <t>K2-02, K2-03, K2-07, K2-08, K5-12, K5-13, K5-14, K5-15, K5-16, K5-17, K5-18</t>
        </is>
      </c>
      <c r="F11" s="4" t="n">
        <v>0</v>
      </c>
      <c r="G11" s="4" t="n">
        <v>0</v>
      </c>
      <c r="H11" s="4" t="n">
        <v>11</v>
      </c>
      <c r="I11" s="4" t="n">
        <v>0</v>
      </c>
      <c r="J11" s="4" t="inlineStr">
        <is>
          <t>Sekcja_2.2_i_2.5_prawa_FTO_zasoby.docx gotowa; potwierdzenia patentowe: T13.</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Model Everest11 (plik z 05.10) i Sekcja_K6: K6-02, K6-04 do K6-08, K6-10 do K6-16 gotowe (K6-14 poprawione, K6-08 po odpowiedzi księgowej); K2-12, K2-13, N58 jako propozycja (D53, T46); K2-14 do K2-16 w Sekcja_1.3; załączniki: T41.</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0</v>
      </c>
      <c r="G13" s="4" t="n">
        <v>0</v>
      </c>
      <c r="H13" s="4" t="n">
        <v>14</v>
      </c>
      <c r="I13" s="4" t="n">
        <v>0</v>
      </c>
      <c r="J13" s="4" t="inlineStr">
        <is>
          <t>Sekcja_7_zasady_horyzontalne_6R.docx gotowa; zobowiązania do potwierdzenia: T27-T29.</t>
        </is>
      </c>
    </row>
    <row r="14">
      <c r="A14" s="4" t="inlineStr">
        <is>
          <t>RAZEM</t>
        </is>
      </c>
      <c r="B14" s="4" t="inlineStr"/>
      <c r="C14" s="4" t="inlineStr"/>
      <c r="D14" s="4" t="n">
        <v>141</v>
      </c>
      <c r="E14" s="4" t="inlineStr"/>
      <c r="F14" s="4" t="inlineStr"/>
      <c r="G14" s="4" t="inlineStr"/>
      <c r="H14" s="4" t="inlineStr"/>
      <c r="I14" s="4" t="inlineStr"/>
      <c r="J14" s="4" t="inlineStr"/>
    </row>
    <row r="15">
      <c r="A15" t="inlineStr">
        <is>
          <t>Metoda liczników (05.10.2026): „Nierozp.” = uwaga bez gotowego tekstu w żadnym pliku sekcji (sprawdzone po numerach uwag w sekcjach, w WP05 i WP11 także wg D35/D36, T16 i Sekcja_K6). „Tekst gotowy, do weryf.” = tekst jest przygotowany, ale nie wklejony do LSI (T09/T48) i nie sprawdzony przez właścicielkę. „Zweryf.” i „W trakcie” bez zmian względem Rejestru 01.10. Uwaga: K6-01, K6-03, K6-17 i K6-18 nie mają numeru w Sekcja_K6; do potwierdzenia w kolejnym przeglądzie.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05.10: sumy bez zmian (Z8 113 084,00; PRz osobowe 679 472,72; konsorcjum 3 998 262,02); kontrola końcowa po ostatnich zmianach OTWARTA</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W TOKU: model Everest11 zaktualizowany 05.10 (dane II kw., komentarze, harmonogram), przeliczony kontrolnie; pozostaje wklejenie do LSI i model PRz (T47)</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row r="16">
      <c r="A16" s="4" t="inlineStr">
        <is>
          <t>C15</t>
        </is>
      </c>
      <c r="B16" s="4" t="inlineStr">
        <is>
          <t>Harmonogram płatności (arkusze Zaliczka-refundacja): pierwsza zaliczka co najmniej 5%, transza nie więcej niż 40%, suma zaliczek nie więcej niż 90% dofinansowania</t>
        </is>
      </c>
      <c r="C16" s="4" t="inlineStr">
        <is>
          <t>Claude</t>
        </is>
      </c>
      <c r="D16" s="4" t="inlineStr">
        <is>
          <t>po każdej zmianie kosztów</t>
        </is>
      </c>
      <c r="E16" s="4" t="inlineStr">
        <is>
          <t>ZROBIONE 05.10 dla Everest11 (89,5%) i konsorcjum (89,63%); PRz 90,0% (T47)</t>
        </is>
      </c>
    </row>
    <row r="17">
      <c r="A17" s="4" t="inlineStr">
        <is>
          <t>C16</t>
        </is>
      </c>
      <c r="B17" s="4" t="inlineStr">
        <is>
          <t>Zgodność wniosku (wersja C) z modelem: sumy pozycji, Z6/Z7/Z9 wg D30, Z8 = 113 084,00 zł, wkład własny, limity zaliczek</t>
        </is>
      </c>
      <c r="C17" s="4" t="inlineStr">
        <is>
          <t>Claude</t>
        </is>
      </c>
      <c r="D17" s="4" t="inlineStr">
        <is>
          <t>po każdej zmianie budżetu w LSI</t>
        </is>
      </c>
      <c r="E17" s="4" t="inlineStr">
        <is>
          <t>ZROBIONE 05.10: sumy 5 285 591,00 / 5 170 682,22 / 3 998 262,01 zgodne; w modelu poprawione 18 komórek (F, H, I), limity K6-14 spełnione (89,50% i 89,63%); poprawiony komentarz Opłacalność - Konsorcjum (3 998 262 zł, PRz 1 033 966 zł).</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row r="23">
      <c r="A23" s="2" t="inlineStr">
        <is>
          <t>E22</t>
        </is>
      </c>
      <c r="B23" s="2" t="inlineStr">
        <is>
          <t>K6-14: wcześniejsza weryfikacja harmonogramu płatności była błędna (zaliczka liczona jako dofinansowanie razy kolumna H zamiast samej kwoty z kolumny F); suma zaliczek wynosiła 91,6% i 91,2% wobec limitu 90%.</t>
        </is>
      </c>
      <c r="C23" s="2" t="inlineStr">
        <is>
          <t>Poprawione w modelu (D52, N85); refundacja końcowa 10,5% i 10,4%.</t>
        </is>
      </c>
    </row>
    <row r="24">
      <c r="A24" s="2" t="inlineStr">
        <is>
          <t>E23</t>
        </is>
      </c>
      <c r="B24" s="2" t="inlineStr">
        <is>
          <t>Pierwszy eksport modelu (05.10) zastąpił cały komentarz w arkuszu Przychody jednym akapitem i usunął trzy akapity „PROJEKT”.</t>
        </is>
      </c>
      <c r="C24" s="2" t="inlineStr">
        <is>
          <t>Poprawione tego samego dnia; komentarz ma wszystkie akapity.</t>
        </is>
      </c>
    </row>
    <row r="25">
      <c r="A25" s="2" t="inlineStr">
        <is>
          <t>E24</t>
        </is>
      </c>
      <c r="B25" s="2" t="inlineStr">
        <is>
          <t>PRz Z8: zmieniłam stawki i godziny bez danych PRz i rozszerzyłam zmianę na osiem stanowisk (właścicielka nie zatwierdziła).</t>
        </is>
      </c>
      <c r="C25" s="2" t="inlineStr">
        <is>
          <t>Cofnięte; godziny Z8 poprawione zgodnie z decyzją właścicielki przy sumie bez zmian (D43).</t>
        </is>
      </c>
    </row>
    <row r="26">
      <c r="A26" s="2" t="inlineStr">
        <is>
          <t>E25</t>
        </is>
      </c>
      <c r="B26" s="2" t="inlineStr">
        <is>
          <t>Komentarz Finansowanie: zdanie o wycenie spółki ok. 6,3 mln zł mogło sugerować podwyższenie kapitału do tej kwoty.</t>
        </is>
      </c>
      <c r="C26" s="2" t="inlineStr">
        <is>
          <t>Zastąpione opisem mechanizmu (nominalna część i nadwyżka na kapitał zapasowy), D51.</t>
        </is>
      </c>
    </row>
    <row r="27">
      <c r="A27" s="2" t="inlineStr">
        <is>
          <t>E26</t>
        </is>
      </c>
      <c r="B27" s="2" t="inlineStr">
        <is>
          <t>R12: napisałam, że Natanek Logistics jest „jednym z trzech niezależnych klientów”, co jest sprzeczne z danymi księgowej (powiązany z Inwestorem, ok. 95% zakupów usług).</t>
        </is>
      </c>
      <c r="C27" s="2" t="inlineStr">
        <is>
          <t>Poprawione w zestawieniu zmian do LSI (D47).</t>
        </is>
      </c>
    </row>
    <row r="28">
      <c r="A28" s="2" t="inlineStr">
        <is>
          <t>E27</t>
        </is>
      </c>
      <c r="B28" s="2" t="inlineStr">
        <is>
          <t>Komentarz Ocena kondycji podawał środki pieniężne „2 618 tys. zł w 2026 do 16 679 tys. zł w 2039”, czego model nie potwierdzał.</t>
        </is>
      </c>
      <c r="C28" s="2" t="inlineStr">
        <is>
          <t>Poprawione liczbami z przeliczonego modelu (N79).</t>
        </is>
      </c>
    </row>
    <row r="29">
      <c r="A29" s="2" t="inlineStr">
        <is>
          <t>E28</t>
        </is>
      </c>
      <c r="B29" s="2" t="inlineStr">
        <is>
          <t>Zmieniłam pliki Sekcja_1.3_i_ceny.docx, Poprawki_do_wklejenia_WP01-WP03.docx i Opisy_zadan_z_kamieniami_milowymi.docx, które były już przetworzone.</t>
        </is>
      </c>
      <c r="C29" s="2" t="inlineStr">
        <is>
          <t>Przywrócone do wersji sprzed zmian; zmiany tylko w osobnym zestawieniu (D50).</t>
        </is>
      </c>
    </row>
    <row r="30">
      <c r="A30" s="2" t="inlineStr">
        <is>
          <t>E29</t>
        </is>
      </c>
      <c r="B30" s="2" t="inlineStr">
        <is>
          <t>Liczniki w 3_Pakiety_pól (nierozpoczęte WP06 11, WP10 11, WP12 14 i inne) pochodziły z Rejestru z 01.10 i nie były przeliczone po przygotowaniu sekcji 6.1, 2.2/2.5, 6.2-6.4 i 7, więc pokazywały nierozpoczęte uwagi, do których teksty już istniały.</t>
        </is>
      </c>
      <c r="C30" s="2" t="inlineStr">
        <is>
          <t>Przeliczone 05.10: nierozpoczęte 0 we wszystkich pakietach, reszta jako „tekst gotowy, do weryf.”; metoda w komórce A15.</t>
        </is>
      </c>
    </row>
    <row r="31">
      <c r="A31" s="2" t="inlineStr">
        <is>
          <t>E30</t>
        </is>
      </c>
      <c r="B31" s="2" t="inlineStr">
        <is>
          <t>W poprzedniej odpowiedzi napisałam, że funkcji Włocha na uczelni nie znam i że wskaże je PRz, a wniosek (wersja B) wprost opisuje go jako kierownika Zakładu Modelowania Matematycznego. Nie sprawdziłam biografii w wniosku. Zdanie z poz. 5.2 („nie pełni funkcji na uczelni”) byłoby w jego przypadku nieprawdziwe.</t>
        </is>
      </c>
      <c r="C31" s="2" t="inlineStr">
        <is>
          <t>Poz. 5.2 ograniczona do czterech osób, dla Włocha dodana poz. 5.4 z wariantami; N86, T50.</t>
        </is>
      </c>
    </row>
    <row r="32">
      <c r="A32" s="2" t="inlineStr">
        <is>
          <t>E31</t>
        </is>
      </c>
      <c r="B32" s="2" t="inlineStr">
        <is>
          <t>W obecnych komentarzach modelu były błędy: czas trwania projektu 18 miesięcy zamiast 30 (Założenia), VAT ok. 83,7 tys. zł zamiast 80 937,78 zł (Finansowanie), najwyższe zadłużenie projektu w 2030 r. zamiast ok. 100% w 2026-2027 i 76% w 2031 r. (Ocena), zdanie o „optymalizacji podatkowej” bez potwierdzenia i liczby bez źródła (odpływ klientów 5-12%, 12 tys. spedytorów).</t>
        </is>
      </c>
      <c r="C32" s="2" t="inlineStr">
        <is>
          <t>Poprawione w nowych tekstach (Sekcja_K6, część 9); modelu nie zmieniałam, komentarze wklei właścicielka.</t>
        </is>
      </c>
    </row>
    <row r="33">
      <c r="A33" s="2" t="inlineStr">
        <is>
          <t>E32</t>
        </is>
      </c>
      <c r="B33" s="2" t="inlineStr">
        <is>
          <t>W moich wcześniejszych tekstach i w komentarzu modelu (B255 Przychody) data wejścia eFTI to 21.08.2025. Poprawna data: 9 lipca 2027 r. (organy muszą przyjmować informacje w formacie eFTI).</t>
        </is>
      </c>
      <c r="C33" s="2" t="inlineStr">
        <is>
          <t>Poprawione we wszystkich moich tekstach (Sekcja_K6 część 9, model_texts). Komentarz B255 w modelu nadal ma starą datę: zastąpić tekstem z Sekcja_K6 część 9.</t>
        </is>
      </c>
    </row>
    <row r="34">
      <c r="A34" s="2" t="inlineStr">
        <is>
          <t>E33</t>
        </is>
      </c>
      <c r="B34" s="2" t="inlineStr">
        <is>
          <t>Pozycja 3.4 w Zmiany (uzasadnienie kosztu Anotatorów) mówiła, że specjalista TSL zatwierdza etykietę referencyjną. Plik LSI i uwaga K3-11 wskazują, że TSL nie powinien rozstrzygać (dyrektor operacyjny Natanek).</t>
        </is>
      </c>
      <c r="C34" s="2" t="inlineStr">
        <is>
          <t>Poprawione 06.10: rozbieżności rozstrzyga AI Senior Engineer, TSL tylko protokoły inspekcji (D21 zastąpiona).</t>
        </is>
      </c>
    </row>
    <row r="35">
      <c r="A35" s="2" t="inlineStr">
        <is>
          <t>E34</t>
        </is>
      </c>
      <c r="B35" s="2" t="inlineStr">
        <is>
          <t>06.10 napisałam, że model „nie zakłada sprzedaży zagranicznej” i że K14-01 jest otwarta (D58: pierwsza licencja CEE w 2030). To było niepełne: K14-01 rozwiązuje D40 i Sekcja_3.2 część 6 (0 zł w 2030), a modelu nie da się jednoznacznie określić, bo nie rozdziela przychodów na kraje; Sekcja_3.2 (CEE w modelu od 2032-2033) i komentarz Przychody (bez sprzedaży zagranicznej) są ze sobą sprzeczne.</t>
        </is>
      </c>
      <c r="C35" s="2" t="inlineStr">
        <is>
          <t>Poprawione w Zmiany 7.3 poz. 4 i 11, D58 zastąpiona, N91 i N98 przepisane; do ustalenia jedno zdanie o CEE (Zmiany 8.5).</t>
        </is>
      </c>
    </row>
    <row r="36">
      <c r="A36" s="2" t="inlineStr">
        <is>
          <t>E35</t>
        </is>
      </c>
      <c r="B36" s="2" t="inlineStr">
        <is>
          <t>Przy poprawianiu modelu PRz (D60) sprawdziłam liczby i błędy techniczne, ale nie porównałam modelu z pkt 5b Instrukcji (trzy lata historyczne dla organizacji badawczych z odzyskiwanym VAT) ani z uwagą 4 (koszty pośrednie w Pozostałych kosztach rodzajowych). Wyszło to dopiero przy komentarzach. Poprzedni komentarz PRz twierdził, że brak lat wcześniejszych wynika z zasad dla organizacji badawczych, a okres prognozy 5 lat jest wymogiem; oba twierdzenia były błędne.</t>
        </is>
      </c>
      <c r="C36" s="2" t="inlineStr">
        <is>
          <t>Zapisane w D61 jako decyzje 1 i 2; nowe komentarze nie powtarzają błędnych twierdzeń; model PRz do zmiany po Twojej decyzji.</t>
        </is>
      </c>
    </row>
    <row r="37">
      <c r="A37" s="2" t="inlineStr">
        <is>
          <t>E36</t>
        </is>
      </c>
      <c r="B37" s="2" t="inlineStr">
        <is>
          <t>Opis mechanizmu straty na sprzedaży PRz w K6-17 (i w mojej pierwszej wersji komentarzy): „zmniejszył się stan produktów w toku i gotowych”. Sprawozdanie PRz za 2025 pokazuje, że stan produktów w bilansie wzrósł (2 259 -&gt; 3 329 tys. zł), a zmiana stanu produktów w RZiS jest ujemna także w 2024 (-11 912 tys. zł). Mechanizm opisałam wcześniej na podstawie samych liczb RZiS, bez sprawdzenia bilansu poprzedniego roku. Podobnie założenie „nakłady odtworzeniowe równoważą amortyzację” było sprzeczne z planem (nakłady 60 152 vs amortyzacja 26 547 tys. zł).</t>
        </is>
      </c>
      <c r="C37" s="2" t="inlineStr">
        <is>
          <t>Poprawione w komentarzach (Sprawozdania, Ocena, Środki trwałe); mechanizm księgowy do potwierdzenia przez kwestora PRz (T58).</t>
        </is>
      </c>
    </row>
    <row r="38">
      <c r="A38" s="2" t="inlineStr">
        <is>
          <t>E37</t>
        </is>
      </c>
      <c r="B38" s="2" t="inlineStr">
        <is>
          <t>Napisałam, że dwie pozycje aparatury Everest przekraczają 10 tys. zł netto (12 000 i 16 400 zł) i że jedna ma dokładnie 10 000 zł. To były sumy pozycji dla 4 sztuk (komplety), a wniosek podaje wartość początkową jednego kompletu: 3 000, 4 100, 2 500 zł itd. (maks. 4 100 zł), więc cała aparatura Everest jest poniżej 10 tys. zł i Instrukcja (uwaga 1) obejmuje ją wprost. Dla PRz dwa komplety mają dokładnie 10 000 zł, ale polityka rachunkowości PRz (sprawozdanie 2025) odpisuje jednorazowo składniki „do 10 000 zł”, więc też bez problemu.</t>
        </is>
      </c>
      <c r="C38" s="2" t="inlineStr">
        <is>
          <t>Poprawione: usunięta uwaga z dokumentu PRz, komentarze PRz powołują się na politykę rachunkowości z jej sprawozdania.</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TEKST GOTOWY (Wskazniki_innowacyjnosci_1.2_i_1.4.docx), 6 żółtych parametrów: T11</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TEKST GOTOWY (Wskazniki_innowacyjnosci_1.2_i_1.4.docx), 6 żółtych parametrów: T11</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TEKST GOTOWY (Wskazniki_innowacyjnosci_1.2_i_1.4.docx), 6 żółtych parametrów: T11</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TEKST GOTOWY (Wskazniki_innowacyjnosci_1.2_i_1.4.docx), 6 żółtych parametrów: T11</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TEKST GOTOWY (Wskazniki_innowacyjnosci_1.2_i_1.4.docx), 6 żółtych parametrów: T11</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TEKST GOTOWY (Wskazniki_innowacyjnosci_1.2_i_1.4.docx), 6 żółtych parametrów: T11</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TEKST GOTOWY (Wskazniki_innowacyjnosci_1.2_i_1.4.docx), 6 żółtych parametrów: T11</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TEKST GOTOWY w Opisach zadań (zamknięte), 62 żółte wartości: T11, T35</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TEKST GOTOWY w Opisach zadań (zamknięte), 62 żółte wartości: T11, T35</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TEKST GOTOWY (Sekcja_6.1 i 3.1.2), założenia D37: T23</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TEKST GOTOWY: pozycja 3.4 w Zmiany_do_wprowadzenia_w_plikach_zamknietych.docx (forma zatrudnienia, nadzór jakości, relacja do Z3, B+R a obróbka). Otwarte: zgodność 5 040 h z szacunkiem nakładu (T49)</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TEKST GOTOWY (Sekcja_6.1 i 3.1.2), założenia D37: T23</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TEKST GOTOWY (Sekcja_6.1 i 3.1.2), założenia D37: T23</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TEKST GOTOWY (Sekcja_6.1 i 3.1.2), założenia D37: T23</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TEKST GOTOWY (Sekcja_6.1 i 3.1.2), założenia D37: T23</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TEKST GOTOWY (Sekcja_6.1 i 3.1.2), założenia D37: T23</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TEKST GOTOWY (Sekcja_6.1 i 3.1.2), założenia D37: T23</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TEKST GOTOWY (Sekcja_6.1 i 3.1.2), założenia D37: T23</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TEKST GOTOWY (Sekcja_6.1 i 3.1.2), założenia D37: T23</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TEKST GOTOWY (Sekcja_6.1 i 3.1.2), założenia D37: T23</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TEKST GOTOWY (Sekcja_6.1 i 3.1.2), założenia D37: T23</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TEKST GOTOWY (Sekcja_6.2-6.4), żółte pola: T25, T26</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TEKST GOTOWY, do wklejenia w LSI (T09)</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TEKST GOTOWY, do wklejenia w LSI (T09)</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TEKST GOTOWY, do wklejenia w LSI (T09)</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TEKST GOTOWY (Sekcja_6.1 i 3.1.2), założenia D37: T23</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TEKST GOTOWY, do wklejenia w LSI (T09)</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TEKST GOTOWY, do wklejenia w LSI (T09)</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TEKST GOTOWY (Sekcja_6.1 i 3.1.2), założenia D37: T23</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TEKST GOTOWY (Wskazniki_innowacyjnosci_1.2_i_1.4.docx), 6 żółtych parametrów: T11</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TEKST GOTOWY (Wskazniki_innowacyjnosci_1.2_i_1.4.docx), 6 żółtych parametrów: T11</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TEKST GOTOWY (Wskazniki_innowacyjnosci_1.2_i_1.4.docx), 6 żółtych parametrów: T11</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TEKST GOTOWY w Opisach zadań (zamknięte), 62 żółte wartości: T11, T35</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TEKST GOTOWY (Sekcja_7_zasady_horyzontalne_6R.docx), zobowiązania: T27-T29</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TEKST GOTOWY (Sekcja_1.3_i_ceny.docx, zamknięty); dalsze zmiany wg Zmiany_do_wprowadzenia (D47, D48)</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DO SPRAWDZENIA (T13)</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 oferty cenowe dla I1 (T10)</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TEKST GOTOWY (Sekcja_1.3_i_ceny.docx, zamknięty); dalsze zmiany wg Zmiany_do_wprowadzenia (D47, D48)</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TEKST GOTOWY (Sekcja_1.3_i_ceny.docx, zamknięty); dalsze zmiany wg Zmiany_do_wprowadzenia (D47, D48)</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TEKST GOTOWY (Sekcja_1.3_i_ceny.docx, zamknięty); dalsze zmiany wg Zmiany_do_wprowadzenia (D47, D48)</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TEKST GOTOWY (Sekcja_1.3_i_ceny.docx, zamknięty); dalsze zmiany wg Zmiany_do_wprowadzenia (D47, D48)</t>
        </is>
      </c>
    </row>
    <row r="45">
      <c r="A45" s="2" t="inlineStr">
        <is>
          <t>N44</t>
        </is>
      </c>
      <c r="B45" s="2" t="inlineStr">
        <is>
          <t>Model finansowy: komentarz w Przychodach</t>
        </is>
      </c>
      <c r="C45" s="2" t="inlineStr">
        <is>
          <t>„Ekspansja CEE od 2033”, „ROI od pierwszego roku”, 5 500 PLN, spadek naczep 31,4% (z liczb 31,8%).</t>
        </is>
      </c>
      <c r="D45" s="2" t="inlineStr">
        <is>
          <t>ZROBIONE w modelu (Model_finansowy_CargoDT_Everest_II_kwartal_2026.xlsm, Przychody B255): trzej operatorzy z LOI na 50 naczep, 31,8%, eFTI od 21.08.2025 dobrowolne dla przewoźników, limit CMR 8 489-21 222 zł zamiast 5 500 zł i ROI, bez ekspansji CEE.</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TEKST GOTOWY (Sekcja_1.3_i_ceny.docx, zamknięty); dalsze zmiany wg Zmiany_do_wprowadzenia (D47, D48)</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NIE DOTYCZY (prezentacja z panelu, bez zmian we wniosku)</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TEKST GOTOWY (Sekcja_1.3_i_ceny.docx, zamknięty); dalsze zmiany wg Zmiany_do_wprowadzenia (D47, D48)</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TEKST GOTOWY (Sekcja_1.3_i_ceny.docx, zamknięty); dalsze zmiany wg Zmiany_do_wprowadzenia (D47, D48)</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TEKST GOTOWY (Sekcja_1.3_i_ceny.docx, zamknięty); dalsze zmiany wg Zmiany_do_wprowadzenia (D47, D48)</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TEKST GOTOWY (Sekcja_1.3_i_ceny.docx, zamknięty); dalsze zmiany wg Zmiany_do_wprowadzenia (D47, D48)</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 (T13)</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TEKST GOTOWY (Sekcja_2.2_i_2.5), potwierdzenia: T13</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TEKST GOTOWY (Sekcja_2.2_i_2.5), potwierdzenia: T13</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 odpowiedź działu technicznego (T35)</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TEKST GOTOWY (Wskazniki_innowacyjnosci_1.2_i_1.4.docx), 6 żółtych parametrów: T11</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TEKST GOTOWY (Sekcja_2.2_i_2.5), potwierdzenia: T13</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PROPOZYCJA (D53): zespół komercjalizacji 1,5; 2,0; 2,5; 3,5; 4,5 etatu przy 19,2 tys. zł/etat (komentarz w arkuszu Koszty operacyjne). Do zatwierdzenia.</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TEKST GOTOWY (Sekcja_6.1 i 3.1.2), założenia D37: T23</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TEKST GOTOWY (Sekcja_6.1 i 3.1.2), założenia D37: T23</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TEKST GOTOWY (Sekcja_6.1 i 3.1.2), założenia D37: T23</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TEKST GOTOWY (Sekcja_6.2-6.4), żółte pola: T25, T26</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TEKST GOTOWY, do wklejenia w LSI (T09)</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TEKST GOTOWY (Sekcja_7_zasady_horyzontalne_6R.docx), zobowiązania: T27-T29</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TEKST GOTOWY (Sekcja_7_zasady_horyzontalne_6R.docx), zobowiązania: T27-T29</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TEKST GOTOWY (Sekcja_7_zasady_horyzontalne_6R.docx), zobowiązania: T27-T29</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TEKST GOTOWY w Opisach zadań (zamknięte), 62 żółte wartości: T11, T35</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TEKST GOTOWY (Sekcja_3.2_internacjonalizacja_Z10_Z11.docx), T32, T36</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TEKST GOTOWY (Sekcja_3.2_internacjonalizacja_Z10_Z11.docx), T32, T36</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TEKST GOTOWY (Sekcja_3.2_internacjonalizacja_Z10_Z11.docx), T32, T36</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TEKST GOTOWY (Sekcja_3.2_internacjonalizacja_Z10_Z11.docx), T32, T36</t>
        </is>
      </c>
    </row>
    <row r="73">
      <c r="A73" s="2" t="inlineStr">
        <is>
          <t>N72</t>
        </is>
      </c>
      <c r="B73" s="2" t="inlineStr">
        <is>
          <t>3.1.3 pozycje amortyzacji (14)</t>
        </is>
      </c>
      <c r="C73" s="2" t="inlineStr">
        <is>
          <t>Zdanie „tylko celów nie związanych z projektem” (7 pozycji Everest11), brak parametrów odpisu, edge AI 500 zł bez źródła, radar „fill rate”, OAK-D jako ToF</t>
        </is>
      </c>
      <c r="D73" s="2" t="inlineStr">
        <is>
          <t>Wkleić pola z Sekcja_3.1_sprzet_i_amortyzacja.docx, zmienić kwoty w P1, P2, P3 oraz w pozycjach Everest11 wg zestawienia</t>
        </is>
      </c>
      <c r="E73" s="2" t="inlineStr">
        <is>
          <t>K3-48..58; D42</t>
        </is>
      </c>
      <c r="F73" s="2" t="inlineStr">
        <is>
          <t>WYSOKI</t>
        </is>
      </c>
      <c r="G73" s="2" t="inlineStr">
        <is>
          <t>TEKST GOTOWY (Sekcja_3.1_sprzet_i_amortyzacja.docx), ceny: T33, T35</t>
        </is>
      </c>
    </row>
    <row r="74">
      <c r="A74" s="2" t="inlineStr">
        <is>
          <t>N73</t>
        </is>
      </c>
      <c r="B74" s="2" t="inlineStr">
        <is>
          <t>7.4 odpady vs likwidacja po M30</t>
        </is>
      </c>
      <c r="C74" s="2" t="inlineStr">
        <is>
          <t>„Sprawne komponenty trafią do dalszych prac rozwojowych lub zestawów demonstracyjnych”</t>
        </is>
      </c>
      <c r="D74" s="2" t="inlineStr">
        <is>
          <t>Prototypy po Z9 demontaż, likwidacja protokołem, przekazanie ZSEE; bez dalszego użycia (K3-56). Nowy tekst w Sekcja_7_zasady_horyzontalne_6R.docx</t>
        </is>
      </c>
      <c r="E74" s="2" t="inlineStr">
        <is>
          <t>K3-56, K13-06</t>
        </is>
      </c>
      <c r="F74" s="2" t="inlineStr">
        <is>
          <t>ŚREDNI</t>
        </is>
      </c>
      <c r="G74" s="2" t="inlineStr">
        <is>
          <t>TEKST GOTOWY (Sekcja_7_zasady_horyzontalne_6R.docx), zobowiązania: T27-T29</t>
        </is>
      </c>
    </row>
    <row r="75">
      <c r="A75" s="2" t="inlineStr">
        <is>
          <t>N74</t>
        </is>
      </c>
      <c r="B75" s="2" t="inlineStr">
        <is>
          <t>3.1.2 podwykonawstwo Z2, Z9 (nazwa, uzasadnienie, metoda)</t>
        </is>
      </c>
      <c r="C75" s="2" t="inlineStr">
        <is>
          <t>Brak kalkulacji i ofert; „odbiór techniczny” w metodzie Z2; Z9 „finalnych, zwalidowanych”.</t>
        </is>
      </c>
      <c r="D75" s="2" t="inlineStr">
        <is>
          <t>Wkleić pola z Sekcja_3.1_podwykonawstwo_i_stawki_PRz.docx (części 2 i 3): Z2 obejmuje montaż i demontaż po kampanii, rozkład godzin.</t>
        </is>
      </c>
      <c r="E75" s="2" t="inlineStr">
        <is>
          <t>K3-43..47; N26, N29; D08, D44</t>
        </is>
      </c>
      <c r="F75" s="2" t="inlineStr">
        <is>
          <t>WYSOKI</t>
        </is>
      </c>
      <c r="G75" s="2" t="inlineStr">
        <is>
          <t>TEKST GOTOWY, do wklejenia w LSI (T09)</t>
        </is>
      </c>
    </row>
    <row r="76">
      <c r="A76" s="2" t="inlineStr">
        <is>
          <t>N75</t>
        </is>
      </c>
      <c r="B76" s="2" t="inlineStr">
        <is>
          <t>5. Analiza ryzyka R8</t>
        </is>
      </c>
      <c r="C76" s="2" t="inlineStr">
        <is>
          <t>Anotacja jako podwykonawstwo; brak podziału montaż Z2/Z9.</t>
        </is>
      </c>
      <c r="D76" s="2" t="inlineStr">
        <is>
          <t>Wkleić nazwę, opis i zapobieganie R8 (część 5 dokumentu).</t>
        </is>
      </c>
      <c r="E76" s="2" t="inlineStr">
        <is>
          <t>K3-46; N24</t>
        </is>
      </c>
      <c r="F76" s="2" t="inlineStr">
        <is>
          <t>WYSOKI</t>
        </is>
      </c>
      <c r="G76" s="2" t="inlineStr">
        <is>
          <t>TEKST GOTOWY, do wklejenia w LSI (T09)</t>
        </is>
      </c>
    </row>
    <row r="77">
      <c r="A77" s="2" t="inlineStr">
        <is>
          <t>N76</t>
        </is>
      </c>
      <c r="B77" s="2" t="inlineStr">
        <is>
          <t>3.1.2 PRz: 40 pozycji wynagrodzeń; Z8 stawki i godziny; Z4 nazwa kosztu</t>
        </is>
      </c>
      <c r="C77" s="2" t="inlineStr">
        <is>
          <t>Brak dodatku miesięcznego i stopnia/tytułu w metodzie, prefiks „Z4 (prace rozwojowe) ·” w nazwie; godziny Z8 liczone według stawek o 8% niższych niż w Z1-Z5.</t>
        </is>
      </c>
      <c r="D77" s="2" t="inlineStr">
        <is>
          <t>Wkleić nazwy, kwoty (Z8) i metody szacowania (części 6.2, 6.4). Suma Z8 i PRz bez zmian.</t>
        </is>
      </c>
      <c r="E77" s="2" t="inlineStr">
        <is>
          <t>K3-41, K3-42; D43</t>
        </is>
      </c>
      <c r="F77" s="2" t="inlineStr">
        <is>
          <t>WYSOKI</t>
        </is>
      </c>
      <c r="G77" s="2" t="inlineStr">
        <is>
          <t>TEKST GOTOWY (Sekcja_3.1_podwykonawstwo_i_stawki_PRz.docx, wersja ostateczna)</t>
        </is>
      </c>
    </row>
    <row r="78">
      <c r="A78" s="2" t="inlineStr">
        <is>
          <t>N77</t>
        </is>
      </c>
      <c r="B78" s="2" t="inlineStr">
        <is>
          <t>3.1.1 opis Z8 (godziny PRz) i tabela godzin osób w Opisach zadań</t>
        </is>
      </c>
      <c r="C78" s="2" t="inlineStr">
        <is>
          <t>Godziny Z8: 325/325/120/110/242/200/204/200; „Montaż i demontaż sensorów wykona podwykonawca” w Z2.</t>
        </is>
      </c>
      <c r="D78" s="2" t="inlineStr">
        <is>
          <t>Po odblokowaniu Opisów zadań: godziny Z8 301/301/111/102/224/185/189/185; zdanie Z2 wg odpowiedzi T37.</t>
        </is>
      </c>
      <c r="E78" s="2" t="inlineStr">
        <is>
          <t>K3-42, K3-45; D43, T37</t>
        </is>
      </c>
      <c r="F78" s="2" t="inlineStr">
        <is>
          <t>ŚREDNI</t>
        </is>
      </c>
      <c r="G78" s="2" t="inlineStr">
        <is>
          <t>ZROBIONE w Opisach zadań (godziny Z8); zdanie Z2 bez zmian</t>
        </is>
      </c>
    </row>
    <row r="79">
      <c r="A79" s="2" t="inlineStr">
        <is>
          <t>N78</t>
        </is>
      </c>
      <c r="B79" s="2" t="inlineStr">
        <is>
          <t>Model Everest11: Założenia C14, Sprawozdania kol. F (22 komórki), Przychody w. 27, Koszty w. 15, 24, 43, 65 (K:X); komentarze w arkuszach Sprawozdania, Przychody, Koszty (B645), Kapitał pracujący</t>
        </is>
      </c>
      <c r="C79" s="2" t="inlineStr">
        <is>
          <t>Dane za I kwartał 2026 i prognoza „I kwartał x 4”.</t>
        </is>
      </c>
      <c r="D79" s="2" t="inlineStr">
        <is>
          <t>Wprowadzić dane za II kwartał i prognozę „I półrocze x 2” wg Sekcja_K6_sprawozdanie_2Q2026_model.docx, części 2 i 4.</t>
        </is>
      </c>
      <c r="E79" s="2" t="inlineStr">
        <is>
          <t>K6-07, K6-06, K6-09; D45</t>
        </is>
      </c>
      <c r="F79" s="2" t="inlineStr">
        <is>
          <t>WYSOKI</t>
        </is>
      </c>
      <c r="G79" s="2" t="inlineStr">
        <is>
          <t>ZROBIONE w modelu (plik z 05.10); do wklejenia w LSI</t>
        </is>
      </c>
    </row>
    <row r="80">
      <c r="A80" s="2" t="inlineStr">
        <is>
          <t>N79</t>
        </is>
      </c>
      <c r="B80" s="2" t="inlineStr">
        <is>
          <t>Model Everest11, arkusz Ocena kondycji finansowej, komentarz B444</t>
        </is>
      </c>
      <c r="C80" s="2" t="inlineStr">
        <is>
          <t>Środki pieniężne „od 2 618 tys. zł w 2026 r. do 16 679 tys. zł w 2039 r.”, których model nie potwierdzał (przed zmianą 2 648 i 31 195 tys. zł); brak zdania o rentowności (K6-13); opis kontrolek bez wiersza 124.</t>
        </is>
      </c>
      <c r="D80" s="2" t="inlineStr">
        <is>
          <t>Wklejony nowy komentarz (liczby z przeliczonego modelu: 2 564 i 30 650 tys. zł) wraz ze zdaniem o rentowności i uzupełnionym opisem kontrolek.</t>
        </is>
      </c>
      <c r="E80" s="2" t="inlineStr">
        <is>
          <t>K6-13; D45</t>
        </is>
      </c>
      <c r="F80" s="2" t="inlineStr">
        <is>
          <t>WYSOKI</t>
        </is>
      </c>
      <c r="G80" s="2" t="inlineStr">
        <is>
          <t>ZROBIONE w pliku modelu</t>
        </is>
      </c>
    </row>
    <row r="81">
      <c r="A81" s="2" t="inlineStr">
        <is>
          <t>N80</t>
        </is>
      </c>
      <c r="B81" s="2" t="inlineStr">
        <is>
          <t>Model Everest11, arkusz Założenia, komentarz B79 (K6-02)</t>
        </is>
      </c>
      <c r="C81" s="2" t="inlineStr">
        <is>
          <t>Brak uzasadnienia stawki CIT i pustych stawek amortyzacji i oprocentowania.</t>
        </is>
      </c>
      <c r="D81" s="2" t="inlineStr">
        <is>
          <t>Dopisane zdania: CIT 19% (przychód 2025 powyżej 2 mln EUR), brak środków trwałych i kredytów w działalności dotychczasowej. Stawka CIT do potwierdzenia przez księgową (T42).</t>
        </is>
      </c>
      <c r="E81" s="2" t="inlineStr">
        <is>
          <t>K6-02</t>
        </is>
      </c>
      <c r="F81" s="2" t="inlineStr">
        <is>
          <t>ŚREDNI</t>
        </is>
      </c>
      <c r="G81" s="2" t="inlineStr">
        <is>
          <t>ZROBIONE w pliku modelu, do potwierdzenia</t>
        </is>
      </c>
    </row>
    <row r="82">
      <c r="A82" s="2" t="inlineStr">
        <is>
          <t>N81</t>
        </is>
      </c>
      <c r="B82" s="2" t="inlineStr">
        <is>
          <t>Koncentracja sprzedaży (Amazon 95% w 2025, 100% w 2026) vs „ponad 50 aktywnych kontrahentów” (pkt 1.3, 2.1, Przychody, Koszty)</t>
        </is>
      </c>
      <c r="C82" s="2" t="inlineStr">
        <is>
          <t>„Rozszerzenie istniejącej relacji handlowej z ponad 50 aktywnymi kontrahentami spedycyjnymi Everest11”.</t>
        </is>
      </c>
      <c r="D82" s="2" t="inlineStr">
        <is>
          <t>ZROBIONE: usunięte „ponad 50 aktywnych kontrahentów” w pkt 1.3, komentarzach modelu i planie zastępczym R11; dopisany jeden odbiorca (Amazon) w komentarzu Przychody.</t>
        </is>
      </c>
      <c r="E82" s="2" t="inlineStr">
        <is>
          <t>K6-05, K2-01; T45</t>
        </is>
      </c>
      <c r="F82" s="2" t="inlineStr">
        <is>
          <t>WYSOKI</t>
        </is>
      </c>
      <c r="G82" s="2" t="inlineStr">
        <is>
          <t>OTWARTE</t>
        </is>
      </c>
    </row>
    <row r="83">
      <c r="A83" s="2" t="inlineStr">
        <is>
          <t>N82</t>
        </is>
      </c>
      <c r="B83" s="2" t="inlineStr">
        <is>
          <t>Ryzyko cen transferowych (K3-32) i niezależność walidacji (K3-11) vs ok. 95% zakupów usług od Natanek Logistics</t>
        </is>
      </c>
      <c r="C83" s="2" t="inlineStr">
        <is>
          <t>Opis ryzyka mówi ogólnie o współpracy z firmami przyszłego Inwestora.</t>
        </is>
      </c>
      <c r="D83" s="2" t="inlineStr">
        <is>
          <t>ZROBIONE: R12 przepisane (skala 95%, Natanek Logistics powiązany z Inwestorem i głównym dostawcą), zdanie w opisie Z9, informacja w pkt 1.3. Do potwierdzenia przez właścicielkę: sformułowania zobowiązań w R12 (kwartalny monitoring udziału, alternatywni przewoźnicy).</t>
        </is>
      </c>
      <c r="E83" s="2" t="inlineStr">
        <is>
          <t>K3-32, K6-16; T45</t>
        </is>
      </c>
      <c r="F83" s="2" t="inlineStr">
        <is>
          <t>WYSOKI</t>
        </is>
      </c>
      <c r="G83" s="2" t="inlineStr">
        <is>
          <t>OTWARTE</t>
        </is>
      </c>
    </row>
    <row r="84">
      <c r="A84" s="2" t="inlineStr">
        <is>
          <t>N83</t>
        </is>
      </c>
      <c r="B84" s="2" t="inlineStr">
        <is>
          <t>Opisy zadań i Poprawki do wklejenia: R12 (ryzyko), R11 (plan zastępczy), Z9 (niezależność), pkt 1.3 po D47-D48</t>
        </is>
      </c>
      <c r="C84" s="2" t="inlineStr">
        <is>
          <t>„Jeden z trzech niezależnych klientów”, „ponad 50 aktywnych kontrahentów”.</t>
        </is>
      </c>
      <c r="D84" s="2" t="inlineStr">
        <is>
          <t>DO WPROWADZENIA W LSI wg zestawienia Zmiany_do_wprowadzenia_w_plikach_zamknietych.docx (pliki Sekcja_1.3, Poprawki, Opisy są zamknięte i przywrócone do wersji sprzed 05.10).</t>
        </is>
      </c>
      <c r="E84" s="2" t="inlineStr">
        <is>
          <t>D47, D48</t>
        </is>
      </c>
      <c r="F84" s="2" t="inlineStr">
        <is>
          <t>WYSOKI</t>
        </is>
      </c>
      <c r="G84" s="2" t="inlineStr">
        <is>
          <t>ZROBIONE</t>
        </is>
      </c>
    </row>
    <row r="85">
      <c r="A85" s="2" t="inlineStr">
        <is>
          <t>N84</t>
        </is>
      </c>
      <c r="B85" s="2" t="inlineStr">
        <is>
          <t>Możliwe powiązanie: Wojciech Chrzanowski (jedyny wspólnik i prezes) – kancelaria adwokacka dostawcy usług prawnych – Maciej Chrzanowski (kierownik zarządzający)</t>
        </is>
      </c>
      <c r="C85" s="2" t="inlineStr">
        <is>
          <t>Księgowa wymienia „Wojciech Chrzanowski Kancelaria Adwokacka” wśród dostawców; KRS: Wojciech Chrzanowski jedyny wspólnik i prezes.</t>
        </is>
      </c>
      <c r="D85" s="2" t="inlineStr">
        <is>
          <t>ZAMKNIĘTE: kancelaria potwierdzona, brak pokrewieństwa z Maciejem Chrzanowskim (zbieg nazwisk). Pozostaje usunięte słowo „niezależnych” przy dostawcach.</t>
        </is>
      </c>
      <c r="E85" s="2" t="inlineStr">
        <is>
          <t>Odpis KRS 05.10.2026; T45</t>
        </is>
      </c>
      <c r="F85" s="2" t="inlineStr">
        <is>
          <t>WYSOKI</t>
        </is>
      </c>
      <c r="G85" s="2" t="inlineStr">
        <is>
          <t>OTWARTE</t>
        </is>
      </c>
    </row>
    <row r="86">
      <c r="A86" s="2" t="inlineStr">
        <is>
          <t>N85</t>
        </is>
      </c>
      <c r="B86" s="2" t="inlineStr">
        <is>
          <t>Model Everest11, arkusze Zaliczka-refundacja i Zaliczka-refundacja Konsorcjum (K6-14)</t>
        </is>
      </c>
      <c r="C86" s="2" t="inlineStr">
        <is>
          <t>Suma zaliczek 91,63% (Everest11) i 91,21% (konsorcjum) wobec limitu 90%; refundacja końcowa 8,4% i 8,8%.</t>
        </is>
      </c>
      <c r="D86" s="2" t="inlineStr">
        <is>
          <t>Przesunięte 63 048,12 zł dofinansowania z II półrocza 2028 do II półrocza 2029; suma zaliczek 89,5% i 89,63%.</t>
        </is>
      </c>
      <c r="E86" s="2" t="inlineStr">
        <is>
          <t>K6-14; D52</t>
        </is>
      </c>
      <c r="F86" s="2" t="inlineStr">
        <is>
          <t>KRYTYCZNY</t>
        </is>
      </c>
      <c r="G86" s="2" t="inlineStr">
        <is>
          <t>ZROBIONE w modelu</t>
        </is>
      </c>
    </row>
    <row r="87">
      <c r="A87" s="2" t="inlineStr">
        <is>
          <t>N86</t>
        </is>
      </c>
      <c r="B87" s="2" t="inlineStr">
        <is>
          <t>6.1 / biografia PRz w LSI: Andrzej Włoch</t>
        </is>
      </c>
      <c r="C87" s="2" t="inlineStr">
        <is>
          <t>Biografia z wniosku: „profesor uczelni, kierownik Zakładu Modelowania Matematycznego PRz”; wynagrodzenie 81 793,80 zł w kategorii Personel projektu (Z1, Z3, Z4, Z5, Z8).</t>
        </is>
      </c>
      <c r="D87" s="2" t="inlineStr">
        <is>
          <t>Przewodnik 3.3.1 i 3.3.9: funkcja zarządcza u konsorcjanta wyłącza z Personelu projektu, koszt tylko w kosztach pośrednich. Wymaga odpowiedzi PRz i decyzji wariant A/B (Zmiany_do_wprowadzenia, poz. 5.4).</t>
        </is>
      </c>
      <c r="E87" s="2" t="inlineStr">
        <is>
          <t>K3-33; T50</t>
        </is>
      </c>
      <c r="F87" s="2" t="inlineStr">
        <is>
          <t>WYSOKI</t>
        </is>
      </c>
      <c r="G87" s="2" t="inlineStr">
        <is>
          <t>OTWARTE</t>
        </is>
      </c>
    </row>
    <row r="88">
      <c r="A88" s="2" t="inlineStr">
        <is>
          <t>N87</t>
        </is>
      </c>
      <c r="B88" s="2" t="inlineStr">
        <is>
          <t>Wniosek wersja C, opis opłacalności i zdolności finansowej (część VI/„Opłacalność wdrożenia”)</t>
        </is>
      </c>
      <c r="C88" s="2" t="inlineStr">
        <is>
          <t>Tekst nadal zawiera: „środki pieniężne pozostają dodatnie… minimum ok. 2,6 mln zł” (model po danych za II kw.: ok. 0,6 mln zł w 2026 r.), „istniejącej bazie ponad 50 kontrahentów TSL Everest11”, „wiążące zobowiązanie inwestora” (w LSI wpisano „warunkowe”).</t>
        </is>
      </c>
      <c r="D88" s="2" t="inlineStr">
        <is>
          <t>Zamienić 2,6 mln na ok. 0,6 mln zł (minimum w 2026 r.), usunąć „ponad 50 kontrahentów” (D48) i ujednolicić „warunkowe zobowiązanie inwestora”. Teksty w LSI, plik zamknięty. Dodatkowo IRR ok. 26% we wniosku vs model 20% (2034) i 40,5% (2039).</t>
        </is>
      </c>
      <c r="E88" s="2" t="inlineStr">
        <is>
          <t>D46, D48, K6-12</t>
        </is>
      </c>
      <c r="F88" s="2" t="inlineStr">
        <is>
          <t>ŚREDNI</t>
        </is>
      </c>
      <c r="G88" s="2" t="inlineStr">
        <is>
          <t>OTWARTE</t>
        </is>
      </c>
    </row>
    <row r="89">
      <c r="A89" s="2" t="inlineStr">
        <is>
          <t>N88</t>
        </is>
      </c>
      <c r="B89" s="2" t="inlineStr">
        <is>
          <t>1.3 część VI; 2.3 Rynek docelowy i Plan wprowadzenia (etap 1, Strategia); R11 plan zastępczy (plik LSI 06.10)</t>
        </is>
      </c>
      <c r="C89" s="2" t="inlineStr">
        <is>
          <t>„baza ponad 50 aktywnych kontrahentów”, „z bazy klientów”, „aktywnych kontrahentów Everest11”</t>
        </is>
      </c>
      <c r="D89" s="2" t="inlineStr">
        <is>
          <t>Zostawić bazę (D59), usunąć „aktywnych” i „bieżącą współpracę”; Strategia: „z kontaktów handlowych”; K2-01 wymaga struktury bazy (T55)</t>
        </is>
      </c>
      <c r="E89" s="2" t="inlineStr">
        <is>
          <t>Zmiany 7.3 poz. 1; K2-01; D47</t>
        </is>
      </c>
      <c r="F89" s="2" t="inlineStr">
        <is>
          <t>ŚREDNI</t>
        </is>
      </c>
      <c r="G89" s="2" t="inlineStr">
        <is>
          <t>OTWARTE</t>
        </is>
      </c>
    </row>
    <row r="90">
      <c r="A90" s="2" t="inlineStr">
        <is>
          <t>N89</t>
        </is>
      </c>
      <c r="B90" s="2" t="inlineStr">
        <is>
          <t>R11 i R12 oraz Z9 w pliku LSI</t>
        </is>
      </c>
      <c r="C90" s="2" t="inlineStr">
        <is>
          <t>R12 bez ujawnienia ok. 95% zakupów usług od Natanek Logistics; „formalnie ustalamy, czy powiązane”; R11 „żaden podmiot nie jest jednocześnie partnerem testowym i odbiorcą”; brak dopisku Z9</t>
        </is>
      </c>
      <c r="D90" s="2" t="inlineStr">
        <is>
          <t>Wkleić teksty ze Zmiany 3.1, 3.2, 2.3 i dopisek 3.3; zdanie o dywersyfikacji w R11 jak w Zmiany 7.3 poz. 2</t>
        </is>
      </c>
      <c r="E90" s="2" t="inlineStr">
        <is>
          <t>Zmiany 7.3 poz. 2; K3-31, K3-32, K3-11; D47, D48</t>
        </is>
      </c>
      <c r="F90" s="2" t="inlineStr">
        <is>
          <t>WYSOKI</t>
        </is>
      </c>
      <c r="G90" s="2" t="inlineStr">
        <is>
          <t>OTWARTE</t>
        </is>
      </c>
    </row>
    <row r="91">
      <c r="A91" s="2" t="inlineStr">
        <is>
          <t>N90</t>
        </is>
      </c>
      <c r="B91" s="2" t="inlineStr">
        <is>
          <t>Plik LSI: brak pól dla K3-33 i K3-39; zbiorcza zamiana „zakres stanowiska” w 28 polach</t>
        </is>
      </c>
      <c r="C91" s="2" t="inlineStr">
        <is>
          <t>Zbiorcza deklaracja braku funkcji zarządczych bez potwierdzenia osób; pusty nawias przy specjaliście modelowania PRz (Włoch)</t>
        </is>
      </c>
      <c r="D91" s="2" t="inlineStr">
        <is>
          <t>Dodać Zmiany 3.4 i 5.1 do 5.4; deklarację zostawić po potwierdzeniu dla każdej osoby (T50); rozstrzygnąć wariant A albo B dla Włocha</t>
        </is>
      </c>
      <c r="E91" s="2" t="inlineStr">
        <is>
          <t>Zmiany 7.3 poz. 3; K3-33, K3-39; T50</t>
        </is>
      </c>
      <c r="F91" s="2" t="inlineStr">
        <is>
          <t>WYSOKI</t>
        </is>
      </c>
      <c r="G91" s="2" t="inlineStr">
        <is>
          <t>OTWARTE</t>
        </is>
      </c>
    </row>
    <row r="92">
      <c r="A92" s="2" t="inlineStr">
        <is>
          <t>N91</t>
        </is>
      </c>
      <c r="B92" s="2" t="inlineStr">
        <is>
          <t>1.3 część I; 2.3 etap 4 i Segmenty; 2.4 SAM; 3.2.1 (plik LSI)</t>
        </is>
      </c>
      <c r="C92" s="2" t="inlineStr">
        <is>
          <t>Pojazdy w CEE „obniżają udział w polskim SAM poniżej 0,50%” kontra 0,50% SAM w Polsce kontra komentarz modelu (bez sprzedaży zagranicznej) kontra Sekcja_3.2 i D40 (CEE od 2032-2033 w modelu)</t>
        </is>
      </c>
      <c r="D92" s="2" t="inlineStr">
        <is>
          <t>Ujednolicić: 1 000 pojazdów w 2034 r. to sprzedaż w Polsce (0,50% SAM, 0,18% TAM), sprzedaży w CEE nie zakładamy</t>
        </is>
      </c>
      <c r="E92" s="2" t="inlineStr">
        <is>
          <t>Zmiany 7.3 poz. 4; K2-05; K14-01</t>
        </is>
      </c>
      <c r="F92" s="2" t="inlineStr">
        <is>
          <t>ŚREDNI</t>
        </is>
      </c>
      <c r="G92" s="2" t="inlineStr">
        <is>
          <t>OTWARTE</t>
        </is>
      </c>
    </row>
    <row r="93">
      <c r="A93" s="2" t="inlineStr">
        <is>
          <t>N92</t>
        </is>
      </c>
      <c r="B93" s="2" t="inlineStr">
        <is>
          <t>Plik LSI, część B (7.1, 7.3, 7.4, 3.1.3, 3.1.2 stawki PRz, 2.4, 2.1)</t>
        </is>
      </c>
      <c r="C93" s="2" t="inlineStr">
        <is>
          <t>Zdania ZNAJDŹ nie istnieją w wersji C; pochodzą z naszych plików Sekcja_7, Sekcja_3.1_*; w repozytorium wciąż „alarm dźwiękowy w kabinie”</t>
        </is>
      </c>
      <c r="D93" s="2" t="inlineStr">
        <is>
          <t>Poprawić pliki źródłowe albo wkleić pola w całości; po wklejeniu sprawdzić stare zdania (5 500 do 23 000 zł, 3 000 do 15 000 zł, „alerty dźwiękowe” w Z9)</t>
        </is>
      </c>
      <c r="E93" s="2" t="inlineStr">
        <is>
          <t>Zmiany 7.3 poz. 5; T52</t>
        </is>
      </c>
      <c r="F93" s="2" t="inlineStr">
        <is>
          <t>WYSOKI</t>
        </is>
      </c>
      <c r="G93" s="2" t="inlineStr">
        <is>
          <t>OTWARTE</t>
        </is>
      </c>
    </row>
    <row r="94">
      <c r="A94" s="2" t="inlineStr">
        <is>
          <t>N93</t>
        </is>
      </c>
      <c r="B94" s="2" t="inlineStr">
        <is>
          <t>R10 mitygacja kontra 2.2, Z11, 2.3 etap 0</t>
        </is>
      </c>
      <c r="C94" s="2" t="inlineStr">
        <is>
          <t>„Brak przeniesienia nie wstrzymuje wdrożenia” kontra „Do czasu przeniesienia Everest11 nie będzie sprzedawać”; pilotaż 11.2029 przed przeniesieniem 30.11.2029</t>
        </is>
      </c>
      <c r="D94" s="2" t="inlineStr">
        <is>
          <t>Wybrać jedną wersję (D57) i ujednolicić R10, 2.2, Z11</t>
        </is>
      </c>
      <c r="E94" s="2" t="inlineStr">
        <is>
          <t>Zmiany 7.3 poz. 6; K2-02; D57</t>
        </is>
      </c>
      <c r="F94" s="2" t="inlineStr">
        <is>
          <t>ŚREDNI</t>
        </is>
      </c>
      <c r="G94" s="2" t="inlineStr">
        <is>
          <t>OTWARTE</t>
        </is>
      </c>
    </row>
    <row r="95">
      <c r="A95" s="2" t="inlineStr">
        <is>
          <t>N94</t>
        </is>
      </c>
      <c r="B95" s="2" t="inlineStr">
        <is>
          <t>1.3 część IV i 2.4 reklamacja (plik LSI)</t>
        </is>
      </c>
      <c r="C95" s="2" t="inlineStr">
        <is>
          <t>„ok. czterokrotnie droższy”: 349/49 daje 7,1, 349/87 daje 4,0; „jedno roszczenie pokrywa koszt systemu” przy dolnej granicy 8 489 zł wobec 11 688 zł w pierwszym roku</t>
        </is>
      </c>
      <c r="D95" s="2" t="inlineStr">
        <is>
          <t>Wspólne sformułowanie z oboma porównaniami (87 zł UE i 49 zł PL); zdanie o zwrocie tylko dla roszczeń powyżej 11 688 zł</t>
        </is>
      </c>
      <c r="E95" s="2" t="inlineStr">
        <is>
          <t>Zmiany 7.3 poz. 7; K2-15</t>
        </is>
      </c>
      <c r="F95" s="2" t="inlineStr">
        <is>
          <t>ŚREDNI</t>
        </is>
      </c>
      <c r="G95" s="2" t="inlineStr">
        <is>
          <t>OTWARTE</t>
        </is>
      </c>
    </row>
    <row r="96">
      <c r="A96" s="2" t="inlineStr">
        <is>
          <t>N95</t>
        </is>
      </c>
      <c r="B96" s="2" t="inlineStr">
        <is>
          <t>Z2, Z9, 6.3 (plik LSI)</t>
        </is>
      </c>
      <c r="C96" s="2" t="inlineStr">
        <is>
          <t>Hajduk (dyrektor operacyjny Natanek) prowadzi inspekcje ground truth, a Natanek „nie ma dostępu do zbioru”; brak zdania o poufności wobec Natanek i MJA Partners</t>
        </is>
      </c>
      <c r="D96" s="2" t="inlineStr">
        <is>
          <t>Dopisać w 6.3 zdanie o dostępie Hajduka wyłącznie jako pracownika Everest11; potwierdzić fakty</t>
        </is>
      </c>
      <c r="E96" s="2" t="inlineStr">
        <is>
          <t>Zmiany 7.3 poz. 8; K3-11, K5-07; T51</t>
        </is>
      </c>
      <c r="F96" s="2" t="inlineStr">
        <is>
          <t>ŚREDNI</t>
        </is>
      </c>
      <c r="G96" s="2" t="inlineStr">
        <is>
          <t>OTWARTE</t>
        </is>
      </c>
    </row>
    <row r="97">
      <c r="A97" s="2" t="inlineStr">
        <is>
          <t>N96</t>
        </is>
      </c>
      <c r="B97" s="2" t="inlineStr">
        <is>
          <t>Z11 (M29) i Z9 (M30) (plik LSI)</t>
        </is>
      </c>
      <c r="C97" s="2" t="inlineStr">
        <is>
          <t>Raport techniczny Z9 jako „wejście do Z11”, a Z11 kończy się w M29</t>
        </is>
      </c>
      <c r="D97" s="2" t="inlineStr">
        <is>
          <t>Wejściem do Z11 są wyniki Fazy B do M29; okno korekt w M30 nie zmienia zgłoszenia</t>
        </is>
      </c>
      <c r="E97" s="2" t="inlineStr">
        <is>
          <t>Zmiany 7.3 poz. 9; K3-09, K3-22</t>
        </is>
      </c>
      <c r="F97" s="2" t="inlineStr">
        <is>
          <t>ŚREDNI</t>
        </is>
      </c>
      <c r="G97" s="2" t="inlineStr">
        <is>
          <t>OTWARTE</t>
        </is>
      </c>
    </row>
    <row r="98">
      <c r="A98" s="2" t="inlineStr">
        <is>
          <t>N97</t>
        </is>
      </c>
      <c r="B98" s="2" t="inlineStr">
        <is>
          <t>Z8 i Z9 (plik LSI)</t>
        </is>
      </c>
      <c r="C98" s="2" t="inlineStr">
        <is>
          <t>Reanotacja klas w M22 do M26, a anotatorzy Z2 kończą w M18; nie wskazano wykonawcy</t>
        </is>
      </c>
      <c r="D98" s="2" t="inlineStr">
        <is>
          <t>Dopisać, że reanotację wykonują specjaliści danych PRz w godzinach Z8; sprawdzić wystarczalność godzin (T53)</t>
        </is>
      </c>
      <c r="E98" s="2" t="inlineStr">
        <is>
          <t>Zmiany 7.3 poz. 10; K3-09, K3-12</t>
        </is>
      </c>
      <c r="F98" s="2" t="inlineStr">
        <is>
          <t>ŚREDNI</t>
        </is>
      </c>
      <c r="G98" s="2" t="inlineStr">
        <is>
          <t>OTWARTE</t>
        </is>
      </c>
    </row>
    <row r="99">
      <c r="A99" s="2" t="inlineStr">
        <is>
          <t>N98</t>
        </is>
      </c>
      <c r="B99" s="2" t="inlineStr">
        <is>
          <t>3.2.1 i wskaźnik 8.2 „Przychody poza RP” (plik LSI)</t>
        </is>
      </c>
      <c r="C99" s="2" t="inlineStr">
        <is>
          <t>Pole 8.2 w wersji C ma jeszcze 489 300 zł; Sekcja_3.2 część 6 mówi, że przychody poza RP wynikają z modelu od 2032-2033, a model tego nie zawiera</t>
        </is>
      </c>
      <c r="D99" s="2" t="inlineStr">
        <is>
          <t>Wkleić 8.2 z Sekcja_3.2 (0 zł, 2030, D40), zdanie o modelu zamienić na „nie zakładamy w prognozie”</t>
        </is>
      </c>
      <c r="E99" s="2" t="inlineStr">
        <is>
          <t>Zmiany 7.3 poz. 11; K14-01; D40</t>
        </is>
      </c>
      <c r="F99" s="2" t="inlineStr">
        <is>
          <t>ŚREDNI</t>
        </is>
      </c>
      <c r="G99" s="2" t="inlineStr">
        <is>
          <t>OTWARTE (do wklejenia)</t>
        </is>
      </c>
    </row>
    <row r="100">
      <c r="A100" s="2" t="inlineStr">
        <is>
          <t>N99</t>
        </is>
      </c>
      <c r="B100" s="2" t="inlineStr">
        <is>
          <t>Z10, 3.2.1, 3.2.3 (plik LSI i wersja C)</t>
        </is>
      </c>
      <c r="C100" s="2" t="inlineStr">
        <is>
          <t>Wydarzenie „misja gospodarcza do CEE (np. Czechy/Rumunia)” w budżecie, a w tekście misja do Czech; 2,15% kosztów B+R do przeliczenia; podróż osoby z kosztów pośrednich</t>
        </is>
      </c>
      <c r="D100" s="2" t="inlineStr">
        <is>
          <t>Ujednolicić nazwę, przeliczyć udział, sprawdzić 5.3.3 w Przewodniku</t>
        </is>
      </c>
      <c r="E100" s="2" t="inlineStr">
        <is>
          <t>Zmiany 7.3 poz. 12; K3-24, K3-65</t>
        </is>
      </c>
      <c r="F100" s="2" t="inlineStr">
        <is>
          <t>NISKI</t>
        </is>
      </c>
      <c r="G100" s="2" t="inlineStr">
        <is>
          <t>OTWARTE</t>
        </is>
      </c>
    </row>
    <row r="101">
      <c r="A101" s="2" t="inlineStr">
        <is>
          <t>N100</t>
        </is>
      </c>
      <c r="B101" s="2" t="inlineStr">
        <is>
          <t>Z1, Z3, Z5, Z7 (plik LSI)</t>
        </is>
      </c>
      <c r="C101" s="2" t="inlineStr">
        <is>
          <t>Gwiazdki „ToF*”, „kamery*”, „Z1*” bez objaśnienia (oznaczenie zależności od D06)</t>
        </is>
      </c>
      <c r="D101" s="2" t="inlineStr">
        <is>
          <t>Usunąć gwiazdki po D06 i D53; do tego czasu nie wklejać pól</t>
        </is>
      </c>
      <c r="E101" s="2" t="inlineStr">
        <is>
          <t>Zmiany 7.3 poz. 13; D06, D53, K3-55</t>
        </is>
      </c>
      <c r="F101" s="2" t="inlineStr">
        <is>
          <t>NISKI</t>
        </is>
      </c>
      <c r="G101" s="2" t="inlineStr">
        <is>
          <t>OTWARTE</t>
        </is>
      </c>
    </row>
    <row r="102">
      <c r="A102" s="2" t="inlineStr">
        <is>
          <t>N101</t>
        </is>
      </c>
      <c r="B102" s="2" t="inlineStr">
        <is>
          <t>Sekcja_3.2: pozycja 10-4 (uzasadnienie), nazwa wydarzenia misji w tabeli 3.2.1 wersji C, opis delegatów Z10</t>
        </is>
      </c>
      <c r="C102" s="2" t="inlineStr">
        <is>
          <t>10-4 powołuje „Przewodnik 5.3.4” (powinno być 5.3.3); misja „np. Czechy/Rumunia” wobec Czech w tekście; „obie osoby zatrudnione w Everest11”, a kierownik zarządzający jest na zleceniu i w kosztach pośrednich</t>
        </is>
      </c>
      <c r="D102" s="2" t="inlineStr">
        <is>
          <t>Zamienić na 5.3.3; nazwa „misja gospodarcza do Czech”; sprawdzić w Przewodniku wymóg zatrudnienia delegata i ewentualnie wskazać pracownika</t>
        </is>
      </c>
      <c r="E102" s="2" t="inlineStr">
        <is>
          <t>Zmiany 8.5; K3-24, K3-65</t>
        </is>
      </c>
      <c r="F102" s="2" t="inlineStr">
        <is>
          <t>NISKI</t>
        </is>
      </c>
      <c r="G102" s="2" t="inlineStr">
        <is>
          <t>OTWARTE</t>
        </is>
      </c>
    </row>
    <row r="103">
      <c r="A103" s="2" t="inlineStr">
        <is>
          <t>N102</t>
        </is>
      </c>
      <c r="B103" s="2" t="inlineStr">
        <is>
          <t>R11 plan zastępczy (plik LSI, Opisy_zadan) i 6.2 Flota testowa</t>
        </is>
      </c>
      <c r="C103" s="2" t="inlineStr">
        <is>
          <t>Opisy_zadan miały czwarty element: pojazdy w najmie Everest11 (5 do 20); plik LSI go pomija, a 6.2 opisuje flotę jako udostępnioną przez Natanek Logistics</t>
        </is>
      </c>
      <c r="D103" s="2" t="inlineStr">
        <is>
          <t>Potwierdzić, czy aneks do umów najmu (T02) powstaje; jeśli tak, dopisać element; jeśli nie, zostawić trzy</t>
        </is>
      </c>
      <c r="E103" s="2" t="inlineStr">
        <is>
          <t>Zmiany 8.2; T02</t>
        </is>
      </c>
      <c r="F103" s="2" t="inlineStr">
        <is>
          <t>NISKI</t>
        </is>
      </c>
      <c r="G103"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 | Godziny Z8 PRz zaktualizowane (N77). | ZAMKNIĘTY (D50): zmiany wyłącznie wg Zmiany_do_wprowadzenia_w_plikach_zamknietych.docx</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 | ZAMKNIĘTY (D50): zmiany wyłącznie wg Zmiany_do_wprowadzenia_w_plikach_zamknietych.docx</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czas przyszły; zadania T32</t>
        </is>
      </c>
      <c r="D10" s="2" t="inlineStr">
        <is>
          <t>Właścicielka, PRz: T32.</t>
        </is>
      </c>
    </row>
    <row r="11">
      <c r="A11" s="2" t="inlineStr">
        <is>
          <t>Sekcja_3.1_sprzet_i_amortyzacja.docx</t>
        </is>
      </c>
      <c r="B11" s="2" t="inlineStr">
        <is>
          <t>WP08: 14 pozycji Amortyzacja (aparatura i sprzęt), K3-48 do K3-58</t>
        </is>
      </c>
      <c r="C11" s="2" t="inlineStr">
        <is>
          <t>GOTOWY (0 żółtych), czas przyszły; decyzje D42, D06</t>
        </is>
      </c>
      <c r="D11" s="2" t="inlineStr">
        <is>
          <t>Dział techniczny, księgowa, zakupy: T33, T34, T35.</t>
        </is>
      </c>
    </row>
    <row r="12">
      <c r="A12" s="2" t="inlineStr">
        <is>
          <t>Sekcja_3.1_podwykonawstwo_i_stawki_PRz.docx</t>
        </is>
      </c>
      <c r="B12" s="2" t="inlineStr">
        <is>
          <t>WP07 i część WP06: podwykonawstwo Z2/Z9 (K3-43..47), R8, stawki wynagrodzeń PRz 40 pozycji (K3-41, K3-42)</t>
        </is>
      </c>
      <c r="C12" s="2" t="inlineStr">
        <is>
          <t>WERSJA OSTATECZNA (poprawki właścicielki), czas przyszły, 0 żółtych</t>
        </is>
      </c>
      <c r="D12" s="2" t="inlineStr">
        <is>
          <t>Opcjonalnie T37.</t>
        </is>
      </c>
    </row>
    <row r="13">
      <c r="A13" s="2" t="inlineStr">
        <is>
          <t>Sekcja_K6_sprawozdanie_2Q2026_model.docx</t>
        </is>
      </c>
      <c r="B13" s="2" t="inlineStr">
        <is>
          <t>WP11 (część K6): dane za II kwartał 2026 w modelu Everest11, prognoza, wpływ na wyniki, komentarze, wariant rotacji zobowiązań</t>
        </is>
      </c>
      <c r="C13" s="2" t="inlineStr">
        <is>
          <t>GOTOWY: części 2 (zmiany w modelu, w tym 2.4 rotacje i 2.5 harmonogram płatności), 3, 4 (komentarze), 5-7, 8 (propozycje D53)</t>
        </is>
      </c>
      <c r="D13" s="2" t="inlineStr">
        <is>
          <t>Właścicielka: D46 (rotacje), D53 (zatwierdzenie propozycji); dział techniczny: T46; załączniki: T41.</t>
        </is>
      </c>
    </row>
    <row r="14">
      <c r="A14" s="2" t="inlineStr">
        <is>
          <t>Model_finansowy_CargoDT_Everest_II_kwartal_2026.xlsm</t>
        </is>
      </c>
      <c r="B14" s="2" t="inlineStr">
        <is>
          <t>WP11: model Everest11 z danymi za II kwartał 2026, prognozą I półrocze x2, rotacjami z I półrocza (po odpowiedzi księgowej) i poprawionymi komentarzami (Sprawozdania, Przychody, Koszty, Kapitał pracujący, Ocena kondycji, Założenia); przeliczony kontrolnie (57 581 liczb zgodnych) | 05.10: komentarze po D47-D49 (Przychody, Koszty, Opłacalność, Finansowanie, Kapitał pracujący) | 05.10 wieczór: harmonogram płatności skorygowany (K6-14), dopisek Koszty (K2-13, N58), tekst K6-12 bez 6,3 mln zł, zdanie o tajemnicy umowy z Amazon</t>
        </is>
      </c>
      <c r="C14" s="2" t="inlineStr">
        <is>
          <t>GOTOWY; D46 wprowadzona (do potwierdzenia); po otwarciu w Excelu zapisać plik</t>
        </is>
      </c>
      <c r="D14" s="2" t="inlineStr">
        <is>
          <t>Właścicielka: D46; Excel: otworzyć, zapisać, sprawdzić kontrolki.</t>
        </is>
      </c>
    </row>
    <row r="15">
      <c r="A15" s="2" t="inlineStr">
        <is>
          <t>Zmiany_do_wprowadzenia_w_plikach_zamknietych.docx</t>
        </is>
      </c>
      <c r="B15" s="2" t="inlineStr">
        <is>
          <t>Zestawienie zmian w Sekcja_1.3, Poprawki (R11, R12), Opisy zadań (R12, Z9) i w polach LSI po odpowiedziach księgowej, odpisie KRS i decyzjach D47-D49</t>
        </is>
      </c>
      <c r="C15" s="2" t="inlineStr">
        <is>
          <t>GOTOWY</t>
        </is>
      </c>
      <c r="D15" s="2" t="inlineStr">
        <is>
          <t>Właścicielka: T48</t>
        </is>
      </c>
    </row>
    <row r="16">
      <c r="A16" s="2" t="inlineStr">
        <is>
          <t>Poprawki_do_wklejenia_WP01-WP03.docx</t>
        </is>
      </c>
      <c r="B16" s="2" t="inlineStr">
        <is>
          <t>WP01-WP03: poprawki do pól 3.1.1, kamieni milowych i ryzyk (w tym R11, R12)</t>
        </is>
      </c>
      <c r="C16" s="2" t="inlineStr">
        <is>
          <t>ZAMKNIĘTY (D50)</t>
        </is>
      </c>
      <c r="D16" s="2" t="inlineStr">
        <is>
          <t>Zmiany wyłącznie wg Zmiany_do_wprowadzenia_w_plikach_zamknietych.docx.</t>
        </is>
      </c>
    </row>
    <row r="17">
      <c r="A17" s="2" t="inlineStr">
        <is>
          <t>Komentarze_model_finansowy_PRz.docx</t>
        </is>
      </c>
      <c r="B17" s="2" t="inlineStr">
        <is>
          <t>WP11 (K6): komentarze do 10 arkuszy modelu PRz, mapa wymagań Instrukcji, odpowiedzi na K6-14 i K6-17, błędy starych komentarzy, decyzje do modelu</t>
        </is>
      </c>
      <c r="C17" s="2" t="inlineStr">
        <is>
          <t>GOTOWY do wklejenia po potwierdzeniach PRz (żółte, T58)</t>
        </is>
      </c>
      <c r="D17" s="2" t="inlineStr">
        <is>
          <t>PRz (kwestor): potwierdzenia z części 6. Model PRz zmieniony 06.10 (koszty pośrednie, stawka 0%). Komentarze Everest: po akceptacji tego kroku (T57).</t>
        </is>
      </c>
    </row>
    <row r="18">
      <c r="A18" s="2" t="inlineStr">
        <is>
          <t>Komentarze_model_finansowy_Everest.docx</t>
        </is>
      </c>
      <c r="B18" s="2" t="inlineStr">
        <is>
          <t>WP11 (K6): komentarze do 11 arkuszy modelu Everest11, mapa wymagań Instrukcji, odpowiedzi na K6-01..K6-18, zmiana wkładu własnego (zastępuje części 4 i 9 Sekcja_K6)</t>
        </is>
      </c>
      <c r="C18" s="2" t="inlineStr">
        <is>
          <t>GOTOWY do wklejenia po uzupełnieniu żółtych pól (T61)</t>
        </is>
      </c>
      <c r="D18" s="2" t="inlineStr">
        <is>
          <t>Właścicielka i inwestor: część 6 dokumentu.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2026-10-06T16:51:41Z</dcterms:modified>
</cp:coreProperties>
</file>