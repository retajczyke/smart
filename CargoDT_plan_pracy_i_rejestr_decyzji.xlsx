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 ZMIANA 06.10.2026 (D59): baza „ponad 50 kontrahentów” zostaje we wniosku, ale bez słowa „aktywnych” i bez „bieżącej współpracy”.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(wartość 0 zł w 2030 r.)</t>
        </is>
      </c>
      <c r="C59" s="2" t="inlineStr">
        <is>
          <t>ZASTĘPUJE wcześniejszą propozycję z 06.10 (pierwsza licencja CEE w 2030). Obowiązuje D40: wartość 0 zł w 2030 r., ryzyko komentarza eksperta zaakceptowane. Do zrobienia: wkleić pole 8.2 z Sekcja_3.2 część 6 i zamienić zdanie „wynikają z modelu od 2032-2033” na „przychodów poza RP nie zakładamy w prognozie”, bo model nie ma sprzedaży zagranicznej.</t>
        </is>
      </c>
      <c r="D59" s="16" t="inlineStr">
        <is>
          <t>ZAMKNIĘTA (D40), do wklejenia</t>
        </is>
      </c>
      <c r="E59" s="2" t="inlineStr">
        <is>
          <t>Właścicielka</t>
        </is>
      </c>
      <c r="F59" s="2" t="inlineStr">
        <is>
          <t>K14-01, K3-24, K2-05</t>
        </is>
      </c>
    </row>
    <row r="60">
      <c r="A60" s="2" t="inlineStr">
        <is>
          <t>D59</t>
        </is>
      </c>
      <c r="B60" s="2" t="inlineStr">
        <is>
          <t>Baza „ponad 50 kontrahentów” zostaje we wniosku (zmienia D48)</t>
        </is>
      </c>
      <c r="C60" s="2" t="inlineStr">
        <is>
          <t>Decyzja właścicielki 06.10.2026: kontrahenci istnieją, ale nie są aktywni. Sformułowania: „baza ponad 50 kontrahentów Everest11, z którymi spółka współpracowała, także obecnie nieaktywnych”; bez „aktywnych” i „bieżącej współpracy”. Ryzyko: uwaga K2-01 prosi o strukturę bazy; potrzebny wyciąg z TMS (T55). Komentarze w modelu (Przychody, Koszty, Opłacalność) nie wymagają zmian, bo już nie powołują się na bazę.</t>
        </is>
      </c>
      <c r="D60" s="16" t="inlineStr">
        <is>
          <t>ZATWIERDZONA (sformułowania do potwierdzenia)</t>
        </is>
      </c>
      <c r="E60" s="2" t="inlineStr">
        <is>
          <t>Właścicielka</t>
        </is>
      </c>
      <c r="F60" s="2" t="inlineStr">
        <is>
          <t>K2-01, K2-16, K6-05</t>
        </is>
      </c>
    </row>
    <row r="61">
      <c r="A61" s="2" t="inlineStr">
        <is>
          <t>D60</t>
        </is>
      </c>
      <c r="B61" s="2" t="inlineStr">
        <is>
          <t>Model PRz po wniosku wersja C (2) z 06.10.2026: budżet bez zmian, poprawione błędy techniczne</t>
        </is>
      </c>
      <c r="C61" s="2" t="inlineStr">
        <is>
          <t>Wniosek: PRz wydatki ogółem 1 067 936,90 zł, kwalifikowalne i dofinansowanie 1 033 965,90 zł (100%), środki własne 33 971 zł (VAT od aparatury). Model PRz (Zaliczka-refundacja: razem 1 067 936,90 / 1 033 965,90 / 1 033 965,90) zgodny; kategorie (amortyzacja 147,7 tys., koszty pośrednie 206,8 tys., personel 679,5 tys.) zgodne w zaokrągleniu do tys. Zaliczki 90,00% dofinansowania, max transza 22,3%, pierwsza 5,5%. Poprawiono tylko błędy techniczne: zbłąkane formuły (#VALUE!, #DIV/0!) w arkuszach Zaliczka-refundacja i Zaliczka-refundacja Konsorcjum (35 komórek) oraz 42 komórki z #N/A i #VALUE! w ukrytych wierszach szablonu (Środki trwałe 40, Koszty operacyjne 1, Założenia J134), z zachowaniem kontroli błędnych danych. Przeliczenie w LibreOffice: poza usuniętymi błędami żadna wartość w modelu się nie zmieniła. Te same 42 komórki są w modelu Everest i poprawię je w kroku Everest. Plik: Model_finansowy_CargoDT_PRz.xlsm. Następny krok: model Everest. ZMIANA 06.10 (liczby): harmonogram Zaliczka-refundacja PRz przebudowany wg harmonogramu kosztów z wniosku (zadania Z1 M1-M9, Z3 M6-M18, Z4/Z5 M19-M27, Z8 M22-M30, aparatura i VAT 33 971 zł w I półr. 2027): II/2026 56 868,12; I/2027 308 392,89 (wydatki ogółem 342 363,89 z VAT); II/2027 152 773,06; I/2028 136 613,86; II/2028 198 564,77; I/2029 76 322,64; II/2029 refundacja 104 430,56. Suma bez zmian (1 067 936,90 / 1 033 965,90). Zaliczki 89,90% (było 90,00%), pierwsza 5,50%, największa 29,8%. Koszty odtworzone z wniosku sumują się co do grosza do 1 033 965,90 zł. Komentarze PRz: w drugiej kolejności.</t>
        </is>
      </c>
      <c r="D61" s="16" t="inlineStr">
        <is>
          <t>WPROWADZONA W MODELU PRz</t>
        </is>
      </c>
      <c r="E61" s="2" t="inlineStr">
        <is>
          <t>Claude, właścicielka</t>
        </is>
      </c>
      <c r="F61" s="2" t="inlineStr">
        <is>
          <t>K6-14</t>
        </is>
      </c>
    </row>
    <row r="62">
      <c r="A62" s="2" t="inlineStr">
        <is>
          <t>D61</t>
        </is>
      </c>
      <c r="B62" s="2" t="inlineStr">
        <is>
          <t>Komentarze do modelu PRz (po akceptacji modelu): cztery decyzje o samym modelu</t>
        </is>
      </c>
      <c r="C62" s="2" t="inlineStr">
        <is>
          <t>Komentarze gotowe: Komentarze_model_finansowy_PRz.docx (10 arkuszy, 2 200-5 900 znaków; mapa wymagań Instrukcji, odpowiedzi na K6-14 i K6-17, błędy starych komentarzy). Decyzje do podjęcia: (1) dane PRz za 2023 i 2024 r. w arkuszu Sprawozdania (Instrukcja pkt 5b wymaga trzech lat; bez nich rachunek przepływów 2025 pokazuje dopłaty do kapitału 339 418 tys. zł); (2) koszty pośrednie 206 793,18 zł z „Usługi obce (Projekt)” do „Pozostałe koszty rodzajowe” (Instrukcja, Koszty, uwaga 4); (3) stawka amortyzacji kosztów prac rozwojowych w Środkach trwałych C195/C196: wpisanie 0% usuwa komunikat „uzupełnij dane” bez zmiany liczb (20% dodałoby 39 tys. zł amortyzacji w 2029); (4) koszty dotychczasowej działalności w jednej pozycji łącznie z amortyzacją (Instrukcja: z wyjątkiem amortyzacji): bez zmiany liczb, tylko opis. Rekomendacja: 1 tak, 2 tak, 3 tak (0%), 4 zostawić.</t>
        </is>
      </c>
      <c r="D62" s="16" t="inlineStr">
        <is>
          <t>DO ZATWIERDZENIA</t>
        </is>
      </c>
      <c r="E62" s="2" t="inlineStr">
        <is>
          <t>Właścicielka, PRz (dane 2023-2024)</t>
        </is>
      </c>
      <c r="F62" s="2" t="inlineStr">
        <is>
          <t>K6-01, K6-14, K6-17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  <row r="57">
      <c r="A57" s="4" t="inlineStr">
        <is>
          <t>T56</t>
        </is>
      </c>
      <c r="B57" s="4" t="inlineStr">
        <is>
          <t>Wkleić pola docelowe z Zmiany część 8: R11 (opis i zapobieganie), R12 (3.1 i 3.2 plus po jednym zdaniu), budżet 3.2.3 i 3.2.5 z Sekcja_3.2, pole 8.2 z poprawionym zdaniem</t>
        </is>
      </c>
      <c r="C57" s="4" t="inlineStr">
        <is>
          <t>Teksty gotowe w części 8 dokumentu „Zmiany”. Brakuje tylko dwóch ofert rzecznika dla 11-1 i 11-2 (T36) i decyzji o delegacie na kongres.</t>
        </is>
      </c>
      <c r="D57" s="4" t="inlineStr">
        <is>
          <t>Właścicielka</t>
        </is>
      </c>
      <c r="E57" s="4" t="inlineStr">
        <is>
          <t>06.10</t>
        </is>
      </c>
      <c r="F57" s="4" t="inlineStr">
        <is>
          <t>N89, N98, N101, N102</t>
        </is>
      </c>
      <c r="G57" s="4" t="inlineStr">
        <is>
          <t>OTWARTE</t>
        </is>
      </c>
    </row>
    <row r="58">
      <c r="A58" s="4" t="inlineStr">
        <is>
          <t>T57</t>
        </is>
      </c>
      <c r="B58" s="4" t="inlineStr">
        <is>
          <t>Model Everest po wniosku wersja C (2): wkład własny ogółem 1 253 357,99 -&gt; 1 250 555,58 zł (-2 802,41), wydatki ogółem Everest 4 217 654,10 -&gt; 4 214 851,69 zł, VAT niekwalifikowalny 80 937,78 -&gt; 78 135,37 zł; zaktualizować komentarze (Finansowanie) i Sekcja_K6; sprawdzić Środki trwałe</t>
        </is>
      </c>
      <c r="C58" s="4" t="inlineStr">
        <is>
          <t>Dopiero po zatwierdzeniu modelu PRz przez właścicielkę (kolejność: PRz, potem Everest). Konsorcjum: harmonogram PRz w arkuszu Zaliczka-refundacja Konsorcjum (F = Everest + PRz) przeliczyć wg nowego harmonogramu PRz (D60).</t>
        </is>
      </c>
      <c r="D58" s="4" t="inlineStr">
        <is>
          <t>Claude</t>
        </is>
      </c>
      <c r="E58" s="4" t="inlineStr">
        <is>
          <t>po akceptacji PRz</t>
        </is>
      </c>
      <c r="F58" s="4" t="inlineStr">
        <is>
          <t>D60, D54</t>
        </is>
      </c>
      <c r="G58" s="4" t="inlineStr">
        <is>
          <t>OTWARTE</t>
        </is>
      </c>
    </row>
    <row r="59">
      <c r="A59" s="4" t="inlineStr">
        <is>
          <t>T58</t>
        </is>
      </c>
      <c r="B59" s="4" t="inlineStr">
        <is>
          <t>Wkleić komentarze PRz do modelu PRz (Komentarze_model_finansowy_PRz.docx, część 4) i usunąć żółte warianty</t>
        </is>
      </c>
      <c r="C59" s="4" t="inlineStr">
        <is>
          <t>Po decyzjach D61 (1-3). Teksty mają potwierdzenia PRz do uzupełnienia na żółto (przyczyna zmiany stanu produktów 2025 r. dla K6-17, podstawa zwolnienia z CIT, numer uchwały planu 2026, struktura przychodów, tryb odzyskania VAT 33 971 zł, stawki godzinowe).</t>
        </is>
      </c>
      <c r="D59" s="4" t="inlineStr">
        <is>
          <t>Właścicielka</t>
        </is>
      </c>
      <c r="E59" s="4" t="inlineStr">
        <is>
          <t>06.10</t>
        </is>
      </c>
      <c r="F59" s="4" t="inlineStr">
        <is>
          <t>K6-01, K6-14, K6-17; D61</t>
        </is>
      </c>
      <c r="G59" s="4" t="inlineStr">
        <is>
          <t>OTWARTE</t>
        </is>
      </c>
    </row>
    <row r="60">
      <c r="A60" s="4" t="inlineStr">
        <is>
          <t>T59</t>
        </is>
      </c>
      <c r="B60" s="4" t="inlineStr">
        <is>
          <t>Sprawozdania PRz za 2023 i 2024 r. (bilans i RZiS) do arkusza Sprawozdania finansowe</t>
        </is>
      </c>
      <c r="C60" s="4" t="inlineStr">
        <is>
          <t>Instrukcja pkt 5b wymaga trzech lat historycznych. Po wprowadzeniu: wariant do wklejenia w komentarzu Sprawozdania (2023-2024), usunięcie zdania o przepływach 2025 z Oceny kondycji, sprawdzenie wskaźników.</t>
        </is>
      </c>
      <c r="D60" s="4" t="inlineStr">
        <is>
          <t>Właścicielka (PRz) + Claude</t>
        </is>
      </c>
      <c r="E60" s="4" t="inlineStr">
        <is>
          <t>06.10</t>
        </is>
      </c>
      <c r="F60" s="4" t="inlineStr">
        <is>
          <t>D61 pkt 1</t>
        </is>
      </c>
      <c r="G6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  <row r="35">
      <c r="A35" s="2" t="inlineStr">
        <is>
          <t>E34</t>
        </is>
      </c>
      <c r="B35" s="2" t="inlineStr">
        <is>
          <t>06.10 napisałam, że model „nie zakłada sprzedaży zagranicznej” i że K14-01 jest otwarta (D58: pierwsza licencja CEE w 2030). To było niepełne: K14-01 rozwiązuje D40 i Sekcja_3.2 część 6 (0 zł w 2030), a modelu nie da się jednoznacznie określić, bo nie rozdziela przychodów na kraje; Sekcja_3.2 (CEE w modelu od 2032-2033) i komentarz Przychody (bez sprzedaży zagranicznej) są ze sobą sprzeczne.</t>
        </is>
      </c>
      <c r="C35" s="2" t="inlineStr">
        <is>
          <t>Poprawione w Zmiany 7.3 poz. 4 i 11, D58 zastąpiona, N91 i N98 przepisane; do ustalenia jedno zdanie o CEE (Zmiany 8.5).</t>
        </is>
      </c>
    </row>
    <row r="36">
      <c r="A36" s="2" t="inlineStr">
        <is>
          <t>E35</t>
        </is>
      </c>
      <c r="B36" s="2" t="inlineStr">
        <is>
          <t>Przy poprawianiu modelu PRz (D60) sprawdziłam liczby i błędy techniczne, ale nie porównałam modelu z pkt 5b Instrukcji (trzy lata historyczne dla organizacji badawczych z odzyskiwanym VAT) ani z uwagą 4 (koszty pośrednie w Pozostałych kosztach rodzajowych). Wyszło to dopiero przy komentarzach. Poprzedni komentarz PRz twierdził, że brak lat wcześniejszych wynika z zasad dla organizacji badawczych, a okres prognozy 5 lat jest wymogiem; oba twierdzenia były błędne.</t>
        </is>
      </c>
      <c r="C36" s="2" t="inlineStr">
        <is>
          <t>Zapisane w D61 jako decyzje 1 i 2; nowe komentarze nie powtarzają błędnych twierdzeń; model PRz do zmiany po Twojej decyzji.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Zostawić bazę (D59), usunąć „aktywnych” i „bieżącą współpracę”; Strategia: „z kontaktów handlowych”; K2-01 wymaga struktury bazy (T55)</t>
        </is>
      </c>
      <c r="E89" s="2" t="inlineStr">
        <is>
          <t>Zmiany 7.3 poz. 1; K2-01; D47</t>
        </is>
      </c>
      <c r="F89" s="2" t="inlineStr">
        <is>
          <t>ŚREDNI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komentarz modelu (bez sprzedaży zagranicznej) kontra Sekcja_3.2 i D40 (CEE od 2032-2033 w modelu)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Pole 8.2 w wersji C ma jeszcze 489 300 zł; Sekcja_3.2 część 6 mówi, że przychody poza RP wynikają z modelu od 2032-2033, a model tego nie zawiera</t>
        </is>
      </c>
      <c r="D99" s="2" t="inlineStr">
        <is>
          <t>Wkleić 8.2 z Sekcja_3.2 (0 zł, 2030, D40), zdanie o modelu zamienić na „nie zakładamy w prognozie”</t>
        </is>
      </c>
      <c r="E99" s="2" t="inlineStr">
        <is>
          <t>Zmiany 7.3 poz. 11; K14-01; D40</t>
        </is>
      </c>
      <c r="F99" s="2" t="inlineStr">
        <is>
          <t>ŚREDNI</t>
        </is>
      </c>
      <c r="G99" s="2" t="inlineStr">
        <is>
          <t>OTWARTE (do wklejenia)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  <row r="102">
      <c r="A102" s="2" t="inlineStr">
        <is>
          <t>N101</t>
        </is>
      </c>
      <c r="B102" s="2" t="inlineStr">
        <is>
          <t>Sekcja_3.2: pozycja 10-4 (uzasadnienie), nazwa wydarzenia misji w tabeli 3.2.1 wersji C, opis delegatów Z10</t>
        </is>
      </c>
      <c r="C102" s="2" t="inlineStr">
        <is>
          <t>10-4 powołuje „Przewodnik 5.3.4” (powinno być 5.3.3); misja „np. Czechy/Rumunia” wobec Czech w tekście; „obie osoby zatrudnione w Everest11”, a kierownik zarządzający jest na zleceniu i w kosztach pośrednich</t>
        </is>
      </c>
      <c r="D102" s="2" t="inlineStr">
        <is>
          <t>Zamienić na 5.3.3; nazwa „misja gospodarcza do Czech”; sprawdzić w Przewodniku wymóg zatrudnienia delegata i ewentualnie wskazać pracownika</t>
        </is>
      </c>
      <c r="E102" s="2" t="inlineStr">
        <is>
          <t>Zmiany 8.5; K3-24, K3-65</t>
        </is>
      </c>
      <c r="F102" s="2" t="inlineStr">
        <is>
          <t>NISKI</t>
        </is>
      </c>
      <c r="G102" s="2" t="inlineStr">
        <is>
          <t>OTWARTE</t>
        </is>
      </c>
    </row>
    <row r="103">
      <c r="A103" s="2" t="inlineStr">
        <is>
          <t>N102</t>
        </is>
      </c>
      <c r="B103" s="2" t="inlineStr">
        <is>
          <t>R11 plan zastępczy (plik LSI, Opisy_zadan) i 6.2 Flota testowa</t>
        </is>
      </c>
      <c r="C103" s="2" t="inlineStr">
        <is>
          <t>Opisy_zadan miały czwarty element: pojazdy w najmie Everest11 (5 do 20); plik LSI go pomija, a 6.2 opisuje flotę jako udostępnioną przez Natanek Logistics</t>
        </is>
      </c>
      <c r="D103" s="2" t="inlineStr">
        <is>
          <t>Potwierdzić, czy aneks do umów najmu (T02) powstaje; jeśli tak, dopisać element; jeśli nie, zostawić trzy</t>
        </is>
      </c>
      <c r="E103" s="2" t="inlineStr">
        <is>
          <t>Zmiany 8.2; T02</t>
        </is>
      </c>
      <c r="F103" s="2" t="inlineStr">
        <is>
          <t>NISKI</t>
        </is>
      </c>
      <c r="G10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  <row r="17">
      <c r="A17" s="2" t="inlineStr">
        <is>
          <t>Komentarze_model_finansowy_PRz.docx</t>
        </is>
      </c>
      <c r="B17" s="2" t="inlineStr">
        <is>
          <t>WP11 (K6): komentarze do 10 arkuszy modelu PRz, mapa wymagań Instrukcji, odpowiedzi na K6-14 i K6-17, błędy starych komentarzy, decyzje do modelu</t>
        </is>
      </c>
      <c r="C17" s="2" t="inlineStr">
        <is>
          <t>GOTOWY do wklejenia po decyzjach D61 i potwierdzeniach PRz (żółte)</t>
        </is>
      </c>
      <c r="D17" s="2" t="inlineStr">
        <is>
          <t>Właścicielka: D61 (1-4); PRz: potwierdzenia z części 6. Komentarze Everest: po akceptacji tego kroku (T57).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2026-10-06T16:05:41Z</dcterms:modified>
</cp:coreProperties>
</file>