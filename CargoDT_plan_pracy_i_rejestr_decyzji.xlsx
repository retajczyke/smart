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_Zasady" sheetId="1" state="visible" r:id="rId1"/>
    <sheet xmlns:r="http://schemas.openxmlformats.org/officeDocument/2006/relationships" name="1_Decyzje" sheetId="2" state="visible" r:id="rId2"/>
    <sheet xmlns:r="http://schemas.openxmlformats.org/officeDocument/2006/relationships" name="2_Do_zrobienia" sheetId="3" state="visible" r:id="rId3"/>
    <sheet xmlns:r="http://schemas.openxmlformats.org/officeDocument/2006/relationships" name="3_Pakiety_pól" sheetId="4" state="visible" r:id="rId4"/>
    <sheet xmlns:r="http://schemas.openxmlformats.org/officeDocument/2006/relationships" name="4_Ceny_źródła" sheetId="5" state="visible" r:id="rId5"/>
    <sheet xmlns:r="http://schemas.openxmlformats.org/officeDocument/2006/relationships" name="5_Model_marży" sheetId="6" state="visible" r:id="rId6"/>
    <sheet xmlns:r="http://schemas.openxmlformats.org/officeDocument/2006/relationships" name="6_Aneks_flota" sheetId="7" state="visible" r:id="rId7"/>
    <sheet xmlns:r="http://schemas.openxmlformats.org/officeDocument/2006/relationships" name="7_Kontrola_błędów" sheetId="8" state="visible" r:id="rId8"/>
    <sheet xmlns:r="http://schemas.openxmlformats.org/officeDocument/2006/relationships" name="8_Moje_błędy_i_korekty" sheetId="9" state="visible" r:id="rId9"/>
    <sheet xmlns:r="http://schemas.openxmlformats.org/officeDocument/2006/relationships" name="9_Niespójności" sheetId="10" state="visible" r:id="rId10"/>
    <sheet xmlns:r="http://schemas.openxmlformats.org/officeDocument/2006/relationships" name="10_Podział_etatów" sheetId="11" state="visible" r:id="rId11"/>
    <sheet xmlns:r="http://schemas.openxmlformats.org/officeDocument/2006/relationships" name="11_Dokumenty"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b val="1"/>
      <sz val="14"/>
    </font>
    <font>
      <b val="1"/>
      <color rgb="00FFFFFF"/>
    </font>
    <font>
      <b val="1"/>
      <sz val="12"/>
    </font>
    <font>
      <b val="1"/>
    </font>
    <font>
      <i val="1"/>
      <color rgb="00666666"/>
    </font>
  </fonts>
  <fills count="10">
    <fill>
      <patternFill/>
    </fill>
    <fill>
      <patternFill patternType="gray125"/>
    </fill>
    <fill>
      <patternFill patternType="solid">
        <fgColor rgb="001F3864"/>
      </patternFill>
    </fill>
    <fill>
      <patternFill patternType="solid">
        <fgColor rgb="00C6EFCE"/>
      </patternFill>
    </fill>
    <fill>
      <patternFill patternType="solid">
        <fgColor rgb="00F8CBAD"/>
      </patternFill>
    </fill>
    <fill>
      <patternFill patternType="solid">
        <fgColor rgb="00FFEB9C"/>
      </patternFill>
    </fill>
    <fill>
      <patternFill patternType="solid">
        <fgColor rgb="00FFF2CC"/>
      </patternFill>
    </fill>
    <fill>
      <patternFill patternType="solid">
        <fgColor rgb="00D9E2F3"/>
      </patternFill>
    </fill>
    <fill>
      <patternFill patternType="solid">
        <fgColor rgb="00C6E0B4"/>
      </patternFill>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2" fillId="2"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0" fillId="6" borderId="0" applyAlignment="1" pivotButton="0" quotePrefix="0" xfId="0">
      <alignment vertical="top" wrapText="1"/>
    </xf>
    <xf numFmtId="0" fontId="0" fillId="5"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4" fillId="7" borderId="0" applyAlignment="1" pivotButton="0" quotePrefix="0" xfId="0">
      <alignment vertical="top" wrapText="1"/>
    </xf>
    <xf numFmtId="0" fontId="0" fillId="8" borderId="0" applyAlignment="1" pivotButton="0" quotePrefix="0" xfId="0">
      <alignment vertical="top" wrapText="1"/>
    </xf>
    <xf numFmtId="0" fontId="5" fillId="0" borderId="0" pivotButton="0" quotePrefix="0" xfId="0"/>
    <xf numFmtId="0" fontId="4" fillId="0" borderId="0" pivotButton="0" quotePrefix="0" xfId="0"/>
    <xf numFmtId="0" fontId="4" fillId="7" borderId="0" pivotButton="0" quotePrefix="0" xfId="0"/>
    <xf numFmtId="164" fontId="0" fillId="6" borderId="0" pivotButton="0" quotePrefix="0" xfId="0"/>
    <xf numFmtId="0" fontId="2" fillId="9"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50" customWidth="1" min="1" max="1"/>
  </cols>
  <sheetData>
    <row r="1">
      <c r="A1" s="1" t="inlineStr">
        <is>
          <t>CargoDT - plan pracy i rejestr decyzji (stan: 02.10.2026, termin korekty w LSI: 06.10.2026)</t>
        </is>
      </c>
    </row>
    <row r="2">
      <c r="A2" s="2" t="inlineStr"/>
    </row>
    <row r="3">
      <c r="A3" s="2" t="inlineStr">
        <is>
          <t>JEDNO ŹRÓDŁO PRAWDY: ten plik + arkusz "Rejestr uwag". Czat służy tylko do statusów i decyzji.</t>
        </is>
      </c>
    </row>
    <row r="4">
      <c r="A4" s="2" t="inlineStr">
        <is>
          <t>1. Praca po polach LSI (arkusz 3), nie po pojedynczych uwagach. Pole piszemy raz, odpowiadając na wszystkie przypisane do niego uwagi.</t>
        </is>
      </c>
    </row>
    <row r="5">
      <c r="A5" s="2" t="inlineStr">
        <is>
          <t>2. Kolejność: najpierw pakiety, które mogą dać 0 pkt w K1/K2/K3 lub NIE w K5/K6 (priorytet P1), potem P2.</t>
        </is>
      </c>
    </row>
    <row r="6">
      <c r="A6" s="2" t="inlineStr">
        <is>
          <t>3. Maksymalnie kilka pozycji w jednej wiadomości. Wątki poboczne trafiają do "Wątki otwarte" (arkusz 2) i nie blokują pakietów.</t>
        </is>
      </c>
    </row>
    <row r="7">
      <c r="A7" s="2" t="inlineStr">
        <is>
          <t>4. Każda liczba ma źródło (arkusz 4) albo jest oznaczona jako ZAŁOŻENIE. Zakaz dopasowywania liczb do sumy bez źródła.</t>
        </is>
      </c>
    </row>
    <row r="8">
      <c r="A8" s="2" t="inlineStr">
        <is>
          <t>5. Status "Zweryfikowane" w Rejestrze nadajemy dopiero po kontroli w arkuszu 7 (nie przez autora tekstu).</t>
        </is>
      </c>
    </row>
    <row r="9">
      <c r="A9" s="2" t="inlineStr">
        <is>
          <t>6. Zmiany spoza zakresu wezwania są oceniane (Regulamin par. 8 ust. 15) - każda zmiana musi mieć powód (ID uwagi albo skutek uboczny).</t>
        </is>
      </c>
    </row>
    <row r="10">
      <c r="A10" s="2" t="inlineStr">
        <is>
          <t>7. Twarde ograniczenia: dofinansowanie nie rośnie (projekt 3 998 262,02 zł; Everest11 2 964 296,12 zł; PRz 1 033 965,90 zł); brak nowych osób i nowych podwykonawców B+R; 1 zadanie = 1 konsorcjant; 276 h/mies.; limit 15% wydatków fakultatywnych; podwykonawstwo &lt;=50% (Lider).</t>
        </is>
      </c>
    </row>
    <row r="11">
      <c r="A11" s="2" t="inlineStr"/>
    </row>
    <row r="12">
      <c r="A12" s="2" t="inlineStr">
        <is>
          <t>Terminarz: czw 01.10 decyzje + księga kosztów | pt 02.10 pakiety WP01-WP03, WP06-WP09 (K3) | pon 05.10 WP04, WP05, WP10, WP11 | wt 06.10 WP12, kontrola (arkusz 7), wklejenie do LSI</t>
        </is>
      </c>
    </row>
    <row r="13">
      <c r="A13" s="2" t="inlineStr">
        <is>
          <t>Legenda statusów decyzji: ZATWIERDZONA / POTWIERDZONE (zamknięte) | W TOKU / DO POTWIERDZENIA (żółte) | OTWARTA* (czerwone, wymaga decyzji lub konsultacji)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2"/>
  <sheetViews>
    <sheetView workbookViewId="0">
      <pane ySplit="1" topLeftCell="A2" activePane="bottomLeft" state="frozen"/>
      <selection pane="bottomLeft" activeCell="A1" sqref="A1"/>
    </sheetView>
  </sheetViews>
  <sheetFormatPr baseColWidth="8" defaultRowHeight="15"/>
  <cols>
    <col width="7" customWidth="1" min="1" max="1"/>
    <col width="45" customWidth="1" min="2" max="2"/>
    <col width="95" customWidth="1" min="3" max="3"/>
    <col width="18" customWidth="1" min="4" max="4"/>
    <col width="22" customWidth="1" min="5" max="5"/>
    <col width="30" customWidth="1" min="6" max="6"/>
  </cols>
  <sheetData>
    <row r="1">
      <c r="A1" s="3" t="inlineStr">
        <is>
          <t>ID</t>
        </is>
      </c>
      <c r="B1" s="3" t="inlineStr">
        <is>
          <t>Temat</t>
        </is>
      </c>
      <c r="C1" s="3" t="inlineStr">
        <is>
          <t>Decyzja / ustalenie</t>
        </is>
      </c>
      <c r="D1" s="3" t="inlineStr">
        <is>
          <t>Status</t>
        </is>
      </c>
      <c r="E1" s="3" t="inlineStr">
        <is>
          <t>Kto</t>
        </is>
      </c>
      <c r="F1" s="3" t="inlineStr">
        <is>
          <t>Powiązane uwagi</t>
        </is>
      </c>
    </row>
    <row r="2">
      <c r="A2" s="4" t="inlineStr">
        <is>
          <t>D01</t>
        </is>
      </c>
      <c r="B2" s="4" t="inlineStr">
        <is>
          <t>Amortyzacja jednorazowa dla wszystkich pozycji</t>
        </is>
      </c>
      <c r="C2" s="4" t="inlineStr">
        <is>
          <t>Zatwierdzona. Opis każdej pozycji: podstawa (polityka rachunkowości), używanie wyłącznie w projekcie, likwidacja po M30 z protokołem (potwierdzone: Everest11 i PRz), brak współfinansowania z innych źródeł. Ryzyko: jeśli sprzęt faktycznie zostaje po M30, zapis byłby nieprawdziwy.</t>
        </is>
      </c>
      <c r="D2" s="5" t="inlineStr">
        <is>
          <t>ZATWIERDZONA</t>
        </is>
      </c>
      <c r="E2" s="4" t="inlineStr">
        <is>
          <t>Właściciel</t>
        </is>
      </c>
      <c r="F2" s="4" t="inlineStr">
        <is>
          <t>K3-50..58, K3-56, K3-57</t>
        </is>
      </c>
    </row>
    <row r="3">
      <c r="A3" s="4" t="inlineStr">
        <is>
          <t>D02</t>
        </is>
      </c>
      <c r="B3" s="4" t="inlineStr">
        <is>
          <t>Internacjonalizacja zostaje (Z10 i Z11)</t>
        </is>
      </c>
      <c r="C3" s="4" t="inlineStr">
        <is>
          <t>Zatwierdzona; zmiana kategorii wydatków przy sumie bez zmian. Podróże wg stawki jednostkowej (5.3.3/5.3.4), materiały promocyjne tylko jako element dekoracyjny stoiska (5.3.1), badanie zdolności patentowej = de minimis (5.3.11), tekst o wytwarzaniu produktu w Polsce.</t>
        </is>
      </c>
      <c r="D3" s="5" t="inlineStr">
        <is>
          <t>ZATWIERDZONA</t>
        </is>
      </c>
      <c r="E3" s="4" t="inlineStr">
        <is>
          <t>Właściciel</t>
        </is>
      </c>
      <c r="F3" s="4" t="inlineStr">
        <is>
          <t>K3-23, K3-24, K3-59..66, K14-01</t>
        </is>
      </c>
    </row>
    <row r="4">
      <c r="A4" s="4" t="inlineStr">
        <is>
          <t>D03</t>
        </is>
      </c>
      <c r="B4" s="4" t="inlineStr">
        <is>
          <t>Z1/Z3/Z4/Z6 bronione jako B+R</t>
        </is>
      </c>
      <c r="C4" s="4" t="inlineStr">
        <is>
          <t>Zatwierdzona. Do opisów: hipoteza, niepewność techniczna, eksperyment, mierzalny wynik; rutynowe elementy usunięte z zakresu i kosztów.</t>
        </is>
      </c>
      <c r="D4" s="5" t="inlineStr">
        <is>
          <t>ZATWIERDZONA</t>
        </is>
      </c>
      <c r="E4" s="4" t="inlineStr">
        <is>
          <t>Właściciel</t>
        </is>
      </c>
      <c r="F4" s="4" t="inlineStr">
        <is>
          <t>K3-01..08</t>
        </is>
      </c>
    </row>
    <row r="5">
      <c r="A5" s="4" t="inlineStr">
        <is>
          <t>D04</t>
        </is>
      </c>
      <c r="B5" s="4" t="inlineStr">
        <is>
          <t>Walidacja AUC: klasa pozytywna = zdarzenie ryzyka, podział danych, progi</t>
        </is>
      </c>
      <c r="C5" s="4" t="inlineStr">
        <is>
          <t>Zatwierdzona ("ok"). Do uzupełnienia danymi: liczba przesyłek na kurs (Natanek/Everest11).</t>
        </is>
      </c>
      <c r="D5" s="5" t="inlineStr">
        <is>
          <t>ZATWIERDZONA</t>
        </is>
      </c>
      <c r="E5" s="4" t="inlineStr">
        <is>
          <t>Właściciel</t>
        </is>
      </c>
      <c r="F5" s="4" t="inlineStr">
        <is>
          <t>K3-04, K3-15, K3-18; K1-03</t>
        </is>
      </c>
    </row>
    <row r="6">
      <c r="A6" s="4" t="inlineStr">
        <is>
          <t>D05</t>
        </is>
      </c>
      <c r="B6" s="4" t="inlineStr">
        <is>
          <t>Ścieżka audytu Z9 (inspekcja na ślepo, log niemodyfikowalny, zamrożony skrypt, niezależny ewaluator, próbka 10%, podpis kierowników, PRz tylko odbiór metodyczny w Z8)</t>
        </is>
      </c>
      <c r="C6" s="4" t="inlineStr">
        <is>
          <t>Zatwierdzona.</t>
        </is>
      </c>
      <c r="D6" s="5" t="inlineStr">
        <is>
          <t>ZATWIERDZONA</t>
        </is>
      </c>
      <c r="E6" s="4" t="inlineStr">
        <is>
          <t>Właściciel</t>
        </is>
      </c>
      <c r="F6" s="4" t="inlineStr">
        <is>
          <t>K3-11, K3-12, K3-29; K5-04, K5-07, K5-12</t>
        </is>
      </c>
    </row>
    <row r="7">
      <c r="A7" s="4" t="inlineStr">
        <is>
          <t>D06</t>
        </is>
      </c>
      <c r="B7" s="4" t="inlineStr">
        <is>
          <t>Tor pomiarowy Z2 / typy i liczba kamer</t>
        </is>
      </c>
      <c r="C7" s="4" t="inlineStr">
        <is>
          <t>OTWARTA*: do konsultacji z działem technicznym. Rekomendacja: prawdziwy ToF (OAK-D Pro W to active stereo), 1 ToF + 1 EO na naczepę, konfiguracja 3-4 kamer testowana w laboratorium PRz. W tekście do czasu decyzji oznaczenie *.</t>
        </is>
      </c>
      <c r="D7" s="6" t="inlineStr">
        <is>
          <t>OTWARTA*</t>
        </is>
      </c>
      <c r="E7" s="4" t="inlineStr">
        <is>
          <t>Właściciel + dział techniczny</t>
        </is>
      </c>
      <c r="F7" s="4" t="inlineStr">
        <is>
          <t>K3-55, K3-02</t>
        </is>
      </c>
    </row>
    <row r="8">
      <c r="A8" s="4" t="inlineStr">
        <is>
          <t>D07</t>
        </is>
      </c>
      <c r="B8" s="4" t="inlineStr">
        <is>
          <t>Backend/Full-Stack: Z6 (M19-M27) 9 mies. + Z9 (M28-M30) 3 mies.; koszt łączny bez zmian (260 280 zł)</t>
        </is>
      </c>
      <c r="C8" s="4" t="inlineStr">
        <is>
          <t>Zatwierdzona. Wymaga dopisania zakresu w Z9 i usunięcia "utrzymania" i rutynowych integracji z Z6.</t>
        </is>
      </c>
      <c r="D8" s="5" t="inlineStr">
        <is>
          <t>ZATWIERDZONA</t>
        </is>
      </c>
      <c r="E8" s="4" t="inlineStr">
        <is>
          <t>Właściciel</t>
        </is>
      </c>
      <c r="F8" s="4" t="inlineStr">
        <is>
          <t>K3-08, K3-36, K3-37; K5-02</t>
        </is>
      </c>
    </row>
    <row r="9">
      <c r="A9" s="4" t="inlineStr">
        <is>
          <t>D08</t>
        </is>
      </c>
      <c r="B9" s="4" t="inlineStr">
        <is>
          <t>Montaż pozostaje podwykonawstwem B+R (nie zmieniamy kategorii)</t>
        </is>
      </c>
      <c r="C9" s="4" t="inlineStr">
        <is>
          <t>Zatwierdzona. Uzupełnić wymagania minimalne dla niewybranego podwykonawcy.</t>
        </is>
      </c>
      <c r="D9" s="5" t="inlineStr">
        <is>
          <t>ZATWIERDZONA</t>
        </is>
      </c>
      <c r="E9" s="4" t="inlineStr">
        <is>
          <t>Właściciel</t>
        </is>
      </c>
      <c r="F9" s="4" t="inlineStr">
        <is>
          <t>K3-03, K3-44, K3-45; K5-19</t>
        </is>
      </c>
    </row>
    <row r="10">
      <c r="A10" s="4" t="inlineStr">
        <is>
          <t>D09</t>
        </is>
      </c>
      <c r="B10" s="4" t="inlineStr">
        <is>
          <t>Data wdrożenia = start sprzedaży 01/2030</t>
        </is>
      </c>
      <c r="C10" s="4" t="inlineStr">
        <is>
          <t>Zatwierdzona. Ujednolicić we wniosku i modelu finansowym.</t>
        </is>
      </c>
      <c r="D10" s="5" t="inlineStr">
        <is>
          <t>ZATWIERDZONA</t>
        </is>
      </c>
      <c r="E10" s="4" t="inlineStr">
        <is>
          <t>Właściciel</t>
        </is>
      </c>
      <c r="F10" s="4" t="inlineStr">
        <is>
          <t>K2-06, K14-01</t>
        </is>
      </c>
    </row>
    <row r="11">
      <c r="A11" s="4" t="inlineStr">
        <is>
          <t>D10</t>
        </is>
      </c>
      <c r="B11" s="4" t="inlineStr">
        <is>
          <t>Flota własna Everest11: 5 pojazdów w najmie (zestawy ciągnik+naczepa), wzrost do 20</t>
        </is>
      </c>
      <c r="C11" s="4" t="inlineStr">
        <is>
          <t>Zatwierdzona. Aneks do umów podpisany przed wysłaniem poprawki; do wniosku bez załączników, treść umów opisana w tekście (klauzule: arkusz 6). ZASTĄPIONE 02.10.2026: 5 ciągników siodłowych z naczepami na podstawie umowy partnerskiej z Natanek Logistics od 03.2025, z prawem do danych z pojazdów; teksty nie mówią o pojazdach własnych Everest11 w najmie.</t>
        </is>
      </c>
      <c r="D11" s="5" t="inlineStr">
        <is>
          <t>ZATWIERDZONA</t>
        </is>
      </c>
      <c r="E11" s="4" t="inlineStr">
        <is>
          <t>Właściciel</t>
        </is>
      </c>
      <c r="F11" s="4" t="inlineStr">
        <is>
          <t>K2-01, K2-16, K2-04</t>
        </is>
      </c>
    </row>
    <row r="12">
      <c r="A12" s="4" t="inlineStr">
        <is>
          <t>D11</t>
        </is>
      </c>
      <c r="B12" s="4" t="inlineStr">
        <is>
          <t>Model cenowo-kosztowy: dwie klasy produktu (premium &lt;10% sprzedaży, koszt ok. 30 tys. zł; podstawowa), marża łączna 10%</t>
        </is>
      </c>
      <c r="C12" s="4" t="inlineStr">
        <is>
          <t>W TOKU: model w arkuszu 5. Przy domyślnych założeniach (rabat 30% poza Jetsonem) koszt serii wersji podstawowej to ok. 7,6 tys. zł, a cena dla marży łącznej 10% ok. 8,6 tys. zł. Przy cenie 7 500 zł marża łączna 10% wymaga kosztu serii &lt;= ok. 6,6 tys. zł (parametry edytowalne). ROZSTRZYGNIĘCIE 02.10.2026: koszt komponentów w modelu (4 875 zł za zestaw) zostaje bez zmian; do uzupełnienia podstawa kwoty (N57).</t>
        </is>
      </c>
      <c r="D12" s="7" t="inlineStr">
        <is>
          <t>W TOKU</t>
        </is>
      </c>
      <c r="E12" s="4" t="inlineStr">
        <is>
          <t>Claude + właściciel</t>
        </is>
      </c>
      <c r="F12" s="4" t="inlineStr">
        <is>
          <t>K2-12, K2-13, K2-14, K2-15</t>
        </is>
      </c>
    </row>
    <row r="13">
      <c r="A13" s="4" t="inlineStr">
        <is>
          <t>D12</t>
        </is>
      </c>
      <c r="B13" s="4" t="inlineStr">
        <is>
          <t>Kamera ToF PRz typ 2: 10 000 zł</t>
        </is>
      </c>
      <c r="C13" s="4" t="inlineStr">
        <is>
          <t>Zatwierdzona przez właściciela. Uwaga: ceny katalogowe przemysłowych ToF (Basler blaze 1 579 EUR, Lucid Helios2+ 1 800 EUR) to ok. 6,9-7,9 tys. zł za kamerę; 10 000 zł jest spójne tylko jako ZESTAW (kamera + zasilanie/PoE + obudowa/uchwyt + kable). Opis pozycji musi mówić "zestaw", a pozycja "Akcesoria typ 2" nie może dublować tych elementów.</t>
        </is>
      </c>
      <c r="D13" s="5" t="inlineStr">
        <is>
          <t>ZATWIERDZONA</t>
        </is>
      </c>
      <c r="E13" s="4" t="inlineStr">
        <is>
          <t>Właściciel</t>
        </is>
      </c>
      <c r="F13" s="4" t="inlineStr">
        <is>
          <t>K3-50</t>
        </is>
      </c>
    </row>
    <row r="14">
      <c r="A14" s="4" t="inlineStr">
        <is>
          <t>D13</t>
        </is>
      </c>
      <c r="B14" s="4" t="inlineStr">
        <is>
          <t>Dokument "Badanie stanu techniki" nie jest udostępniany - poza zakresem poprawek</t>
        </is>
      </c>
      <c r="C14" s="4" t="inlineStr">
        <is>
          <t>Zatwierdzona. Uwaga: K2-09/K1-01 dotyczą treści pól w LSI ("Opis uzyskanych wyników"), więc przykłady z baz trzeba wpisać w LSI.</t>
        </is>
      </c>
      <c r="D14" s="5" t="inlineStr">
        <is>
          <t>ZATWIERDZONA</t>
        </is>
      </c>
      <c r="E14" s="4" t="inlineStr">
        <is>
          <t>Właściciel</t>
        </is>
      </c>
      <c r="F14" s="4" t="inlineStr">
        <is>
          <t>K2-09, K1-01</t>
        </is>
      </c>
    </row>
    <row r="15">
      <c r="A15" s="4" t="inlineStr">
        <is>
          <t>D14</t>
        </is>
      </c>
      <c r="B15" s="4" t="inlineStr">
        <is>
          <t>Edge AI w Z2: ceny z cenników publicznych (nie oferty)</t>
        </is>
      </c>
      <c r="C15" s="4" t="inlineStr">
        <is>
          <t>W TOKU: arkusz 4 (Jetson Orin Nano 8 GB moduł ok. 1 400-1 520 zł). Liczba kompletów i klasa dysku zależą od D06.</t>
        </is>
      </c>
      <c r="D15" s="7" t="inlineStr">
        <is>
          <t>W TOKU</t>
        </is>
      </c>
      <c r="E15" s="4" t="inlineStr">
        <is>
          <t>Claude</t>
        </is>
      </c>
      <c r="F15" s="4" t="inlineStr">
        <is>
          <t>K3-48, K3-49</t>
        </is>
      </c>
    </row>
    <row r="16">
      <c r="A16" s="4" t="inlineStr">
        <is>
          <t>D15</t>
        </is>
      </c>
      <c r="B16" s="4" t="inlineStr">
        <is>
          <t>Pkt 5.6: pracownik Everest11 jako ground truth (rozwiązanie proceduralne z D05)</t>
        </is>
      </c>
      <c r="C16" s="4" t="inlineStr">
        <is>
          <t>Zatwierdzona.</t>
        </is>
      </c>
      <c r="D16" s="5" t="inlineStr">
        <is>
          <t>ZATWIERDZONA</t>
        </is>
      </c>
      <c r="E16" s="4" t="inlineStr">
        <is>
          <t>Właściciel</t>
        </is>
      </c>
      <c r="F16" s="4" t="inlineStr">
        <is>
          <t>K3-11</t>
        </is>
      </c>
    </row>
    <row r="17">
      <c r="A17" s="4" t="inlineStr">
        <is>
          <t>D16</t>
        </is>
      </c>
      <c r="B17" s="4" t="inlineStr">
        <is>
          <t>Wskaźnik AUC: baza = metoda referencyjna (progowy alarm EN 12195-1) zmierzona w KM-Z4</t>
        </is>
      </c>
      <c r="C17" s="4" t="inlineStr">
        <is>
          <t>Zatwierdzona do próby: baza = detektor progowy wg EN 12195-1 zmierzony na tym samym teście w Z4 (opis w Z4 i KM-Z4). Właściciel: "spróbuj taką jak rekomendujesz, najwyżej zmienisz".</t>
        </is>
      </c>
      <c r="D17" s="5" t="inlineStr">
        <is>
          <t>ZATWIERDZONA</t>
        </is>
      </c>
      <c r="E17" s="4" t="inlineStr">
        <is>
          <t>Właściciel</t>
        </is>
      </c>
      <c r="F17" s="4" t="inlineStr">
        <is>
          <t>K1-03</t>
        </is>
      </c>
    </row>
    <row r="18">
      <c r="A18" s="4" t="inlineStr">
        <is>
          <t>D17</t>
        </is>
      </c>
      <c r="B18" s="4" t="inlineStr">
        <is>
          <t>6R: REFUSE -&gt; REDUCE (uwaga eksperta K13-02: REFUSE wymaga 100%)</t>
        </is>
      </c>
      <c r="C18" s="4" t="inlineStr">
        <is>
          <t>Zatwierdzona (TAK): REDUCE ze wskaźnikiem ograniczenia dokumentów papierowych (WP12).</t>
        </is>
      </c>
      <c r="D18" s="5" t="inlineStr">
        <is>
          <t>ZATWIERDZONA</t>
        </is>
      </c>
      <c r="E18" s="4" t="inlineStr">
        <is>
          <t>Właściciel</t>
        </is>
      </c>
      <c r="F18" s="4" t="inlineStr">
        <is>
          <t>K13-02, K13-03</t>
        </is>
      </c>
    </row>
    <row r="19">
      <c r="A19" s="4" t="inlineStr">
        <is>
          <t>D18</t>
        </is>
      </c>
      <c r="B19" s="4" t="inlineStr">
        <is>
          <t>Parametry KM w jednostkach SI (g -&gt; m/s^2; TOPS jako wyjątek z uzasadnieniem)</t>
        </is>
      </c>
      <c r="C19" s="4" t="inlineStr">
        <is>
          <t>Zatwierdzona (zasada użytkownika).</t>
        </is>
      </c>
      <c r="D19" s="5" t="inlineStr">
        <is>
          <t>ZATWIERDZONA</t>
        </is>
      </c>
      <c r="E19" s="4" t="inlineStr">
        <is>
          <t>Właściciel</t>
        </is>
      </c>
      <c r="F19" s="4" t="inlineStr">
        <is>
          <t>K3-14..22</t>
        </is>
      </c>
    </row>
    <row r="20">
      <c r="A20" s="4" t="inlineStr">
        <is>
          <t>D19</t>
        </is>
      </c>
      <c r="B20" s="4" t="inlineStr">
        <is>
          <t>Kordos i Chrzanowski: wynagrodzenie w kosztach pośrednich; oświadczenie, że nie pełnią funkcji zarządczych na PRz</t>
        </is>
      </c>
      <c r="C20" s="4" t="inlineStr">
        <is>
          <t>Zatwierdzona. Biografia Chrzanowskiego: funkcje "koordynatora wydziałowego" opisać jako przeszłe.</t>
        </is>
      </c>
      <c r="D20" s="5" t="inlineStr">
        <is>
          <t>ZATWIERDZONA</t>
        </is>
      </c>
      <c r="E20" s="4" t="inlineStr">
        <is>
          <t>Właściciel</t>
        </is>
      </c>
      <c r="F20" s="4" t="inlineStr">
        <is>
          <t>K3-33, K5-08, K5-09</t>
        </is>
      </c>
    </row>
    <row r="21">
      <c r="A21" s="4" t="inlineStr">
        <is>
          <t>D20</t>
        </is>
      </c>
      <c r="B21" s="4" t="inlineStr">
        <is>
          <t>Źródła rynkowe (liczba naczep, liczba firm)</t>
        </is>
      </c>
      <c r="C21" s="4" t="inlineStr">
        <is>
          <t>W TOKU: Eurostat road_eqs_semit (2023: 544,97 tys.), GITD (licencje wspólnotowe 43 280 na 07.2026). Do pobrania: wartość Eurostat 2024 z datą. "76 tys. firm" i "200 tys. naczep MŚP" bez źródła.</t>
        </is>
      </c>
      <c r="D21" s="7" t="inlineStr">
        <is>
          <t>W TOKU</t>
        </is>
      </c>
      <c r="E21" s="4" t="inlineStr">
        <is>
          <t>Claude + właściciel</t>
        </is>
      </c>
      <c r="F21" s="4" t="inlineStr">
        <is>
          <t>K2-05, K2-11, K1-05</t>
        </is>
      </c>
    </row>
    <row r="22">
      <c r="A22" s="2" t="inlineStr">
        <is>
          <t>D21</t>
        </is>
      </c>
      <c r="B22" s="2" t="inlineStr">
        <is>
          <t>K3-05: drugi anotator próby κ</t>
        </is>
      </c>
      <c r="C22" s="2" t="inlineStr">
        <is>
          <t>Trzech anotatorów Everest11 + konsensus ze specjalistą TSL; PRz tylko odbiera dataset (zakaz wzajemnego zlecania zadań personelowi, Instrukcja i Przewodnik). Zmiana względem Rejestru.</t>
        </is>
      </c>
      <c r="D22" s="12" t="inlineStr">
        <is>
          <t>DO POTWIERDZENIA</t>
        </is>
      </c>
      <c r="E22" s="2" t="inlineStr">
        <is>
          <t>Właściciel</t>
        </is>
      </c>
      <c r="F22" s="2" t="inlineStr">
        <is>
          <t>K3-05</t>
        </is>
      </c>
    </row>
    <row r="23">
      <c r="A23" s="2" t="inlineStr">
        <is>
          <t>D22</t>
        </is>
      </c>
      <c r="B23" s="2" t="inlineStr">
        <is>
          <t>Spójność mAP z AUC</t>
        </is>
      </c>
      <c r="C23" s="2" t="inlineStr">
        <is>
          <t>KM-Z9: mAP po kompresji ≥ 0,72 (0,75 minus 3 pp); wskaźnik innowacyjności 0,75 dotyczy FP32.</t>
        </is>
      </c>
      <c r="D23" s="12" t="inlineStr">
        <is>
          <t>DO POTWIERDZENIA</t>
        </is>
      </c>
      <c r="E23" s="2" t="inlineStr">
        <is>
          <t>Właściciel + dział techniczny</t>
        </is>
      </c>
      <c r="F23" s="2" t="inlineStr">
        <is>
          <t>K3-15, K3-19</t>
        </is>
      </c>
    </row>
    <row r="24">
      <c r="A24" s="2" t="inlineStr">
        <is>
          <t>D23</t>
        </is>
      </c>
      <c r="B24" s="2" t="inlineStr">
        <is>
          <t>Jeden KM na zadanie</t>
        </is>
      </c>
      <c r="C24" s="2" t="inlineStr">
        <is>
          <t>Punkt kontrolny M10 jest elementem KM-Z3 (bez KM-Z3b).</t>
        </is>
      </c>
      <c r="D24" s="13" t="inlineStr">
        <is>
          <t>ZATWIERDZONA</t>
        </is>
      </c>
      <c r="E24" s="2" t="inlineStr">
        <is>
          <t>Claude</t>
        </is>
      </c>
      <c r="F24" s="2" t="inlineStr">
        <is>
          <t>K3-22</t>
        </is>
      </c>
    </row>
    <row r="25">
      <c r="A25" s="2" t="inlineStr">
        <is>
          <t>D24</t>
        </is>
      </c>
      <c r="B25" s="2" t="inlineStr">
        <is>
          <t>Zakres B+R w Z6: integracje (API TMS, Trans.eu, TimoCom, e-CMR) zostają jako czynności techniczne i pomocnicze w środowisku testowym, w zakresie niezbędnym do testów i walidacji</t>
        </is>
      </c>
      <c r="C25" s="2" t="inlineStr">
        <is>
          <t>Zmiana po uwadze właściciela: Przewodnik (3.3.1) zalicza do personelu projektu także pracowników technicznych i pomocniczych, a Kryteria wykluczają prace rutynowe „niezwiązane” z B+R; ekspert (uwaga 38) dopuszcza je w zakresie niezbędnym do testowania i walidacji prototypu. Poza zakresem: wdrożenie produkcyjne, produkcyjny dashboard, utrzymanie. Wykonują IT Specialist (API, integracje testowe) i Backend (wsparcie, potok, test eFTI). Nakład do uzasadnienia proporcją względem prac badawczych w Z6.</t>
        </is>
      </c>
      <c r="D25" s="16" t="inlineStr">
        <is>
          <t>ZATWIERDZONA</t>
        </is>
      </c>
      <c r="E25" s="2" t="inlineStr">
        <is>
          <t>Właściciel</t>
        </is>
      </c>
      <c r="F25" s="2" t="inlineStr">
        <is>
          <t>K3-08</t>
        </is>
      </c>
    </row>
    <row r="26">
      <c r="A26" s="2" t="inlineStr">
        <is>
          <t>D25</t>
        </is>
      </c>
      <c r="B26" s="2" t="inlineStr">
        <is>
          <t>Niezależność Z9</t>
        </is>
      </c>
      <c r="C26" s="2" t="inlineStr">
        <is>
          <t>Ścieżka audytu zastępuje decyzję "PRz ocenia Z9" (kolizja z zasadą jednego konsorcjanta).</t>
        </is>
      </c>
      <c r="D26" s="13" t="inlineStr">
        <is>
          <t>ZATWIERDZONA</t>
        </is>
      </c>
      <c r="E26" s="2" t="inlineStr">
        <is>
          <t>Właściciel</t>
        </is>
      </c>
      <c r="F26" s="2" t="inlineStr">
        <is>
          <t>K3-11, K3-12</t>
        </is>
      </c>
    </row>
    <row r="27">
      <c r="A27" s="2" t="inlineStr">
        <is>
          <t>D26</t>
        </is>
      </c>
      <c r="B27" s="2" t="inlineStr">
        <is>
          <t>Progi no-go i wartości do potwierdzenia</t>
        </is>
      </c>
      <c r="C27" s="2" t="inlineStr">
        <is>
          <t>61 wartości liczbowych w dokumencie Poprawki_do_wklejenia_WP01-WP03.docx (podświetlone) do potwierdzenia przez zespół techniczny przed wklejeniem. Odwołuje się do Rady Konsorcjum z § 9 umowy konsorcjum (D27).</t>
        </is>
      </c>
      <c r="D27" s="14" t="inlineStr">
        <is>
          <t>OTWARTA*</t>
        </is>
      </c>
      <c r="E27" s="2" t="inlineStr">
        <is>
          <t>Dział techniczny</t>
        </is>
      </c>
      <c r="F27" s="2" t="inlineStr">
        <is>
          <t>K3-14..32</t>
        </is>
      </c>
    </row>
    <row r="28">
      <c r="A28" s="2" t="inlineStr">
        <is>
          <t>D27</t>
        </is>
      </c>
      <c r="B28" s="2" t="inlineStr">
        <is>
          <t>Rada Konsorcjum (§ 9 umowy konsorcjum) jako organ oceniający kamienie i rekomendujący go/no-go</t>
        </is>
      </c>
      <c r="C28" s="2" t="inlineStr">
        <is>
          <t>Opisy KM i ryzyk odwołują się do Rady Konsorcjum z § 9 umowy konsorcjum: po jednym przedstawicielu każdego członka, przewodniczy kierownik zarządzający Maciej Chrzanowski, posiedzenia co najmniej raz na 6 miesięcy, protokoły, ocena merytoryczna i formalna realizacji zadań na wniosek kierownika zarządzającego, rekomendowanie zmian w harmonogramie i wniosku. Rada jest organem doradczym, więc decyzję o zmianie zakresu podejmuje kierownik zarządzający, a zmiany w harmonogramie zgłasza do instytucji. We wniosku stosujemy wyłącznie nazwę „kierownik zarządzający” (wymóg konkursu); nazwa „Kierownik Projektu” z umowy konsorcjum nie pojawia się. Skład osobowy Rady zostanie ustalony po otrzymaniu dofinansowania i nie jest wpisywany do wniosku.</t>
        </is>
      </c>
      <c r="D28" s="11" t="inlineStr">
        <is>
          <t>ZATWIERDZONA</t>
        </is>
      </c>
      <c r="E28" s="2" t="inlineStr">
        <is>
          <t>Właściciel</t>
        </is>
      </c>
      <c r="F28" s="2" t="inlineStr">
        <is>
          <t>K5-05, K3-21</t>
        </is>
      </c>
    </row>
    <row r="29">
      <c r="A29" s="2" t="inlineStr">
        <is>
          <t>D28</t>
        </is>
      </c>
      <c r="B29" s="2" t="inlineStr">
        <is>
          <t>Niezależna weryfikacja KM zadań PRz przez AI Lead Everest11 (przeliczenie metryk na zamrożonym zbiorze)</t>
        </is>
      </c>
      <c r="C29" s="2" t="inlineStr">
        <is>
          <t>Sposób zapewnienia niezależnego nadzoru nad zadaniami PRz, skoro obaj kierownicy są pracownikami PRz (K5-09). Wpisane w polu weryfikacji KM-Z1, Z3, Z4, Z5, Z7, Z8.</t>
        </is>
      </c>
      <c r="D29" s="11" t="inlineStr">
        <is>
          <t>DO POTWIERDZENIA</t>
        </is>
      </c>
      <c r="E29" s="2" t="inlineStr">
        <is>
          <t>Właściciel</t>
        </is>
      </c>
      <c r="F29" s="2" t="inlineStr">
        <is>
          <t>K5-09, K3-12</t>
        </is>
      </c>
    </row>
    <row r="30">
      <c r="A30" s="2" t="inlineStr">
        <is>
          <t>D29</t>
        </is>
      </c>
      <c r="B30" s="2" t="inlineStr">
        <is>
          <t>Podział etatów 6 stanowisk Everest11 między Z6, Z7 i Z9</t>
        </is>
      </c>
      <c r="C30" s="2" t="inlineStr">
        <is>
          <t>Wariant właściciela: M19-M21 40% Z6 i 60% Z7 (wszyscy); M22-M27 po 1/3 (AI Lead, AI Senior, IT) oraz 20/40/40 (IoT, cyber) i 20/30/50 (TSL) w Z6/Z7/Z9; M28-M30 100% Z9. Koszt łączny bez zmian. Nowe koszty personelu Everest11 z Backendem (Z6 195 210 zł, Z9 65 070 zł): Z6 434 041,00 zł, Z7 308 871,62 zł, Z9 477 149,88 zł; razem 1 220 062,50 zł. Dofinansowanie bez zmian (60%). Wymaga potwierdzenia przez zespół techniczny i wpisania udziałów w zakresy czynności.</t>
        </is>
      </c>
      <c r="D30" s="11" t="inlineStr">
        <is>
          <t>DO POTWIERDZENIA</t>
        </is>
      </c>
      <c r="E30" s="2" t="inlineStr">
        <is>
          <t>Claude + właściciel</t>
        </is>
      </c>
      <c r="F30" s="2" t="inlineStr">
        <is>
          <t>K3-36, K3-37</t>
        </is>
      </c>
    </row>
    <row r="31">
      <c r="A31" s="2" t="inlineStr">
        <is>
          <t>D30</t>
        </is>
      </c>
      <c r="B31" s="2" t="inlineStr">
        <is>
          <t>Dokumentacja AI Act, RODO i patentowa poza kosztami B+R w Z2, Z6, Z9; patent tylko w Z11</t>
        </is>
      </c>
      <c r="C31" s="2" t="inlineStr">
        <is>
          <t>Dostosować 6.1 (Kosterna: dokumentacja patentowa; Hajduk: ocena trafności alertów) do opisów zadań.</t>
        </is>
      </c>
      <c r="D31" s="11" t="inlineStr">
        <is>
          <t>DO POTWIERDZENIA</t>
        </is>
      </c>
      <c r="E31" s="2" t="inlineStr">
        <is>
          <t>Właściciel</t>
        </is>
      </c>
      <c r="F31" s="2" t="inlineStr">
        <is>
          <t>K3-38, K3-40, K3-11, K3-66</t>
        </is>
      </c>
    </row>
    <row r="32">
      <c r="A32" s="2" t="inlineStr">
        <is>
          <t>D31</t>
        </is>
      </c>
      <c r="B32" s="2" t="inlineStr">
        <is>
          <t>Nazwa zadania Z6 zmieniona na „Pipeline PoL/PoC i zgodność z eFTI (Z6)”</t>
        </is>
      </c>
      <c r="C32" s="2" t="inlineStr">
        <is>
          <t>Nazwa obejmuje integracje, które opis Z6 wyłącza z prac B+R. Rekomendacja: zmiana nazwy na „Pipeline PoL/PoC i zgodność z eFTI (Z6)”. Nazwa wpisywana jest raz w 3.1.1 i pobierana automatycznie przez pozycje kosztowe, więc zmiana jest jednorazowa (do sprawdzenia w LSI).</t>
        </is>
      </c>
      <c r="D32" s="16" t="inlineStr">
        <is>
          <t>ZATWIERDZONA</t>
        </is>
      </c>
      <c r="E32" s="2" t="inlineStr">
        <is>
          <t>Właściciel</t>
        </is>
      </c>
      <c r="F32" s="2" t="inlineStr">
        <is>
          <t>K3-08, N01</t>
        </is>
      </c>
    </row>
    <row r="33">
      <c r="A33" s="2" t="inlineStr">
        <is>
          <t>D32</t>
        </is>
      </c>
      <c r="B33" s="2" t="inlineStr">
        <is>
          <t>Tytuł „AI Senior Engineer” zostaje, stawka 16 500 zł (pasmo Mid) z wyjaśnieniem</t>
        </is>
      </c>
      <c r="C33" s="2" t="inlineStr">
        <is>
          <t>Decyzja właściciela: tytuł zostaje; w metodzie szacowania wyjaśnienie, że stawka została wynegocjowana przy podpisaniu umowy warunkowej z 08.06.2026 i mieści się w widełkach Mid. Wszystkie osoby Everest11 nie są pracownikami Everest11 i podpisały umowy warunkowe 08.06.2026 (warunek: dofinansowanie).</t>
        </is>
      </c>
      <c r="D33" s="16" t="inlineStr">
        <is>
          <t>ZATWIERDZONA</t>
        </is>
      </c>
      <c r="E33" s="2" t="inlineStr">
        <is>
          <t>Właściciel</t>
        </is>
      </c>
      <c r="F33" s="2" t="inlineStr">
        <is>
          <t>K3-35, K5-10</t>
        </is>
      </c>
    </row>
    <row r="34">
      <c r="A34" s="2" t="inlineStr">
        <is>
          <t>D33</t>
        </is>
      </c>
      <c r="B34" s="2" t="inlineStr">
        <is>
          <t>Wskaźniki innowacyjności 1.2 i 1.4: nowy zestaw (W1-W5, I1-I3) i usunięcie fill rate</t>
        </is>
      </c>
      <c r="C34" s="2" t="inlineStr">
        <is>
          <t>Bazy: detektor progowy (AUC, D16), ogólny detektor (mAP), 0 Hz w ruchu (model 3D), brak alertu lokalnego; PoC tylko czas, eFTI osobno w 1.4; „liczba warstw ICT” zastąpiona liczbą funkcji AI lokalnie; cena jako roczny koszt posiadania z bazą z ofert; fill rate usunięty. Wartości zakładane: AUC bazy ≤0,70, mAP bazy ≤0,40, błąd względny 0,03/0,05 m.</t>
        </is>
      </c>
      <c r="D34" s="16" t="inlineStr">
        <is>
          <t>DO POTWIERDZENIA</t>
        </is>
      </c>
      <c r="E34" s="2" t="inlineStr">
        <is>
          <t>Właściciel</t>
        </is>
      </c>
      <c r="F34" s="2" t="inlineStr">
        <is>
          <t>K1-01 do K1-06, K3-48</t>
        </is>
      </c>
    </row>
    <row r="35">
      <c r="A35" s="2" t="inlineStr">
        <is>
          <t>D34</t>
        </is>
      </c>
      <c r="B35" s="2" t="inlineStr">
        <is>
          <t>Pkt 1.3 i ceny: nowa podstawa rynku i opis wartości dla klienta</t>
        </is>
      </c>
      <c r="C35" s="2" t="inlineStr">
        <is>
          <t>TAM 544,97 tys. naczep (Eurostat 2023), SAM 200 000 jako założenie z metodą do uzupełnienia, prognoza tylko dla Polski. eFTI opisane jako obowiązek organów i dobrowolne dla przewoźników. Wartość CMR przeliczona kursem SDR NBP 5,0954 (04.09.2026): 8 489-21 222 PLN. Usunięte: ROI dodatni od 1. roku, 5 500 PLN, 43% pustych, 5 mln USD. Flota odniesienia 10 naczep (12 168 PLN w 1. roku, 4 668 PLN potem).</t>
        </is>
      </c>
      <c r="D35" s="16" t="inlineStr">
        <is>
          <t>DO POTWIERDZENIA</t>
        </is>
      </c>
      <c r="E35" s="2" t="inlineStr">
        <is>
          <t>Właściciel</t>
        </is>
      </c>
      <c r="F35" s="2" t="inlineStr">
        <is>
          <t>K2-05, K2-06, K2-11, K2-14, K2-15, K2-17</t>
        </is>
      </c>
    </row>
    <row r="36">
      <c r="A36" s="2" t="inlineStr">
        <is>
          <t>D35</t>
        </is>
      </c>
      <c r="B36" s="2" t="inlineStr">
        <is>
          <t>Wdrożenie na 50 pojazdach u klientów zewnętrznych, bez floty własnej Everest11 w liczbie wdrożeń</t>
        </is>
      </c>
      <c r="C36" s="2" t="inlineStr">
        <is>
          <t>Decyzja właściciela: wdrożenie opisane jako 50 pojazdów w sumie (trzej operatorzy z listami intencyjnymi na łącznie 50 naczep, ponownie podpisanymi). Model finansowy bez zmian liczbowych. Usuwa pytanie o pochodzenie 20 naczep (K2-01). Flota testowa Z9 (D10, min. 3 pojazdy) jest odrębna. Zmiany: 1.3, 2.1 Etap 1, komentarz w modelu.</t>
        </is>
      </c>
      <c r="D36" s="16" t="inlineStr">
        <is>
          <t>ZATWIERDZONA</t>
        </is>
      </c>
      <c r="E36" s="2" t="inlineStr">
        <is>
          <t>Właściciel</t>
        </is>
      </c>
      <c r="F36" s="2" t="inlineStr">
        <is>
          <t>K2-01, K6</t>
        </is>
      </c>
    </row>
    <row r="37">
      <c r="A37" s="2" t="inlineStr">
        <is>
          <t>D36</t>
        </is>
      </c>
      <c r="B37" s="2" t="inlineStr">
        <is>
          <t>Prawa PRz w chwili wdrożenia (K2-02): mechanizm z § 11 umowy konsorcjum, bez zmian w umowie</t>
        </is>
      </c>
      <c r="C37" s="2" t="inlineStr">
        <is>
          <t>Umowa konsorcjum (§ 11 ust. 7-11): prawo pierwszeństwa Lidera do przeniesienia praw PRz, oświadczenie w ciągu 120 dni od wyników i końca projektu (do 28.08.2029), wycena niezależnego eksperta nadzorowana przez Radę, 7 dni na zastrzeżenia PRz, drugi ekspert i średnia przy sporze. Umowa nie narzuca terminu przeniesienia. We wniosku plan: przeniesienie do 30.11.2029 i zapis, że do czasu przeniesienia Everest11 nie sprzedaje produktu opartego na wynikach PRz. Wariant A (zmiana umowy) i B (licencja) odrzucone.</t>
        </is>
      </c>
      <c r="D37" s="16" t="inlineStr">
        <is>
          <t>ZATWIERDZONA (harmonogram do potwierdzenia z PRz)</t>
        </is>
      </c>
      <c r="E37" s="2" t="inlineStr">
        <is>
          <t>Właściciel</t>
        </is>
      </c>
      <c r="F37" s="2" t="inlineStr">
        <is>
          <t>K2-02</t>
        </is>
      </c>
    </row>
    <row r="38">
      <c r="A38" s="2" t="inlineStr">
        <is>
          <t>D37</t>
        </is>
      </c>
      <c r="B38" s="2" t="inlineStr">
        <is>
          <t>Sekcja 6.1: statusy i dostępność zespołu (K5-01, K5-08, K5-09)</t>
        </is>
      </c>
      <c r="C38" s="2" t="inlineStr">
        <is>
          <t>Założenia (do potwierdzenia przez właścicielkę): Kordos, Chrzanowski i Retajczyk na umowie zlecenia z Everest11 (0,4 etatu, 67 h), pozostałe osoby Everest11 na umowie o pracę (warunkowe z 08.06.2026); start 01.11.2026; godziny przy 168 h na etat; Kordos i Chrzanowski mają etat w PRz (razem 235 h), Hajduk etat w Natanek Logistics (252 h), Kosterna 269 h i Wojdat 210 h do 28.02.2027; Natanek Logistics jest partnerem testowym, nie podwykonawcą; funkcja koordynatora wydziałowego Chrzanowskiego zakończona w 2022 r.</t>
        </is>
      </c>
      <c r="D38" s="16" t="inlineStr">
        <is>
          <t>DO POTWIERDZENIA</t>
        </is>
      </c>
      <c r="E38" s="2" t="inlineStr">
        <is>
          <t>Właścicielka</t>
        </is>
      </c>
      <c r="F38" s="2" t="inlineStr">
        <is>
          <t>K5-01, K5-07, K5-08, K5-09</t>
        </is>
      </c>
    </row>
    <row r="39">
      <c r="A39" s="2" t="inlineStr">
        <is>
          <t>D38</t>
        </is>
      </c>
      <c r="B39" s="2" t="inlineStr">
        <is>
          <t>6R: wariant B (reduce) z dwoma wskaźnikami mierzonymi w trakcie projektu</t>
        </is>
      </c>
      <c r="C39" s="2" t="inlineStr">
        <is>
          <t>Zasada reduce, wskaźnik 1: papier, 500 stron A4 do nie więcej niż 50 w 250 kursach testowych (Z6 50 cykli, Z9 200); wskaźnik 2: dane do chmury, 100% do nie więcej niż 5% surowego strumienia (Z7, Z9). Wypełnienie naczep 65% do 80% usunięte. Rozwija D17. Rola PRz: dobór lekkich architektur Z3 i Z8 i niezależne przeliczenie wolumenu.</t>
        </is>
      </c>
      <c r="D39" s="16" t="inlineStr">
        <is>
          <t>DO POTWIERDZENIA</t>
        </is>
      </c>
      <c r="E39" s="2" t="inlineStr">
        <is>
          <t>Właścicielka, dział techniczny</t>
        </is>
      </c>
      <c r="F39" s="2" t="inlineStr">
        <is>
          <t>K13-01..06</t>
        </is>
      </c>
    </row>
    <row r="40">
      <c r="A40" s="2" t="inlineStr">
        <is>
          <t>D39</t>
        </is>
      </c>
      <c r="B40" s="2" t="inlineStr">
        <is>
          <t>Zestaw CargoDT w tabeli dostępności: pozytywny, nie neutralny</t>
        </is>
      </c>
      <c r="C40" s="2" t="inlineStr">
        <is>
          <t>Kierowca jest użytkownikiem (panel HMI i buzzer 100 dB, alert w 3 poziomach), więc neutralność nie spełnia definicji z Instrukcji. API i aparatura badawcza pozostają neutralne.</t>
        </is>
      </c>
      <c r="D40" s="16" t="inlineStr">
        <is>
          <t>ZATWIERDZONA (propozycja, brak sprzeciwu)</t>
        </is>
      </c>
      <c r="E40" s="2" t="inlineStr">
        <is>
          <t>Właścicielka</t>
        </is>
      </c>
      <c r="F40" s="2" t="inlineStr">
        <is>
          <t>K10-05</t>
        </is>
      </c>
    </row>
    <row r="41">
      <c r="A41" s="2" t="inlineStr">
        <is>
          <t>D40</t>
        </is>
      </c>
      <c r="B41" s="2" t="inlineStr">
        <is>
          <t>Wskaźnik przychodów poza RP (FENGR-001): 9 600 zł w 2030 r.</t>
        </is>
      </c>
      <c r="C41" s="2" t="inlineStr">
        <is>
          <t>2 licencje API dla partnerów CEE w 2030 r. (4 800 zł każda), liczby modelu bez zmian; dotychczasowa wartość 489 300 zł była całością przychodów z Polski.</t>
        </is>
      </c>
      <c r="D41" s="16" t="inlineStr">
        <is>
          <t>DO POTWIERDZENIA</t>
        </is>
      </c>
      <c r="E41" s="2" t="inlineStr">
        <is>
          <t>Właścicielka</t>
        </is>
      </c>
      <c r="F41" s="2" t="inlineStr">
        <is>
          <t>K14-01</t>
        </is>
      </c>
    </row>
    <row r="42">
      <c r="A42" s="2" t="inlineStr">
        <is>
          <t>D41</t>
        </is>
      </c>
      <c r="B42" s="2" t="inlineStr">
        <is>
          <t>Internacjonalizacja: przebudowa budżetu przy niezwiększonym dofinansowaniu</t>
        </is>
      </c>
      <c r="C42" s="2" t="inlineStr">
        <is>
          <t>Suma 85 952 zł kwalifikowalnych (było 86 871), dofinansowanie 42 976 zł (było 43 435,50). Doradztwo 13 dni zamiast 16, rzecznik 20 000 zł (górna granica oferty) zamiast 22 000, materiały promocyjne 1 200 zł (element dekoracyjny 5.3.1), podróże stawką 5 489 zł: 2 osoby kongres, 1 osoba misja. Rozwija D02.</t>
        </is>
      </c>
      <c r="D42" s="16" t="inlineStr">
        <is>
          <t>DO POTWIERDZENIA</t>
        </is>
      </c>
      <c r="E42" s="2" t="inlineStr">
        <is>
          <t>Właścicielka</t>
        </is>
      </c>
      <c r="F42" s="2" t="inlineStr">
        <is>
          <t>K3-24, K3-59..66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workbookViewId="0">
      <pane ySplit="1" topLeftCell="A2" activePane="bottomLeft" state="frozen"/>
      <selection pane="bottomLeft" activeCell="A1" sqref="A1"/>
    </sheetView>
  </sheetViews>
  <sheetFormatPr baseColWidth="8" defaultRowHeight="15"/>
  <cols>
    <col width="7" customWidth="1" min="1" max="1"/>
    <col width="45" customWidth="1" min="2" max="2"/>
    <col width="90" customWidth="1" min="3" max="3"/>
    <col width="22" customWidth="1" min="4" max="4"/>
    <col width="14" customWidth="1" min="5" max="5"/>
    <col width="28" customWidth="1" min="6" max="6"/>
    <col width="12" customWidth="1" min="7" max="7"/>
  </cols>
  <sheetData>
    <row r="1">
      <c r="A1" s="3" t="inlineStr">
        <is>
          <t>ID</t>
        </is>
      </c>
      <c r="B1" s="3" t="inlineStr">
        <is>
          <t>Zadanie</t>
        </is>
      </c>
      <c r="C1" s="3" t="inlineStr">
        <is>
          <t>Opis</t>
        </is>
      </c>
      <c r="D1" s="3" t="inlineStr">
        <is>
          <t>Kto</t>
        </is>
      </c>
      <c r="E1" s="3" t="inlineStr">
        <is>
          <t>Termin</t>
        </is>
      </c>
      <c r="F1" s="3" t="inlineStr">
        <is>
          <t>Blokuje / dotyczy</t>
        </is>
      </c>
      <c r="G1" s="3" t="inlineStr">
        <is>
          <t>Status</t>
        </is>
      </c>
    </row>
    <row r="2">
      <c r="A2" s="4" t="inlineStr">
        <is>
          <t>T01</t>
        </is>
      </c>
      <c r="B2" s="4" t="inlineStr">
        <is>
          <t>Konsultacja z działem technicznym (pytania w kolumnie "Opis")</t>
        </is>
      </c>
      <c r="C2" s="4" t="inlineStr">
        <is>
          <t>Pytania: (1) czy w Z2 wystarczy 1 ToF + 1 EO na naczepę; (2) czy w Z1 4 kamery ToF tego samego typu na stanowisku PRz do badań MCI; (3) czy kamery z Z2 mają być prawdziwym ToF (Femto Bolt / Helios2) zamiast OAK-D Pro W (active stereo); (4) dysk NVMe: konsumencki 0-70 C w obudowie z ogrzewaniem czy przemysłowy -40/+85 C (ok. 10x droższy); (5) 3 komplety edge AI zamiast 4 (deweloperski = pierwszy komplet przed montażem).</t>
        </is>
      </c>
      <c r="D2" s="4" t="inlineStr">
        <is>
          <t>Właściciel</t>
        </is>
      </c>
      <c r="E2" s="4" t="inlineStr">
        <is>
          <t>02.10 rano</t>
        </is>
      </c>
      <c r="F2" s="4" t="inlineStr">
        <is>
          <t>Blokuje: K3-55, K3-48/49, D06</t>
        </is>
      </c>
      <c r="G2" s="4" t="inlineStr">
        <is>
          <t>OTWARTE</t>
        </is>
      </c>
    </row>
    <row r="3">
      <c r="A3" s="4" t="inlineStr">
        <is>
          <t>T02</t>
        </is>
      </c>
      <c r="B3" s="4" t="inlineStr">
        <is>
          <t>Aneks do umów najmu: klauzule w arkuszu 6; podpisać przed wysłaniem poprawki</t>
        </is>
      </c>
      <c r="C3" s="4" t="inlineStr">
        <is>
          <t>Zakres: liczba pojazdów 5 -&gt; 20 wg harmonogramu, zgoda na montaż/demontaż, dostęp do danych, okres, ubezpieczenie.</t>
        </is>
      </c>
      <c r="D3" s="4" t="inlineStr">
        <is>
          <t>Właściciel</t>
        </is>
      </c>
      <c r="E3" s="4" t="inlineStr">
        <is>
          <t>05.10</t>
        </is>
      </c>
      <c r="F3" s="4" t="inlineStr">
        <is>
          <t>K2-01, K2-04, K2-16</t>
        </is>
      </c>
      <c r="G3" s="4" t="inlineStr">
        <is>
          <t>OTWARTE</t>
        </is>
      </c>
    </row>
    <row r="4">
      <c r="A4" s="4" t="inlineStr">
        <is>
          <t>T03</t>
        </is>
      </c>
      <c r="B4" s="4" t="inlineStr">
        <is>
          <t>Dane księgowej: 2Q2026, skład udziałów Inwestora i Natanek Logistics, polityka rachunkowości i amortyzacja</t>
        </is>
      </c>
      <c r="C4" s="4" t="inlineStr">
        <is>
          <t>Potrzebne do K6-07, K6-12, K3-32, K6-16 oraz opisu amortyzacji jednorazowej (D01).</t>
        </is>
      </c>
      <c r="D4" s="4" t="inlineStr">
        <is>
          <t>Właściciel (księgowa)</t>
        </is>
      </c>
      <c r="E4" s="4" t="inlineStr">
        <is>
          <t>05.10</t>
        </is>
      </c>
      <c r="F4" s="4" t="inlineStr">
        <is>
          <t>Blokuje WP11</t>
        </is>
      </c>
      <c r="G4" s="4" t="inlineStr">
        <is>
          <t>OTWARTE</t>
        </is>
      </c>
    </row>
    <row r="5">
      <c r="A5" s="4" t="inlineStr">
        <is>
          <t>T04</t>
        </is>
      </c>
      <c r="B5" s="4" t="inlineStr">
        <is>
          <t>Dane do K3-04: liczba przesyłek na kurs, liczba kursów, częstość zdarzeń (Natanek/Everest11)</t>
        </is>
      </c>
      <c r="C5" s="4" t="inlineStr">
        <is>
          <t>Bez tego tekst K3-04 użyje założeń oznaczonych jako ZAŁOŻENIE.</t>
        </is>
      </c>
      <c r="D5" s="4" t="inlineStr">
        <is>
          <t>Właściciel</t>
        </is>
      </c>
      <c r="E5" s="4" t="inlineStr">
        <is>
          <t>02.10</t>
        </is>
      </c>
      <c r="F5" s="4" t="inlineStr">
        <is>
          <t>K3-04, K3-15, K3-18</t>
        </is>
      </c>
      <c r="G5" s="4" t="inlineStr">
        <is>
          <t>OTWARTE</t>
        </is>
      </c>
    </row>
    <row r="6">
      <c r="A6" s="4" t="inlineStr">
        <is>
          <t>T05</t>
        </is>
      </c>
      <c r="B6" s="4" t="inlineStr">
        <is>
          <t>Pobranie wartości Eurostat road_eqs_semit (PL, 2024) i danych GITD z datą</t>
        </is>
      </c>
      <c r="C6" s="4" t="inlineStr">
        <is>
          <t>Claude nie ma dostępu do ec.europa.eu.</t>
        </is>
      </c>
      <c r="D6" s="4" t="inlineStr">
        <is>
          <t>Właściciel</t>
        </is>
      </c>
      <c r="E6" s="4" t="inlineStr">
        <is>
          <t>02.10</t>
        </is>
      </c>
      <c r="F6" s="4" t="inlineStr">
        <is>
          <t>K2-05</t>
        </is>
      </c>
      <c r="G6" s="4" t="inlineStr">
        <is>
          <t>OTWARTE</t>
        </is>
      </c>
    </row>
    <row r="7">
      <c r="A7" s="4" t="inlineStr">
        <is>
          <t>T06</t>
        </is>
      </c>
      <c r="B7" s="4" t="inlineStr">
        <is>
          <t>Lista ponad 50 kontrahentów Everest11 (struktura, liczba naczep, kto realnie może zakupić) i treść dokumentów zainteresowania</t>
        </is>
      </c>
      <c r="C7" s="4" t="inlineStr">
        <is>
          <t>K2-01 wymaga opisu struktury bazy klientów.</t>
        </is>
      </c>
      <c r="D7" s="4" t="inlineStr">
        <is>
          <t>Właściciel</t>
        </is>
      </c>
      <c r="E7" s="4" t="inlineStr">
        <is>
          <t>05.10</t>
        </is>
      </c>
      <c r="F7" s="4" t="inlineStr">
        <is>
          <t>K2-01, K2-16</t>
        </is>
      </c>
      <c r="G7" s="4" t="inlineStr">
        <is>
          <t>OTWARTE</t>
        </is>
      </c>
    </row>
    <row r="8">
      <c r="A8" s="4" t="inlineStr">
        <is>
          <t>T07</t>
        </is>
      </c>
      <c r="B8" s="4" t="inlineStr">
        <is>
          <t>Potwierdzenie z PRz: konfiguracja kamer, sprzęt po M30 (likwidacja), zgoda na zapisy w opisach</t>
        </is>
      </c>
      <c r="C8" s="4" t="inlineStr">
        <is>
          <t>Wymagane dla D01, D06.</t>
        </is>
      </c>
      <c r="D8" s="4" t="inlineStr">
        <is>
          <t>Właściciel</t>
        </is>
      </c>
      <c r="E8" s="4" t="inlineStr">
        <is>
          <t>02.10</t>
        </is>
      </c>
      <c r="F8" s="4" t="inlineStr">
        <is>
          <t>K3-55, K3-56</t>
        </is>
      </c>
      <c r="G8" s="4" t="inlineStr">
        <is>
          <t>OTWARTE</t>
        </is>
      </c>
    </row>
    <row r="9">
      <c r="A9" s="4" t="inlineStr">
        <is>
          <t>T08</t>
        </is>
      </c>
      <c r="B9" s="4" t="inlineStr">
        <is>
          <t>Dane do modelu marży: koszt serii wersji podstawowej i premium (BOM) - dział techniczny + zakupy</t>
        </is>
      </c>
      <c r="C9" s="4" t="inlineStr">
        <is>
          <t>Arkusz 5 ma założenia oznaczone; docelowo potrzebne oferty lub cenniki.</t>
        </is>
      </c>
      <c r="D9" s="4" t="inlineStr">
        <is>
          <t>Właściciel + Claude</t>
        </is>
      </c>
      <c r="E9" s="4" t="inlineStr">
        <is>
          <t>05.10</t>
        </is>
      </c>
      <c r="F9" s="4" t="inlineStr">
        <is>
          <t>K2-13</t>
        </is>
      </c>
      <c r="G9" s="4" t="inlineStr">
        <is>
          <t>OTWARTE</t>
        </is>
      </c>
    </row>
    <row r="10">
      <c r="A10" s="4" t="inlineStr">
        <is>
          <t>T09</t>
        </is>
      </c>
      <c r="B10" s="4" t="inlineStr">
        <is>
          <t>Wklejanie tekstów do LSI na bieżąco (po każdym zatwierdzonym polu)</t>
        </is>
      </c>
      <c r="C10" s="4" t="inlineStr">
        <is>
          <t>Zmniejsza ryzyko pracy w ostatnim dniu.</t>
        </is>
      </c>
      <c r="D10" s="4" t="inlineStr">
        <is>
          <t>Właściciel</t>
        </is>
      </c>
      <c r="E10" s="4" t="inlineStr">
        <is>
          <t>od 02.10</t>
        </is>
      </c>
      <c r="F10" s="4" t="inlineStr">
        <is>
          <t>Wszystkie</t>
        </is>
      </c>
      <c r="G10" s="4" t="inlineStr">
        <is>
          <t>OTWARTE</t>
        </is>
      </c>
    </row>
    <row r="11">
      <c r="A11" s="4" t="inlineStr">
        <is>
          <t>T10</t>
        </is>
      </c>
      <c r="B11" s="4" t="inlineStr">
        <is>
          <t>Oferty cenowe dla wskaźnika I1 (1.4): zapytania do co najmniej 3 dostawców rozwiązań o zbliżonej funkcji (monitoring warunków + obraz lub zajętość przestrzeni ładunkowej, subskrypcja i zestaw na 5 lat), z datami zapytań</t>
        </is>
      </c>
      <c r="C11" s="4" t="inlineStr">
        <is>
          <t>Publicznych cen nie znaleziono. Bez ofert wskaźnik I1 nie ma wiarygodnej wartości bazowej i zostanie zastąpiony innym wskaźnikiem 1.4.</t>
        </is>
      </c>
      <c r="D11" s="4" t="inlineStr">
        <is>
          <t>Właściciel</t>
        </is>
      </c>
      <c r="E11" s="4" t="inlineStr">
        <is>
          <t>05.10</t>
        </is>
      </c>
      <c r="F11" s="4" t="inlineStr">
        <is>
          <t>K1-05, N39, D33</t>
        </is>
      </c>
      <c r="G11" s="4" t="inlineStr">
        <is>
          <t>OTWARTE</t>
        </is>
      </c>
    </row>
    <row r="12">
      <c r="A12" s="4" t="inlineStr">
        <is>
          <t>T11</t>
        </is>
      </c>
      <c r="B12" s="4" t="inlineStr">
        <is>
          <t>Potwierdzenie technicznie wartości zakładanych w D33: baza AUC detektora progowego ≤0,70, baza mAP ≤0,40, błąd przemieszczenia względnego 0,03 m / 0,05 m, zdarzenie inicjujące PoL i PoC</t>
        </is>
      </c>
      <c r="C12" s="4" t="inlineStr">
        <is>
          <t>Wartości zastąpią pomiary z Z4, Z5 i Z8; oznaczone na żółto w pliku Wskazniki_innowacyjnosci_1.2_i_1.4.docx.</t>
        </is>
      </c>
      <c r="D12" s="4" t="inlineStr">
        <is>
          <t>Właściciel (dział techniczny)</t>
        </is>
      </c>
      <c r="E12" s="4" t="inlineStr">
        <is>
          <t>05.10</t>
        </is>
      </c>
      <c r="F12" s="4" t="inlineStr">
        <is>
          <t>K1-02 do K1-04, D33</t>
        </is>
      </c>
      <c r="G12" s="4" t="inlineStr">
        <is>
          <t>OTWARTE</t>
        </is>
      </c>
    </row>
    <row r="13">
      <c r="A13" s="4" t="inlineStr">
        <is>
          <t>T12</t>
        </is>
      </c>
      <c r="B13" s="4" t="inlineStr">
        <is>
          <t>Sprawdzenie źródeł i kart katalogowych konkurencji (Blickfeld, Ouster, SkyBitz, Schmitz, Tive, Arviem, Nexxiot), nazwy produktów, Hosmer-Lemeshow, prEN 17321, EN 13382, akty do rozporządzenia 2020/1056, oryginał badania PITD</t>
        </is>
      </c>
      <c r="C13" s="4" t="inlineStr">
        <is>
          <t>Dane w pliku z wyszukiwarki z 02.10.2026, przed wpisaniem do LSI pobrać karty i dopisać adresy oraz daty dostępu. Nazwy: Nexxiot Globehopper (nie Globe+), Blickfeld Qb2/QbVolume (nie QbScan).</t>
        </is>
      </c>
      <c r="D13" s="4" t="inlineStr">
        <is>
          <t>Właściciel + Claude</t>
        </is>
      </c>
      <c r="E13" s="4" t="inlineStr">
        <is>
          <t>05.10</t>
        </is>
      </c>
      <c r="F13" s="4" t="inlineStr">
        <is>
          <t>K1-01, N37</t>
        </is>
      </c>
      <c r="G13" s="4" t="inlineStr">
        <is>
          <t>OTWARTE</t>
        </is>
      </c>
    </row>
    <row r="14">
      <c r="A14" s="4" t="inlineStr">
        <is>
          <t>T13</t>
        </is>
      </c>
      <c r="B14" s="4" t="inlineStr">
        <is>
          <t>Sprawdzenie w Espacenet i Google Patents dokumentów wskazanych przez wyszukiwarkę (US 11,151,506 B2, US 11,685,400 B2, US 2013/0342653 A1, US 7,468,660 B2, US 9,965,939 B1, EP 3103072 i rodzina UPS, US 10,769,576 B2, US 11,370,348 B2)</t>
        </is>
      </c>
      <c r="C14" s="4" t="inlineStr">
        <is>
          <t>Dane z wyszukiwarki były sprzeczne i niezweryfikowane. Najpierw potwierdzenie, potem ewentualna zmiana wniosku.</t>
        </is>
      </c>
      <c r="D14" s="4" t="inlineStr">
        <is>
          <t>Właściciel (rzecznik patentowy) + Claude</t>
        </is>
      </c>
      <c r="E14" s="4" t="inlineStr">
        <is>
          <t>06.10</t>
        </is>
      </c>
      <c r="F14" s="4" t="inlineStr">
        <is>
          <t>K2-03, N38</t>
        </is>
      </c>
      <c r="G14" s="4" t="inlineStr">
        <is>
          <t>OTWARTE</t>
        </is>
      </c>
    </row>
    <row r="15">
      <c r="A15" s="4" t="inlineStr">
        <is>
          <t>T14</t>
        </is>
      </c>
      <c r="B15" s="4" t="inlineStr">
        <is>
          <t>Metoda SAM 200 000: udział nadwozi zamkniętych i kurtynowych oraz naczep bez telematyki fabrycznej w 544,97 tys. naczep (CEPiK/PZPM albo własna analiza)</t>
        </is>
      </c>
      <c r="C15" s="4" t="inlineStr">
        <is>
          <t>Metoda SAM opracowana z danych publicznych (Aneks A pliku Sekcja_1.3_i_ceny.docx). Do zrobienia: sprawdzenie liczb PZPM i nowszych danych o telematyce naczep.</t>
        </is>
      </c>
      <c r="D15" s="4" t="inlineStr">
        <is>
          <t>Właściciel + Claude</t>
        </is>
      </c>
      <c r="E15" s="4" t="inlineStr">
        <is>
          <t>06.10</t>
        </is>
      </c>
      <c r="F15" s="4" t="inlineStr">
        <is>
          <t>K2-05, N40</t>
        </is>
      </c>
      <c r="G15" s="4" t="inlineStr">
        <is>
          <t>CZĘŚCIOWO</t>
        </is>
      </c>
    </row>
    <row r="16">
      <c r="A16" s="4" t="inlineStr">
        <is>
          <t>T15</t>
        </is>
      </c>
      <c r="B16" s="4" t="inlineStr">
        <is>
          <t>Dane z rozmów z klientami i listów intencyjnych: liczba rozmów, treść LOI (liczba naczep, warunki, termin), struktura bazy 50+ kontrahentów, stan rozmów z ubezpieczycielem, nazwy targów z Z10</t>
        </is>
      </c>
      <c r="C16" s="4" t="inlineStr">
        <is>
          <t>Podane: 15 rozmów z potencjalnymi klientami (marzec-maj 2026), stan rozmów z ubezpieczycielem bez zmian, targi z wniosku, LOI. Pozostaje opcjonalnie struktura bazy 50+ (Aneks C).</t>
        </is>
      </c>
      <c r="D16" s="4" t="inlineStr">
        <is>
          <t>Właściciel</t>
        </is>
      </c>
      <c r="E16" s="4" t="inlineStr">
        <is>
          <t>05.10</t>
        </is>
      </c>
      <c r="F16" s="4" t="inlineStr">
        <is>
          <t>K2-01, K2-10, K2-11</t>
        </is>
      </c>
      <c r="G16" s="4" t="inlineStr">
        <is>
          <t>CZĘŚCIOWO</t>
        </is>
      </c>
    </row>
    <row r="17">
      <c r="A17" s="4" t="inlineStr">
        <is>
          <t>T16</t>
        </is>
      </c>
      <c r="B17" s="4" t="inlineStr">
        <is>
          <t>Koszt serii zestawu (BOM), koszt montażu, koszt obsługi subskrypcji na pojazd</t>
        </is>
      </c>
      <c r="C17" s="4" t="inlineStr">
        <is>
          <t>Wymagane do uzasadnienia cen (K2-06) i decyzji D11. Po decyzji o 4 875 zł potrzebna tylko podstawa tej kwoty (konfiguracja zestawu produkcyjnego, źródła cen) i koszt obsługi subskrypcji (hosting 50 zł już w modelu).</t>
        </is>
      </c>
      <c r="D17" s="4" t="inlineStr">
        <is>
          <t>Właściciel (dział techniczny) + Claude</t>
        </is>
      </c>
      <c r="E17" s="4" t="inlineStr">
        <is>
          <t>05.10</t>
        </is>
      </c>
      <c r="F17" s="4" t="inlineStr">
        <is>
          <t>K2-06, K2-12, K2-13, D11</t>
        </is>
      </c>
      <c r="G17" s="4" t="inlineStr">
        <is>
          <t>OTWARTE</t>
        </is>
      </c>
    </row>
    <row r="18">
      <c r="A18" s="4" t="inlineStr">
        <is>
          <t>T17</t>
        </is>
      </c>
      <c r="B18" s="4" t="inlineStr">
        <is>
          <t>Ponowne podpisanie listów intencyjnych trzech operatorów (łącznie 50 naczep) z elementami z Aneksu B (profil operatora, liczba naczep, warunki cenowe, kryteria zakupu, dane o szkodach, ważność do 31.12.2030, zgoda na wskazanie z nazwy)</t>
        </is>
      </c>
      <c r="C18" s="4" t="inlineStr">
        <is>
          <t>Listy podpisane ponownie z wszystkimi elementami z Aneksu B (potwierdzenie właścicielki 02.10.2026): 20, 20 i 10 naczep, łącznie 50.</t>
        </is>
      </c>
      <c r="D18" s="4" t="inlineStr">
        <is>
          <t>Właściciel</t>
        </is>
      </c>
      <c r="E18" s="4" t="inlineStr">
        <is>
          <t>05.10</t>
        </is>
      </c>
      <c r="F18" s="4" t="inlineStr">
        <is>
          <t>K2-01, K2-06, D35</t>
        </is>
      </c>
      <c r="G18" s="4" t="inlineStr">
        <is>
          <t>ZROBIONE</t>
        </is>
      </c>
    </row>
    <row r="19">
      <c r="A19" s="4" t="inlineStr">
        <is>
          <t>T18</t>
        </is>
      </c>
      <c r="B19" s="4" t="inlineStr">
        <is>
          <t>Wypełnienie tabeli struktury bazy 50+ kontrahentów z CRM i karty rozmowy dla 15 rozmów (Aneks C)</t>
        </is>
      </c>
      <c r="C19" s="4" t="inlineStr">
        <is>
          <t>Daje sumy do tekstu 1.3 i 2.1.</t>
        </is>
      </c>
      <c r="D19" s="4" t="inlineStr">
        <is>
          <t>Właściciel</t>
        </is>
      </c>
      <c r="E19" s="4" t="inlineStr">
        <is>
          <t>05.10</t>
        </is>
      </c>
      <c r="F19" s="4" t="inlineStr">
        <is>
          <t>K2-01, K2-11</t>
        </is>
      </c>
      <c r="G19" s="4" t="inlineStr">
        <is>
          <t>OTWARTE</t>
        </is>
      </c>
    </row>
    <row r="20">
      <c r="A20" s="4" t="inlineStr">
        <is>
          <t>T19</t>
        </is>
      </c>
      <c r="B20" s="4" t="inlineStr">
        <is>
          <t>Pobranie z Eurostatu liczby naczep w Czechach, Słowacji, na Węgrzech i w Rumunii (road_eqs_semit) albo usunięcie wielkości rynku CEE z 1.3, 2.1 (Segment 3) i Z10 (3.2.2)</t>
        </is>
      </c>
      <c r="C20" s="4" t="inlineStr">
        <is>
          <t>Obecne „400 000-600 000 naczep” nie ma źródła.</t>
        </is>
      </c>
      <c r="D20" s="4" t="inlineStr">
        <is>
          <t>Właściciel + Claude</t>
        </is>
      </c>
      <c r="E20" s="4" t="inlineStr">
        <is>
          <t>06.10</t>
        </is>
      </c>
      <c r="F20" s="4" t="inlineStr">
        <is>
          <t>K2-05, N47</t>
        </is>
      </c>
      <c r="G20" s="4" t="inlineStr">
        <is>
          <t>OTWARTE</t>
        </is>
      </c>
    </row>
    <row r="21">
      <c r="A21" s="4" t="inlineStr">
        <is>
          <t>T20</t>
        </is>
      </c>
      <c r="B21" s="4" t="inlineStr">
        <is>
          <t>Ocena rzecznika patentowego (jeśli zlecona): zastrzeżenia US 11,151,506 B2 i ewentualnie rodziny UPS EP 3103072; sprawdzenie rodzin w Espacenet</t>
        </is>
      </c>
      <c r="C21" s="4" t="inlineStr">
        <is>
          <t>Bez zwiększenia budżetu projektu (środki własne Everest11).</t>
        </is>
      </c>
      <c r="D21" s="4" t="inlineStr">
        <is>
          <t>Właściciel</t>
        </is>
      </c>
      <c r="E21" s="4" t="inlineStr">
        <is>
          <t>05.10</t>
        </is>
      </c>
      <c r="F21" s="4" t="inlineStr">
        <is>
          <t>K2-03, N51</t>
        </is>
      </c>
      <c r="G21" s="4" t="inlineStr">
        <is>
          <t>ANULOWANE (decyzja: bez rzecznika)</t>
        </is>
      </c>
    </row>
    <row r="22">
      <c r="A22" s="4" t="inlineStr">
        <is>
          <t>T21</t>
        </is>
      </c>
      <c r="B22" s="4" t="inlineStr">
        <is>
          <t>Trzy proste decyzje o produkcji zestawów: (1) kto kompletuje: własny zespół czy firma zewnętrzna, (2) kto robi badania CE: laboratorium wybrane w zapytaniu ofertowym, (3) skąd środki na badania i pierwszą serię: kapitał własny Lidera; plus akceptacja założeń zasobów (3 h montażu, 0,3 h wsparcia, parametry chmury)</t>
        </is>
      </c>
      <c r="C22" s="4" t="inlineStr">
        <is>
          <t>Zatwierdzone 02.10.2026: kompletacja pierwszej serii własnym zespołem, od 2032 firma zewnętrzna z zapytania ofertowego; badania CE w laboratorium z zapytania; finansowanie z kapitału własnego Lidera; założenia 3 h montażu, 0,3 h wsparcia i parametry chmury przyjęte. Teksty 2.5 bez nazw i kwot.</t>
        </is>
      </c>
      <c r="D22" s="4" t="inlineStr">
        <is>
          <t>Właściciel (Kozioł, Ruciński)</t>
        </is>
      </c>
      <c r="E22" s="4" t="inlineStr">
        <is>
          <t>05.10</t>
        </is>
      </c>
      <c r="F22" s="4" t="inlineStr">
        <is>
          <t>K2-04, K2-07</t>
        </is>
      </c>
      <c r="G22" s="4" t="inlineStr">
        <is>
          <t>ZROBIONE</t>
        </is>
      </c>
    </row>
    <row r="23">
      <c r="A23" s="4" t="inlineStr">
        <is>
          <t>T22</t>
        </is>
      </c>
      <c r="B23" s="4" t="inlineStr">
        <is>
          <t>Brzmienie zapisu umowy konsorcjum o terminie przeniesienia praw PRz (do decyzji D36)</t>
        </is>
      </c>
      <c r="C23" s="4" t="inlineStr">
        <is>
          <t>Potrzebne do wyboru wariantu A lub B.</t>
        </is>
      </c>
      <c r="D23" s="4" t="inlineStr">
        <is>
          <t>Właściciel</t>
        </is>
      </c>
      <c r="E23" s="4" t="inlineStr">
        <is>
          <t>03.10</t>
        </is>
      </c>
      <c r="F23" s="4" t="inlineStr">
        <is>
          <t>K2-02, D36</t>
        </is>
      </c>
      <c r="G23" s="4" t="inlineStr">
        <is>
          <t>ZROBIONE (§ 11 przekazany 02.10.2026)</t>
        </is>
      </c>
    </row>
    <row r="24">
      <c r="A24" s="4" t="inlineStr">
        <is>
          <t>T23</t>
        </is>
      </c>
      <c r="B24" s="4" t="inlineStr">
        <is>
          <t>Potwierdzenie założeń sekcji 6.1 (D37): formy umów, etaty poza projektem (PRz, Natanek Logistics), brak funkcji zarządczych w PRz, Natanek jako partner a nie podwykonawca, umowa o poufności</t>
        </is>
      </c>
      <c r="C24" s="4" t="inlineStr">
        <is>
          <t>Teksty 6.1 są napisane przy tych założeniach; jeśli któreś jest inne, zmieni się zdanie w polach „Sposób zarządzania”, „Status współpracy” i dopiskach do doświadczenia.</t>
        </is>
      </c>
      <c r="D24" s="4" t="inlineStr">
        <is>
          <t>Właścicielka</t>
        </is>
      </c>
      <c r="E24" s="4" t="inlineStr">
        <is>
          <t>03.10</t>
        </is>
      </c>
      <c r="F24" s="4" t="inlineStr">
        <is>
          <t>K5-01, K5-07, K5-08, K5-09</t>
        </is>
      </c>
      <c r="G24" s="4" t="inlineStr">
        <is>
          <t>OTWARTE</t>
        </is>
      </c>
    </row>
    <row r="25">
      <c r="A25" s="4" t="inlineStr">
        <is>
          <t>T24</t>
        </is>
      </c>
      <c r="B25" s="4" t="inlineStr">
        <is>
          <t>Dane do sekcji 6.2-6.4 (K5-12 do K5-19): biuro (adres, tytuł prawny, powierzchnia, stanowiska), flota Natanek (liczba i typy pojazdów, okres, podstawa, odpłatność, prawo do danych), sprzęt IT i WNiP Everest11, infrastruktura PRz (EMC, fotogrametria, GPU)</t>
        </is>
      </c>
      <c r="C25" s="4" t="inlineStr">
        <is>
          <t>Dane podane 02.10.2026: biuro (Książkowa 51F, najem na czas nieokreślony, ok. 60 m2), flota (5 zestawów, umowa od 03.2025, prawo do danych), PRz posiada EMC, fotogrametrię i GPU. Pozostaje T25 i T26.</t>
        </is>
      </c>
      <c r="D25" s="4" t="inlineStr">
        <is>
          <t>Właścicielka (Everest11, PRz)</t>
        </is>
      </c>
      <c r="E25" s="4" t="inlineStr">
        <is>
          <t>03.10</t>
        </is>
      </c>
      <c r="F25" s="4" t="inlineStr">
        <is>
          <t>K5-12 do K5-19</t>
        </is>
      </c>
      <c r="G25" s="4" t="inlineStr">
        <is>
          <t>ZROBIONE</t>
        </is>
      </c>
    </row>
    <row r="26">
      <c r="A26" s="4" t="inlineStr">
        <is>
          <t>T25</t>
        </is>
      </c>
      <c r="B26" s="4" t="inlineStr">
        <is>
          <t>PRz: karta aparatury EMC (model i zakresy), system fotogrametryczny (typ i niepewność), zasoby GPU (liczba, typ, pamięć)</t>
        </is>
      </c>
      <c r="C26" s="4" t="inlineStr">
        <is>
          <t>Trzy żółte pola w sekcji 6.2 (PRz).</t>
        </is>
      </c>
      <c r="D26" s="4" t="inlineStr">
        <is>
          <t>Właścicielka (PRz)</t>
        </is>
      </c>
      <c r="E26" s="4" t="inlineStr">
        <is>
          <t>04.10</t>
        </is>
      </c>
      <c r="F26" s="4" t="inlineStr">
        <is>
          <t>K5-16</t>
        </is>
      </c>
      <c r="G26" s="4" t="inlineStr">
        <is>
          <t>OTWARTE</t>
        </is>
      </c>
    </row>
    <row r="27">
      <c r="A27" s="4" t="inlineStr">
        <is>
          <t>T26</t>
        </is>
      </c>
      <c r="B27" s="4" t="inlineStr">
        <is>
          <t>Everest11: liczba stanowisk w biurze, liczba i dostawca stanowisk komputerowych, narzędzia i repozytoria, prawa do TMS i API, wykaz licencji oprogramowania</t>
        </is>
      </c>
      <c r="C27" s="4" t="inlineStr">
        <is>
          <t>Pola żółte w 6.2 i 6.3 (Everest11).</t>
        </is>
      </c>
      <c r="D27" s="4" t="inlineStr">
        <is>
          <t>Właścicielka (Everest11)</t>
        </is>
      </c>
      <c r="E27" s="4" t="inlineStr">
        <is>
          <t>04.10</t>
        </is>
      </c>
      <c r="F27" s="4" t="inlineStr">
        <is>
          <t>K5-14, K5-15, K5-17</t>
        </is>
      </c>
      <c r="G27" s="4" t="inlineStr">
        <is>
          <t>OTWARTE</t>
        </is>
      </c>
    </row>
    <row r="28">
      <c r="A28" s="4" t="inlineStr">
        <is>
          <t>T27</t>
        </is>
      </c>
      <c r="B28" s="4" t="inlineStr">
        <is>
          <t>Zarząd Everest11: przyjąć 4 dokumenty równościowe do 31.10.2026</t>
        </is>
      </c>
      <c r="C28" s="4" t="inlineStr">
        <is>
          <t>Polityka równego traktowania, procedura rekrutacji i wynagradzania, polityka godzenia pracy z życiem prywatnym, polityka danych osobowych. Tekst 7.1 mówi o przyjęciu przed startem.</t>
        </is>
      </c>
      <c r="D28" s="4" t="inlineStr">
        <is>
          <t>Właścicielka (Everest11)</t>
        </is>
      </c>
      <c r="E28" s="4" t="inlineStr">
        <is>
          <t>31.10</t>
        </is>
      </c>
      <c r="F28" s="4" t="inlineStr">
        <is>
          <t>K10-01</t>
        </is>
      </c>
      <c r="G28" s="4" t="inlineStr">
        <is>
          <t>OTWARTE</t>
        </is>
      </c>
    </row>
    <row r="29">
      <c r="A29" s="4" t="inlineStr">
        <is>
          <t>T28</t>
        </is>
      </c>
      <c r="B29" s="4" t="inlineStr">
        <is>
          <t>PRz: potwierdzić Plan Równości Płci po 2025, regulamin pracy, kodeks etyki, regulacje antymobbingowe; potwierdzić rolę PRz w 6R</t>
        </is>
      </c>
      <c r="C29" s="4" t="inlineStr">
        <is>
          <t>Źródło: zarządzenie Rektora nr 91/2022 (plan na lata 2022-2025). Rola PRz: dobór lekkich architektur Z3 i Z8 i przeliczenie wolumenu danych.</t>
        </is>
      </c>
      <c r="D29" s="4" t="inlineStr">
        <is>
          <t>Właścicielka (PRz)</t>
        </is>
      </c>
      <c r="E29" s="4" t="inlineStr">
        <is>
          <t>04.10</t>
        </is>
      </c>
      <c r="F29" s="4" t="inlineStr">
        <is>
          <t>K10-01, K13-05</t>
        </is>
      </c>
      <c r="G29" s="4" t="inlineStr">
        <is>
          <t>OTWARTE</t>
        </is>
      </c>
    </row>
    <row r="30">
      <c r="A30" s="4" t="inlineStr">
        <is>
          <t>T29</t>
        </is>
      </c>
      <c r="B30" s="4" t="inlineStr">
        <is>
          <t>Dział techniczny: potwierdzić rozmywanie wizerunków w zbiorze, cel 5% danych do chmury, listę kontrolną dostępności w Z9, pomiar papieru</t>
        </is>
      </c>
      <c r="C30" s="4" t="inlineStr">
        <is>
          <t>Teksty 7.2 i 7.4 zawierają te zobowiązania. Zob. część 8 pliku Sekcja_7_zasady_horyzontalne_6R.docx.</t>
        </is>
      </c>
      <c r="D30" s="4" t="inlineStr">
        <is>
          <t>Dział techniczny</t>
        </is>
      </c>
      <c r="E30" s="4" t="inlineStr">
        <is>
          <t>05.10</t>
        </is>
      </c>
      <c r="F30" s="4" t="inlineStr">
        <is>
          <t>K11-01, K13-01..04</t>
        </is>
      </c>
      <c r="G30" s="4" t="inlineStr">
        <is>
          <t>OTWARTE</t>
        </is>
      </c>
    </row>
    <row r="31">
      <c r="A31" s="4" t="inlineStr">
        <is>
          <t>T30</t>
        </is>
      </c>
      <c r="B31" s="4" t="inlineStr">
        <is>
          <t>Oferta organizatora TRANSLOG: podział 24 000 zł i data oferty</t>
        </is>
      </c>
      <c r="C31" s="4" t="inlineStr">
        <is>
          <t>Pozycje 10-1 i 10-2; Stand Request Form na translogconnect.eu. Fallback opisany w pliku.</t>
        </is>
      </c>
      <c r="D31" s="4" t="inlineStr">
        <is>
          <t>Właścicielka</t>
        </is>
      </c>
      <c r="E31" s="4" t="inlineStr">
        <is>
          <t>05.10</t>
        </is>
      </c>
      <c r="F31" s="4" t="inlineStr">
        <is>
          <t>K3-64</t>
        </is>
      </c>
      <c r="G31" s="4" t="inlineStr">
        <is>
          <t>OTWARTE</t>
        </is>
      </c>
    </row>
    <row r="32">
      <c r="A32" s="4" t="inlineStr">
        <is>
          <t>T31</t>
        </is>
      </c>
      <c r="B32" s="4" t="inlineStr">
        <is>
          <t>Kurs średni NBP EUR z 09.03.2026 i numer tabeli</t>
        </is>
      </c>
      <c r="C32" s="4" t="inlineStr">
        <is>
          <t>Pozycja 11-3 (opłaty EPO).</t>
        </is>
      </c>
      <c r="D32" s="4" t="inlineStr">
        <is>
          <t>Właścicielka</t>
        </is>
      </c>
      <c r="E32" s="4" t="inlineStr">
        <is>
          <t>04.10</t>
        </is>
      </c>
      <c r="F32" s="4" t="inlineStr">
        <is>
          <t>K3-60</t>
        </is>
      </c>
      <c r="G32" s="4" t="inlineStr">
        <is>
          <t>OTWARTE</t>
        </is>
      </c>
    </row>
    <row r="33">
      <c r="A33" s="4" t="inlineStr">
        <is>
          <t>T32</t>
        </is>
      </c>
      <c r="B33" s="4" t="inlineStr">
        <is>
          <t>Umowa o wykonywaniu wspólnych praw z PRz przed Z11; de minimis Everest11 z 3 lat; wniosek o PKD do 31.03.2027</t>
        </is>
      </c>
      <c r="C33" s="4" t="inlineStr">
        <is>
          <t>Zob. część 8 pliku Sekcja_3.2_internacjonalizacja_Z10_Z11.docx.</t>
        </is>
      </c>
      <c r="D33" s="4" t="inlineStr">
        <is>
          <t>Właścicielka, PRz, księgowość</t>
        </is>
      </c>
      <c r="E33" s="4" t="inlineStr">
        <is>
          <t>06.10</t>
        </is>
      </c>
      <c r="F33" s="4" t="inlineStr">
        <is>
          <t>K3-23, K3-24, K2-02</t>
        </is>
      </c>
      <c r="G33" s="4" t="inlineStr">
        <is>
          <t>OTWARTE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
  <sheetViews>
    <sheetView workbookViewId="0">
      <pane ySplit="1" topLeftCell="A2" activePane="bottomLeft" state="frozen"/>
      <selection pane="bottomLeft" activeCell="A1" sqref="A1"/>
    </sheetView>
  </sheetViews>
  <sheetFormatPr baseColWidth="8" defaultRowHeight="15"/>
  <cols>
    <col width="40" customWidth="1" min="1" max="1"/>
    <col width="10" customWidth="1" min="2" max="2"/>
    <col width="11" customWidth="1" min="3" max="3"/>
    <col width="11" customWidth="1" min="4" max="4"/>
    <col width="90" customWidth="1" min="5" max="5"/>
    <col width="9" customWidth="1" min="6" max="6"/>
    <col width="9" customWidth="1" min="7" max="7"/>
    <col width="9" customWidth="1" min="8" max="8"/>
    <col width="12" customWidth="1" min="9" max="9"/>
    <col width="45" customWidth="1" min="10" max="10"/>
  </cols>
  <sheetData>
    <row r="1">
      <c r="A1" s="3" t="inlineStr">
        <is>
          <t>Pakiet (pole/sekcja LSI)</t>
        </is>
      </c>
      <c r="B1" s="3" t="inlineStr">
        <is>
          <t>Priorytet</t>
        </is>
      </c>
      <c r="C1" s="3" t="inlineStr">
        <is>
          <t>Termin</t>
        </is>
      </c>
      <c r="D1" s="3" t="inlineStr">
        <is>
          <t>Liczba uwag</t>
        </is>
      </c>
      <c r="E1" s="3" t="inlineStr">
        <is>
          <t>ID uwag z Rejestru</t>
        </is>
      </c>
      <c r="F1" s="3" t="inlineStr">
        <is>
          <t>Nierozp.</t>
        </is>
      </c>
      <c r="G1" s="3" t="inlineStr">
        <is>
          <t>W trakcie</t>
        </is>
      </c>
      <c r="H1" s="3" t="inlineStr">
        <is>
          <t>Do weryf.</t>
        </is>
      </c>
      <c r="I1" s="3" t="inlineStr">
        <is>
          <t>Zweryf. (wg Rejestru)</t>
        </is>
      </c>
      <c r="J1" s="3" t="inlineStr">
        <is>
          <t>Status pakietu / uwagi</t>
        </is>
      </c>
    </row>
    <row r="2">
      <c r="A2" s="4" t="inlineStr">
        <is>
          <t>WP01 Opisy zadań B+R</t>
        </is>
      </c>
      <c r="B2" s="4" t="inlineStr">
        <is>
          <t>P1</t>
        </is>
      </c>
      <c r="C2" s="4" t="inlineStr">
        <is>
          <t>pt 02.10</t>
        </is>
      </c>
      <c r="D2" s="4" t="n">
        <v>13</v>
      </c>
      <c r="E2" s="4" t="inlineStr">
        <is>
          <t>K3-01, K3-02, K3-03, K3-04, K3-05, K3-06, K3-07, K3-08, K3-09, K3-10, K3-11, K3-12, K3-13</t>
        </is>
      </c>
      <c r="F2" s="4" t="n">
        <v>0</v>
      </c>
      <c r="G2" s="4" t="n">
        <v>1</v>
      </c>
      <c r="H2" s="4" t="n">
        <v>9</v>
      </c>
      <c r="I2" s="4" t="n">
        <v>3</v>
      </c>
      <c r="J2" s="4" t="inlineStr">
        <is>
          <t>Wersja 2 (tekst bez śladów AI, zgodny z Instrukcją i z personelem, KM pod zadaniami, parametry SI): Opisy_zadan_z_kamieniami_milowymi.docx. Zastępuje WP01 i WP02 z pliku Poprawki_do_wklejenia_WP01-WP03.docx. Do potwierdzenia: 61 wartości podświetlonych (Aneks C), D27 do D30.</t>
        </is>
      </c>
    </row>
    <row r="3">
      <c r="A3" s="4" t="inlineStr">
        <is>
          <t>WP02 Kamienie milowe</t>
        </is>
      </c>
      <c r="B3" s="4" t="inlineStr">
        <is>
          <t>P1</t>
        </is>
      </c>
      <c r="C3" s="4" t="inlineStr">
        <is>
          <t>pt 02.10</t>
        </is>
      </c>
      <c r="D3" s="4" t="n">
        <v>9</v>
      </c>
      <c r="E3" s="4" t="inlineStr">
        <is>
          <t>K3-14, K3-15, K3-16, K3-17, K3-18, K3-19, K3-20, K3-21, K3-22</t>
        </is>
      </c>
      <c r="F3" s="4" t="n">
        <v>0</v>
      </c>
      <c r="G3" s="4" t="n">
        <v>0</v>
      </c>
      <c r="H3" s="4" t="n">
        <v>9</v>
      </c>
      <c r="I3" s="4" t="n">
        <v>0</v>
      </c>
      <c r="J3" s="4" t="inlineStr">
        <is>
          <t>Wersja 2 (tekst bez śladów AI, zgodny z Instrukcją i z personelem, KM pod zadaniami, parametry SI): Opisy_zadan_z_kamieniami_milowymi.docx. Zastępuje WP01 i WP02 z pliku Poprawki_do_wklejenia_WP01-WP03.docx. Do potwierdzenia: 61 wartości podświetlonych (Aneks C), D27 do D30.</t>
        </is>
      </c>
    </row>
    <row r="4">
      <c r="A4" s="4" t="inlineStr">
        <is>
          <t>WP03 Ryzyka</t>
        </is>
      </c>
      <c r="B4" s="4" t="inlineStr">
        <is>
          <t>P1</t>
        </is>
      </c>
      <c r="C4" s="4" t="inlineStr">
        <is>
          <t>pt 02.10</t>
        </is>
      </c>
      <c r="D4" s="4" t="n">
        <v>8</v>
      </c>
      <c r="E4" s="4" t="inlineStr">
        <is>
          <t>K3-25, K3-26, K3-27, K3-28, K3-29, K3-30, K3-31, K3-32</t>
        </is>
      </c>
      <c r="F4" s="4" t="n">
        <v>0</v>
      </c>
      <c r="G4" s="4" t="n">
        <v>0</v>
      </c>
      <c r="H4" s="4" t="n">
        <v>8</v>
      </c>
      <c r="I4" s="4" t="n">
        <v>0</v>
      </c>
      <c r="J4" s="4" t="inlineStr">
        <is>
          <t>Wersja 2 ryzyk w pliku Opisy_zadan_z_kamieniami_milowymi.docx, część druga (R1-R5, R9-R12, odwołania do Rady Konsorcjum z § 9 umowy konsorcjum, D27). K3-23/24 w WP09.</t>
        </is>
      </c>
    </row>
    <row r="5">
      <c r="A5" s="4" t="inlineStr">
        <is>
          <t>WP04 Innowacyjność i wskaźniki</t>
        </is>
      </c>
      <c r="B5" s="4" t="inlineStr">
        <is>
          <t>P1</t>
        </is>
      </c>
      <c r="C5" s="4" t="inlineStr">
        <is>
          <t>pon 05.10</t>
        </is>
      </c>
      <c r="D5" s="4" t="n">
        <v>7</v>
      </c>
      <c r="E5" s="4" t="inlineStr">
        <is>
          <t>K1-01, K1-02, K1-03, K1-04, K1-05, K1-06, K14-01</t>
        </is>
      </c>
      <c r="F5" s="4" t="n">
        <v>1</v>
      </c>
      <c r="G5" s="4" t="n">
        <v>0</v>
      </c>
      <c r="H5" s="4" t="n">
        <v>6</v>
      </c>
      <c r="I5" s="4" t="n">
        <v>0</v>
      </c>
      <c r="J5" s="4" t="inlineStr">
        <is>
          <t>Wersja robocza gotowa: Wskazniki_innowacyjnosci_1.2_i_1.4.docx (wskaźniki W1-W5 w 1.2, tekst 1.4 i I1-I3, zmiany w opisie innowacji, produkty referencyjne ze źródłami). Zmiany do wprowadzenia we wniosku: N32-N39. Do potwierdzenia D33: bazy zakładane (AUC ≤0,70, mAP ≤0,40), oferty cenowe dla I1, pomiar bazy mAP w Z8 (N35). Pozostaje K14-01 (nierozpoczęte).</t>
        </is>
      </c>
    </row>
    <row r="6">
      <c r="A6" s="4" t="inlineStr">
        <is>
          <t>WP05 Wdrożenie, rynek, ceny</t>
        </is>
      </c>
      <c r="B6" s="4" t="inlineStr">
        <is>
          <t>P1</t>
        </is>
      </c>
      <c r="C6" s="4" t="inlineStr">
        <is>
          <t>pon 05.10</t>
        </is>
      </c>
      <c r="D6" s="4" t="n">
        <v>9</v>
      </c>
      <c r="E6" s="4" t="inlineStr">
        <is>
          <t>K2-01, K2-04, K2-05, K2-06, K2-09, K2-10, K2-11, K2-15, K2-17</t>
        </is>
      </c>
      <c r="F6" s="4" t="n">
        <v>4</v>
      </c>
      <c r="G6" s="4" t="n">
        <v>0</v>
      </c>
      <c r="H6" s="4" t="n">
        <v>5</v>
      </c>
      <c r="I6" s="4" t="n">
        <v>0</v>
      </c>
      <c r="J6" s="4" t="inlineStr">
        <is>
          <t>Wersja robocza gotowa: Sekcja_1.3_i_ceny.docx (tekst 1.3 8 023 znaki, korekty błędów w danych, lista danych do uzupełnienia). Zmiany do wprowadzenia: N40-N46. Decyzje: D34, D35. Zadania: T14-T16, T10. Poza tym pakietem zostają K2-02, K2-03, K2-04, K2-07, K2-08, K2-09 (WP10 i 2.1).</t>
        </is>
      </c>
    </row>
    <row r="7">
      <c r="A7" s="4" t="inlineStr">
        <is>
          <t>WP06 Personel (budżet i opis)</t>
        </is>
      </c>
      <c r="B7" s="4" t="inlineStr">
        <is>
          <t>P1</t>
        </is>
      </c>
      <c r="C7" s="4" t="inlineStr">
        <is>
          <t>pt 02.10</t>
        </is>
      </c>
      <c r="D7" s="4" t="n">
        <v>21</v>
      </c>
      <c r="E7" s="4" t="inlineStr">
        <is>
          <t>K3-33, K3-34, K3-35, K3-36, K3-37, K3-38, K3-39, K3-40, K3-41, K3-42, K5-01, K5-02, K5-03, K5-04, K5-05, K5-06, K5-07, K5-08, K5-09, K5-10, K5-11</t>
        </is>
      </c>
      <c r="F7" s="4" t="n">
        <v>11</v>
      </c>
      <c r="G7" s="4" t="n">
        <v>0</v>
      </c>
      <c r="H7" s="4" t="n">
        <v>9</v>
      </c>
      <c r="I7" s="4" t="n">
        <v>1</v>
      </c>
      <c r="J7" s="4" t="inlineStr">
        <is>
          <t>Cz. 1 gotowa: Sekcja_6.1_zespol_projektowy.docx (K5-01 do K5-11: sposób zarządzania, personel planowany, pola osobowe, doświadczenie Chrzanowskiego, dopiski Kordos i Hajduk, rozdział IT/Backend, karta 276 h). Założenia D37 do potwierdzenia (T23). Uzasadnienia kosztu i metoda szacowania Everest11 gotowe (Opisy_zadan, cz. 3 i 4). Do zrobienia: stawki PRz (K3-41, K3-42). Cz. 2 gotowa: Sekcja_6.2-6.4_zasoby_podwykonawca.docx (K5-12 do K5-19); żółte pola do uzupełnienia: T25, T26.</t>
        </is>
      </c>
    </row>
    <row r="8">
      <c r="A8" s="4" t="inlineStr">
        <is>
          <t>WP07 Podwykonawcy i montaż</t>
        </is>
      </c>
      <c r="B8" s="4" t="inlineStr">
        <is>
          <t>P1</t>
        </is>
      </c>
      <c r="C8" s="4" t="inlineStr">
        <is>
          <t>pt 02.10</t>
        </is>
      </c>
      <c r="D8" s="4" t="n">
        <v>6</v>
      </c>
      <c r="E8" s="4" t="inlineStr">
        <is>
          <t>K3-43, K3-44, K3-45, K3-46, K3-47, K5-19</t>
        </is>
      </c>
      <c r="F8" s="4" t="n">
        <v>1</v>
      </c>
      <c r="G8" s="4" t="n">
        <v>0</v>
      </c>
      <c r="H8" s="4" t="n">
        <v>3</v>
      </c>
      <c r="I8" s="4" t="n">
        <v>2</v>
      </c>
      <c r="J8" s="4" t="inlineStr">
        <is>
          <t>Tekst do wklejenia + podżądania (macierz pokrycia) - do wypełnienia</t>
        </is>
      </c>
    </row>
    <row r="9">
      <c r="A9" s="4" t="inlineStr">
        <is>
          <t>WP08 Sprzęt i amortyzacja</t>
        </is>
      </c>
      <c r="B9" s="4" t="inlineStr">
        <is>
          <t>P1</t>
        </is>
      </c>
      <c r="C9" s="4" t="inlineStr">
        <is>
          <t>pt 02.10</t>
        </is>
      </c>
      <c r="D9" s="4" t="n">
        <v>11</v>
      </c>
      <c r="E9" s="4" t="inlineStr">
        <is>
          <t>K3-48, K3-49, K3-50, K3-51, K3-52, K3-53, K3-54, K3-55, K3-56, K3-57, K3-58</t>
        </is>
      </c>
      <c r="F9" s="4" t="n">
        <v>0</v>
      </c>
      <c r="G9" s="4" t="n">
        <v>0</v>
      </c>
      <c r="H9" s="4" t="n">
        <v>5</v>
      </c>
      <c r="I9" s="4" t="n">
        <v>6</v>
      </c>
      <c r="J9" s="4" t="inlineStr">
        <is>
          <t>Tekst do wklejenia + podżądania (macierz pokrycia) - do wypełnienia</t>
        </is>
      </c>
    </row>
    <row r="10">
      <c r="A10" s="4" t="inlineStr">
        <is>
          <t>WP09 Internacjonalizacja i patent</t>
        </is>
      </c>
      <c r="B10" s="4" t="inlineStr">
        <is>
          <t>P1</t>
        </is>
      </c>
      <c r="C10" s="4" t="inlineStr">
        <is>
          <t>pt 02.10</t>
        </is>
      </c>
      <c r="D10" s="4" t="n">
        <v>10</v>
      </c>
      <c r="E10" s="4" t="inlineStr">
        <is>
          <t>K3-23, K3-24, K3-59, K3-60, K3-61, K3-62, K3-63, K3-64, K3-65, K3-66</t>
        </is>
      </c>
      <c r="F10" s="4" t="n">
        <v>0</v>
      </c>
      <c r="G10" s="4" t="n">
        <v>1</v>
      </c>
      <c r="H10" s="4" t="n">
        <v>7</v>
      </c>
      <c r="I10" s="4" t="n">
        <v>2</v>
      </c>
      <c r="J10" s="4" t="inlineStr">
        <is>
          <t>Tekst gotowy: Sekcja_3.2_internacjonalizacja_Z10_Z11.docx; do wpisania oferta TRANSLOG i kurs NBP (T30, T31), decyzje D40-D41</t>
        </is>
      </c>
    </row>
    <row r="11">
      <c r="A11" s="4" t="inlineStr">
        <is>
          <t>WP10 Zasoby, IP, WNiP</t>
        </is>
      </c>
      <c r="B11" s="4" t="inlineStr">
        <is>
          <t>P1</t>
        </is>
      </c>
      <c r="C11" s="4" t="inlineStr">
        <is>
          <t>pon 05.10</t>
        </is>
      </c>
      <c r="D11" s="4" t="n">
        <v>11</v>
      </c>
      <c r="E11" s="4" t="inlineStr">
        <is>
          <t>K2-02, K2-03, K2-07, K2-08, K5-12, K5-13, K5-14, K5-15, K5-16, K5-17, K5-18</t>
        </is>
      </c>
      <c r="F11" s="4" t="n">
        <v>11</v>
      </c>
      <c r="G11" s="4" t="n">
        <v>0</v>
      </c>
      <c r="H11" s="4" t="n">
        <v>0</v>
      </c>
      <c r="I11" s="4" t="n">
        <v>0</v>
      </c>
      <c r="J11" s="4" t="inlineStr">
        <is>
          <t>Wersja robocza gotowa: Sekcja_2.2_i_2.5_prawa_FTO_zasoby.docx (K2-02, K2-03, K2-04, K2-07, K2-08, K2-09): teksty pól 2.2 i 2.5, rejestr patentów, wariant A/B praw. Zmiany: N51-N56. Decyzja D36, zadania T20-T22. Pozostają K5-12 do K5-15 (flota, zasoby, 6.x).</t>
        </is>
      </c>
    </row>
    <row r="12">
      <c r="A12" s="4" t="inlineStr">
        <is>
          <t>WP11 Model finansowy i zdolność finansowa</t>
        </is>
      </c>
      <c r="B12" s="4" t="inlineStr">
        <is>
          <t>P1</t>
        </is>
      </c>
      <c r="C12" s="4" t="inlineStr">
        <is>
          <t>pon 05.10</t>
        </is>
      </c>
      <c r="D12" s="4" t="n">
        <v>22</v>
      </c>
      <c r="E12" s="4" t="inlineStr">
        <is>
          <t>K2-12, K2-13, K2-14, K2-16, K6-01, K6-02, K6-03, K6-04, K6-05, K6-06, K6-07, K6-08, K6-09, K6-10, K6-11, K6-12, K6-13, K6-14, K6-15, K6-16, K6-17, K6-18</t>
        </is>
      </c>
      <c r="F12" s="4" t="n">
        <v>0</v>
      </c>
      <c r="G12" s="4" t="n">
        <v>3</v>
      </c>
      <c r="H12" s="4" t="n">
        <v>11</v>
      </c>
      <c r="I12" s="4" t="n">
        <v>8</v>
      </c>
      <c r="J12" s="4" t="inlineStr">
        <is>
          <t>Tekst do wklejenia + podżądania (macierz pokrycia) - do wypełnienia</t>
        </is>
      </c>
    </row>
    <row r="13">
      <c r="A13" s="4" t="inlineStr">
        <is>
          <t>WP12 Zasady horyzontalne i 6R</t>
        </is>
      </c>
      <c r="B13" s="4" t="inlineStr">
        <is>
          <t>P2</t>
        </is>
      </c>
      <c r="C13" s="4" t="inlineStr">
        <is>
          <t>wt 06.10</t>
        </is>
      </c>
      <c r="D13" s="4" t="n">
        <v>14</v>
      </c>
      <c r="E13" s="4" t="inlineStr">
        <is>
          <t>K10-01, K10-02, K10-03, K10-04, K10-05, K10-06, K11-01, K12-01, K13-01, K13-02, K13-03, K13-04, K13-05, K13-06</t>
        </is>
      </c>
      <c r="F13" s="4" t="n">
        <v>14</v>
      </c>
      <c r="G13" s="4" t="n">
        <v>0</v>
      </c>
      <c r="H13" s="4" t="n">
        <v>0</v>
      </c>
      <c r="I13" s="4" t="n">
        <v>0</v>
      </c>
      <c r="J13" s="4" t="inlineStr">
        <is>
          <t>Tekst gotowy (Sekcja_7_zasady_horyzontalne_6R.docx), do potwierdzenia T27-T29</t>
        </is>
      </c>
    </row>
    <row r="14">
      <c r="A14" s="4" t="inlineStr">
        <is>
          <t>RAZEM</t>
        </is>
      </c>
      <c r="B14" s="4" t="inlineStr"/>
      <c r="C14" s="4" t="inlineStr"/>
      <c r="D14" s="4" t="n">
        <v>141</v>
      </c>
      <c r="E14" s="4" t="inlineStr"/>
      <c r="F14" s="4" t="inlineStr"/>
      <c r="G14" s="4" t="inlineStr"/>
      <c r="H14" s="4" t="inlineStr"/>
      <c r="I14" s="4" t="inlineStr"/>
      <c r="J14" s="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3"/>
  <sheetViews>
    <sheetView workbookViewId="0">
      <pane ySplit="1" topLeftCell="A2" activePane="bottomLeft" state="frozen"/>
      <selection pane="bottomLeft" activeCell="A1" sqref="A1"/>
    </sheetView>
  </sheetViews>
  <sheetFormatPr baseColWidth="8" defaultRowHeight="15"/>
  <cols>
    <col width="55" customWidth="1" min="1" max="1"/>
    <col width="16" customWidth="1" min="2" max="2"/>
    <col width="9" customWidth="1" min="3" max="3"/>
    <col width="18" customWidth="1" min="4" max="4"/>
    <col width="60" customWidth="1" min="5" max="5"/>
    <col width="80" customWidth="1" min="6" max="6"/>
    <col width="13" customWidth="1" min="7" max="7"/>
  </cols>
  <sheetData>
    <row r="1">
      <c r="A1" s="8" t="inlineStr">
        <is>
          <t>Pozycja</t>
        </is>
      </c>
      <c r="B1" s="8" t="inlineStr">
        <is>
          <t>Cena w walucie źródła</t>
        </is>
      </c>
      <c r="C1" s="8" t="inlineStr">
        <is>
          <t>Waluta</t>
        </is>
      </c>
      <c r="D1" s="8" t="inlineStr">
        <is>
          <t>Cena w PLN (netto)</t>
        </is>
      </c>
      <c r="E1" s="8" t="inlineStr">
        <is>
          <t>Uwaga</t>
        </is>
      </c>
      <c r="F1" s="8" t="inlineStr">
        <is>
          <t>Źródło (URL)</t>
        </is>
      </c>
      <c r="G1" s="8" t="inlineStr">
        <is>
          <t>Data odczytu</t>
        </is>
      </c>
    </row>
    <row r="2">
      <c r="A2" s="2" t="inlineStr">
        <is>
          <t>Kamera ToF Basler blaze-101/102 (VGA, GigE, 850/940 nm)</t>
        </is>
      </c>
      <c r="B2" s="2" t="n">
        <v>1579</v>
      </c>
      <c r="C2" s="2" t="inlineStr">
        <is>
          <t>EUR</t>
        </is>
      </c>
      <c r="D2" s="2">
        <f>B2*$B$19</f>
        <v/>
      </c>
      <c r="E2" s="2" t="inlineStr">
        <is>
          <t>Katalog netto, 1 szt.; blaze-102 ma ten sam cennik na stronie</t>
        </is>
      </c>
      <c r="F2" s="2" t="inlineStr">
        <is>
          <t>https://baslerweb.com/en/shop/blaze-101</t>
        </is>
      </c>
      <c r="G2" s="2" t="inlineStr">
        <is>
          <t>01.10.2026</t>
        </is>
      </c>
    </row>
    <row r="3">
      <c r="A3" s="2" t="inlineStr">
        <is>
          <t>Kamera ToF Lucid Helios2 (IP67)</t>
        </is>
      </c>
      <c r="B3" s="2" t="n">
        <v>1645</v>
      </c>
      <c r="C3" s="2" t="inlineStr">
        <is>
          <t>EUR</t>
        </is>
      </c>
      <c r="D3" s="2">
        <f>B3*$B$19</f>
        <v/>
      </c>
      <c r="E3" s="2" t="inlineStr">
        <is>
          <t>Netto, Edmund Optics EU; Helios2+ 1 800 EUR</t>
        </is>
      </c>
      <c r="F3" s="2" t="inlineStr">
        <is>
          <t>https://edmundoptics.eu/p/lucid-vision-labs-heliostrade2-time-of-flight-tof-camera/49503</t>
        </is>
      </c>
      <c r="G3" s="2" t="inlineStr">
        <is>
          <t>01.10.2026</t>
        </is>
      </c>
    </row>
    <row r="4">
      <c r="A4" s="2" t="inlineStr">
        <is>
          <t>Kamera ToF Orbbec Femto Bolt (iToF 850 nm, 0,25-5,46 m)</t>
        </is>
      </c>
      <c r="B4" s="2" t="n">
        <v>559</v>
      </c>
      <c r="C4" s="2" t="inlineStr">
        <is>
          <t>USD</t>
        </is>
      </c>
      <c r="D4" s="2">
        <f>B4*$B$20</f>
        <v/>
      </c>
      <c r="E4" s="2" t="inlineStr">
        <is>
          <t>Cena detaliczna (wskazówka: sprawdzić netto)</t>
        </is>
      </c>
      <c r="F4" s="2" t="inlineStr">
        <is>
          <t>https://ca.robotshop.com/products/orbbec-femto-bolt-3d-vision-device</t>
        </is>
      </c>
      <c r="G4" s="2" t="inlineStr">
        <is>
          <t>01.10.2026</t>
        </is>
      </c>
    </row>
    <row r="5">
      <c r="A5" s="2" t="inlineStr">
        <is>
          <t>Luxonis OAK-D Pro W (ACTIVE STEREO, nie ToF)</t>
        </is>
      </c>
      <c r="B5" s="2" t="n">
        <v>499</v>
      </c>
      <c r="C5" s="2" t="inlineStr">
        <is>
          <t>USD</t>
        </is>
      </c>
      <c r="D5" s="2">
        <f>B5*$B$20</f>
        <v/>
      </c>
      <c r="E5" s="2" t="inlineStr">
        <is>
          <t>Pozycja wskazana we wniosku jako "kamera ToF" (Z1 typ 1, Z2)</t>
        </is>
      </c>
      <c r="F5" s="2" t="inlineStr">
        <is>
          <t>https://checkout.luxonis.com/products/oak-d-pro-w</t>
        </is>
      </c>
      <c r="G5" s="2" t="inlineStr">
        <is>
          <t>01.10.2026</t>
        </is>
      </c>
    </row>
    <row r="6">
      <c r="A6" s="2" t="inlineStr">
        <is>
          <t>Kamera EO Basler ace 2 a2A1920-51gm (2,3 MP, GigE)</t>
        </is>
      </c>
      <c r="B6" s="2" t="n">
        <v>319</v>
      </c>
      <c r="C6" s="2" t="inlineStr">
        <is>
          <t>EUR</t>
        </is>
      </c>
      <c r="D6" s="2">
        <f>B6*$B$19</f>
        <v/>
      </c>
      <c r="E6" s="2" t="inlineStr">
        <is>
          <t>Netto; wersja kolorowa nieco droższa</t>
        </is>
      </c>
      <c r="F6" s="2" t="inlineStr">
        <is>
          <t>https://baslerweb.com/en/shop/a2a1920-imx392</t>
        </is>
      </c>
      <c r="G6" s="2" t="inlineStr">
        <is>
          <t>01.10.2026</t>
        </is>
      </c>
    </row>
    <row r="7">
      <c r="A7" s="2" t="inlineStr">
        <is>
          <t>Jetson Orin Nano 8 GB - moduł (40 TOPS), cena 1KU+</t>
        </is>
      </c>
      <c r="B7" s="2" t="n">
        <v>399</v>
      </c>
      <c r="C7" s="2" t="inlineStr">
        <is>
          <t>USD</t>
        </is>
      </c>
      <c r="D7" s="2">
        <f>B7*$B$20</f>
        <v/>
      </c>
      <c r="E7" s="2" t="inlineStr">
        <is>
          <t>Cena przy zamówieniu &gt;=1000 szt. (już wolumenowa); od 07.2026 (wcześniej 299 USD)</t>
        </is>
      </c>
      <c r="F7" s="2" t="inlineStr">
        <is>
          <t>https://www.cnx-software.com/2026/07/22/nvidia-increases-the-price-of-jetson-modules-and-devkits-by-up-to-101/</t>
        </is>
      </c>
      <c r="G7" s="2" t="inlineStr">
        <is>
          <t>01.10.2026</t>
        </is>
      </c>
    </row>
    <row r="8">
      <c r="A8" s="2" t="inlineStr">
        <is>
          <t>Jetson Orin NX 16 GB - moduł (100 TOPS), cena 1KU+</t>
        </is>
      </c>
      <c r="B8" s="2" t="n">
        <v>999</v>
      </c>
      <c r="C8" s="2" t="inlineStr">
        <is>
          <t>USD</t>
        </is>
      </c>
      <c r="D8" s="2">
        <f>B8*$B$20</f>
        <v/>
      </c>
      <c r="E8" s="2" t="inlineStr">
        <is>
          <t>j.w. (wcześniej 599 USD)</t>
        </is>
      </c>
      <c r="F8" s="2" t="inlineStr">
        <is>
          <t>https://www.cnx-software.com/2026/07/22/nvidia-increases-the-price-of-jetson-modules-and-devkits-by-up-to-101/</t>
        </is>
      </c>
      <c r="G8" s="2" t="inlineStr">
        <is>
          <t>01.10.2026</t>
        </is>
      </c>
    </row>
    <row r="9">
      <c r="A9" s="2" t="inlineStr">
        <is>
          <t>Jetson Orin Nano 8 GB - moduł, PLN (agregator elecena.pl)</t>
        </is>
      </c>
      <c r="B9" s="2" t="n">
        <v>1396.51</v>
      </c>
      <c r="C9" s="2" t="inlineStr">
        <is>
          <t>PLN</t>
        </is>
      </c>
      <c r="D9" s="2">
        <f>B9</f>
        <v/>
      </c>
      <c r="E9" s="2" t="inlineStr">
        <is>
          <t>Cena z porównywarki, wymaga potwierdzenia u dystrybutora (Botland/Kamami/Elmark)</t>
        </is>
      </c>
      <c r="F9" s="2" t="inlineStr">
        <is>
          <t>https://elecena.pl/search?q=40tops</t>
        </is>
      </c>
      <c r="G9" s="2" t="inlineStr">
        <is>
          <t>01.10.2026</t>
        </is>
      </c>
    </row>
    <row r="10">
      <c r="A10" s="2" t="inlineStr">
        <is>
          <t>Router Teltonika RUT956 (LTE Cat 4, GNSS)</t>
        </is>
      </c>
      <c r="B10" s="2" t="n">
        <v>1444</v>
      </c>
      <c r="C10" s="2" t="inlineStr">
        <is>
          <t>PLN</t>
        </is>
      </c>
      <c r="D10" s="2">
        <f>B10</f>
        <v/>
      </c>
      <c r="E10" s="2" t="inlineStr">
        <is>
          <t>Cena BRUTTO od 1 444 do 1 640 zł; netto ok. 1 174-1 333 zł</t>
        </is>
      </c>
      <c r="F10" s="2" t="inlineStr">
        <is>
          <t>https://emaga.mysky-shop.pl/WRL-ROUTER-LTE-CAT-4-RUT956-TELTONIKA-p2025564</t>
        </is>
      </c>
      <c r="G10" s="2" t="inlineStr">
        <is>
          <t>01.10.2026</t>
        </is>
      </c>
    </row>
    <row r="11">
      <c r="A11" s="2" t="inlineStr">
        <is>
          <t>Dysk NVMe 1 TB konsumencki Kingston NV3 (0-70 C)</t>
        </is>
      </c>
      <c r="B11" s="2" t="n">
        <v>629</v>
      </c>
      <c r="C11" s="2" t="inlineStr">
        <is>
          <t>PLN</t>
        </is>
      </c>
      <c r="D11" s="2">
        <f>B11</f>
        <v/>
      </c>
      <c r="E11" s="2" t="inlineStr">
        <is>
          <t>x-kom 629 zł brutto; Morele 429 zł (promocja V.2026)</t>
        </is>
      </c>
      <c r="F11" s="2" t="inlineStr">
        <is>
          <t>https://www.x-kom.pl/p/1273429-kingston-1tb-m2-pcie-gen4-nvme-nv3.html</t>
        </is>
      </c>
      <c r="G11" s="2" t="inlineStr">
        <is>
          <t>01.10.2026</t>
        </is>
      </c>
    </row>
    <row r="12">
      <c r="A12" s="2" t="n"/>
      <c r="B12" s="2" t="n">
        <v>961.75</v>
      </c>
      <c r="C12" s="2" t="inlineStr">
        <is>
          <t>EUR</t>
        </is>
      </c>
      <c r="D12" s="2">
        <f>B12*$B$19</f>
        <v/>
      </c>
      <c r="E12" s="2" t="inlineStr">
        <is>
          <t>Netto, RS Online</t>
        </is>
      </c>
      <c r="F12" s="2" t="inlineStr">
        <is>
          <t>https://ie.rs-online.com/web/p/hard-drives/0683207</t>
        </is>
      </c>
      <c r="G12" s="2" t="inlineStr">
        <is>
          <t>01.10.2026</t>
        </is>
      </c>
    </row>
    <row r="13">
      <c r="A13" s="2" t="n"/>
      <c r="B13" s="2" t="n"/>
      <c r="C13" s="2" t="inlineStr">
        <is>
          <t>PLN</t>
        </is>
      </c>
      <c r="D13" s="2">
        <f>B13</f>
        <v/>
      </c>
      <c r="E13" s="2" t="inlineStr">
        <is>
          <t>Netto, RS Online PL; wersja 260x160x90 mm 411,59 zł</t>
        </is>
      </c>
      <c r="F13" s="2" t="inlineStr">
        <is>
          <t>https://pl.rs-online.com/web/p/obudowy-ogolnego-uzytku/8681203</t>
        </is>
      </c>
      <c r="G13" s="2" t="inlineStr">
        <is>
          <t>01.10.2026</t>
        </is>
      </c>
    </row>
    <row r="14">
      <c r="A14" s="2" t="n"/>
      <c r="B14" s="2" t="n"/>
      <c r="C14" s="2" t="inlineStr">
        <is>
          <t>EUR</t>
        </is>
      </c>
      <c r="D14" s="2">
        <f>B14*$B$19</f>
        <v/>
      </c>
      <c r="E14" s="2" t="inlineStr">
        <is>
          <t>Netto, RS; tanie IMU MEMS znacznie niższe (bez źródła)</t>
        </is>
      </c>
      <c r="F14" s="2" t="inlineStr">
        <is>
          <t>https://benl.rs-online.com/web/p/sensor-development-tools/2162989</t>
        </is>
      </c>
      <c r="G14" s="2" t="inlineStr">
        <is>
          <t>01.10.2026</t>
        </is>
      </c>
    </row>
    <row r="15">
      <c r="A15" s="2" t="inlineStr">
        <is>
          <t>Radar mmWave TI IWR6843AOPEVM (60 GHz)</t>
        </is>
      </c>
      <c r="B15" s="2" t="n">
        <v>257.49</v>
      </c>
      <c r="C15" s="2" t="inlineStr">
        <is>
          <t>USD</t>
        </is>
      </c>
      <c r="D15" s="2">
        <f>B15*$B$20</f>
        <v/>
      </c>
      <c r="E15" s="2" t="inlineStr">
        <is>
          <t>Mouser CA - waluta niepewna (może być CAD); wniosek podaje FMCW 77 GHz</t>
        </is>
      </c>
      <c r="F15" s="2" t="inlineStr">
        <is>
          <t>https://www.mouser.ca/c/embedded-solutions/engineering-tools/sensor-development-tools/?pg=22&amp;q=QS</t>
        </is>
      </c>
      <c r="G15" s="2" t="inlineStr">
        <is>
          <t>01.10.2026</t>
        </is>
      </c>
    </row>
    <row r="16">
      <c r="A16" s="2" t="n"/>
      <c r="B16" s="2" t="n"/>
      <c r="C16" s="2" t="n"/>
      <c r="D16" s="2" t="n"/>
      <c r="E16" s="2" t="n"/>
      <c r="F16" s="2" t="n"/>
      <c r="G16" s="2" t="n"/>
    </row>
    <row r="17">
      <c r="A17" s="2" t="n"/>
      <c r="B17" s="2" t="n"/>
      <c r="C17" s="2" t="n"/>
      <c r="D17" s="2" t="n"/>
      <c r="E17" s="2" t="n"/>
      <c r="F17" s="2" t="n"/>
      <c r="G17" s="2" t="n"/>
    </row>
    <row r="18">
      <c r="A18" s="2" t="inlineStr">
        <is>
          <t>Kursy NBP z 17.09.2026 (źródło: tvp.info / comparic.pl; nr tabeli A uzupełnić przy opisie w LSI)</t>
        </is>
      </c>
      <c r="B18" s="2" t="n"/>
      <c r="C18" s="2" t="n"/>
      <c r="D18" s="2" t="n"/>
      <c r="E18" s="2" t="n"/>
      <c r="F18" s="2" t="n"/>
      <c r="G18" s="2" t="n"/>
    </row>
    <row r="19">
      <c r="A19" s="2" t="inlineStr">
        <is>
          <t>EUR/PLN</t>
        </is>
      </c>
      <c r="B19" s="2" t="n">
        <v>4.3632</v>
      </c>
      <c r="C19" s="2" t="n"/>
      <c r="D19" s="2" t="n"/>
      <c r="E19" s="2" t="n"/>
      <c r="F19" s="2" t="n"/>
      <c r="G19" s="2" t="n"/>
    </row>
    <row r="20">
      <c r="A20" s="2" t="inlineStr">
        <is>
          <t>USD/PLN</t>
        </is>
      </c>
      <c r="B20" s="2" t="n">
        <v>3.803</v>
      </c>
      <c r="C20" s="2" t="n"/>
      <c r="D20" s="2" t="n"/>
      <c r="E20" s="2" t="n"/>
      <c r="F20" s="2" t="n"/>
      <c r="G20" s="2" t="n"/>
    </row>
    <row r="21">
      <c r="A21" s="2" t="n"/>
      <c r="B21" s="2" t="n"/>
      <c r="C21" s="2" t="n"/>
      <c r="D21" s="2" t="n"/>
      <c r="E21" s="2" t="n"/>
      <c r="F21" s="2" t="n"/>
      <c r="G21" s="2" t="n"/>
    </row>
    <row r="22">
      <c r="A22" s="2" t="inlineStr">
        <is>
          <t>Uwaga: ceny katalogowe/detaliczne nie są ofertami. W LSI jako "źródło danych" podać nazwę sklepu/producenta i datę odczytu; dla pozycji kluczowych (edge AI, ToF) rozważyć zapytanie ofertowe.</t>
        </is>
      </c>
      <c r="B22" s="2" t="n"/>
      <c r="C22" s="2" t="n"/>
      <c r="D22" s="2" t="n"/>
      <c r="E22" s="2" t="n"/>
      <c r="F22" s="2" t="n"/>
      <c r="G22" s="2" t="n"/>
    </row>
    <row r="23">
      <c r="A23" s="2" t="inlineStr">
        <is>
          <t>Konkurencja: Tive Solo 5G, interwał transmisji 5-720 min (300-43 200 s)</t>
        </is>
      </c>
      <c r="B23" s="2" t="inlineStr"/>
      <c r="C23" s="2" t="inlineStr"/>
      <c r="D23" s="2" t="inlineStr"/>
      <c r="E23" s="2" t="inlineStr">
        <is>
          <t>Karta katalogowa, dane z wyszukiwarki; do sprawdzenia w pełnej karcie</t>
        </is>
      </c>
      <c r="F23" s="2" t="inlineStr">
        <is>
          <t>https://www.tive.com/compare-trackers</t>
        </is>
      </c>
      <c r="G23" s="2" t="inlineStr">
        <is>
          <t>02.10.2026</t>
        </is>
      </c>
    </row>
    <row r="24">
      <c r="A24" s="2" t="inlineStr">
        <is>
          <t>Konkurencja: Blickfeld Qb2 / QbVolume, zasięg 1-100 m, precyzja &lt;±2 cm, 1-50 Hz</t>
        </is>
      </c>
      <c r="B24" s="2" t="inlineStr"/>
      <c r="C24" s="2" t="inlineStr"/>
      <c r="D24" s="2" t="inlineStr"/>
      <c r="E24" s="2" t="inlineStr">
        <is>
          <t>Karty katalogowe V2.3 (03.2026)</t>
        </is>
      </c>
      <c r="F24" s="2" t="inlineStr">
        <is>
          <t>https://www.blickfeld.com/lidar-sensor-products/qbvolume/</t>
        </is>
      </c>
      <c r="G24" s="2" t="inlineStr">
        <is>
          <t>02.10.2026</t>
        </is>
      </c>
    </row>
    <row r="25">
      <c r="A25" s="2" t="inlineStr">
        <is>
          <t>Konkurencja: Ouster OS0, 35 m (10% odbicia), ±3 cm, do 20 Hz</t>
        </is>
      </c>
      <c r="B25" s="2" t="inlineStr"/>
      <c r="C25" s="2" t="inlineStr"/>
      <c r="D25" s="2" t="inlineStr"/>
      <c r="E25" s="2" t="inlineStr">
        <is>
          <t>Strona producenta</t>
        </is>
      </c>
      <c r="F25" s="2" t="inlineStr">
        <is>
          <t>https://ouster.com/products/hardware/os0</t>
        </is>
      </c>
      <c r="G25" s="2" t="inlineStr">
        <is>
          <t>02.10.2026</t>
        </is>
      </c>
    </row>
    <row r="26">
      <c r="A26" s="2" t="inlineStr">
        <is>
          <t>Konkurencja: SkyBitz SkyCamera (kamera i czujnik wolumetryczny w naczepie)</t>
        </is>
      </c>
      <c r="B26" s="2" t="inlineStr"/>
      <c r="C26" s="2" t="inlineStr"/>
      <c r="D26" s="2" t="inlineStr"/>
      <c r="E26" s="2" t="inlineStr">
        <is>
          <t>Producent nie podaje dokładności</t>
        </is>
      </c>
      <c r="F26" s="2" t="inlineStr">
        <is>
          <t>https://www.skybitz.com/skycamera</t>
        </is>
      </c>
      <c r="G26" s="2" t="inlineStr">
        <is>
          <t>02.10.2026</t>
        </is>
      </c>
    </row>
    <row r="27">
      <c r="A27" s="2" t="inlineStr">
        <is>
          <t>Konkurencja: Nexxiot Globehopper Edge, aktualizacje co 60 min w ruchu</t>
        </is>
      </c>
      <c r="B27" s="2" t="inlineStr"/>
      <c r="C27" s="2" t="inlineStr"/>
      <c r="D27" s="2" t="inlineStr"/>
      <c r="E27" s="2" t="inlineStr">
        <is>
          <t>Informacja prasowa; nazwa „Globe+” nie występuje w dokumentacji</t>
        </is>
      </c>
      <c r="F27" s="2" t="inlineStr">
        <is>
          <t>https://www.porttechnology.org/news/nexxiot-unveils-wireless-cargo-visibility-device/</t>
        </is>
      </c>
      <c r="G27" s="2" t="inlineStr">
        <is>
          <t>02.10.2026</t>
        </is>
      </c>
    </row>
    <row r="28">
      <c r="A28" s="2" t="inlineStr">
        <is>
          <t>Konkurencja: Arviem, interwał pomiaru domyślnie 60 min</t>
        </is>
      </c>
      <c r="B28" s="2" t="inlineStr"/>
      <c r="C28" s="2" t="inlineStr"/>
      <c r="D28" s="2" t="inlineStr"/>
      <c r="E28" s="2" t="inlineStr">
        <is>
          <t>Źródło pośrednie, pobrać kartę katalogową</t>
        </is>
      </c>
      <c r="F28" s="2" t="inlineStr">
        <is>
          <t>do uzupełnienia</t>
        </is>
      </c>
      <c r="G28" s="2" t="inlineStr">
        <is>
          <t>02.10.2026</t>
        </is>
      </c>
    </row>
    <row r="29">
      <c r="A29" s="2" t="inlineStr">
        <is>
          <t>Rynek: naczepy w Polsce 2023, 544,97 tys.</t>
        </is>
      </c>
      <c r="B29" s="2" t="inlineStr"/>
      <c r="C29" s="2" t="inlineStr"/>
      <c r="D29" s="2" t="inlineStr"/>
      <c r="E29" s="2" t="inlineStr">
        <is>
          <t>Eurostat road_eqs_semit; wartość za 2024 do pobrania</t>
        </is>
      </c>
      <c r="F29" s="2" t="inlineStr">
        <is>
          <t>https://baselight.app/u/eurostat/dataset/road_eqs_semit</t>
        </is>
      </c>
      <c r="G29" s="2" t="inlineStr">
        <is>
          <t>02.10.2026</t>
        </is>
      </c>
    </row>
    <row r="30">
      <c r="A30" s="2" t="inlineStr">
        <is>
          <t>Rynek: 43 280 firm z licencją wspólnotową (VII 2026), 45 565 w 2023</t>
        </is>
      </c>
      <c r="B30" s="2" t="inlineStr"/>
      <c r="C30" s="2" t="inlineStr"/>
      <c r="D30" s="2" t="inlineStr"/>
      <c r="E30" s="2" t="inlineStr">
        <is>
          <t>GITD, za trans.info</t>
        </is>
      </c>
      <c r="F30" s="2" t="inlineStr">
        <is>
          <t>https://trans.info/pl/firm-transportowych-ubywa-498383</t>
        </is>
      </c>
      <c r="G30" s="2" t="inlineStr">
        <is>
          <t>02.10.2026</t>
        </is>
      </c>
    </row>
    <row r="31">
      <c r="A31" s="2" t="inlineStr">
        <is>
          <t>Kurs SDR NBP 5,0954 PLN (tabela z 04.09.2026)</t>
        </is>
      </c>
      <c r="B31" s="2" t="inlineStr"/>
      <c r="C31" s="2" t="inlineStr"/>
      <c r="D31" s="2" t="inlineStr"/>
      <c r="E31" s="2" t="inlineStr">
        <is>
          <t>Do przeliczenia limitu CMR (art. 23: 8,33 SDR/kg)</t>
        </is>
      </c>
      <c r="F31" s="2" t="inlineStr">
        <is>
          <t>https://direct.money.pl/kursy-walut/nbp/kurs-XDR</t>
        </is>
      </c>
      <c r="G31" s="2" t="inlineStr">
        <is>
          <t>02.10.2026</t>
        </is>
      </c>
    </row>
    <row r="32">
      <c r="A32" s="2" t="inlineStr">
        <is>
          <t>Cena konkurencji: SkyBitz, abonament od 30 do 75 USD/zasób/mies.</t>
        </is>
      </c>
      <c r="B32" s="2" t="inlineStr"/>
      <c r="C32" s="2" t="inlineStr"/>
      <c r="D32" s="2" t="inlineStr"/>
      <c r="E32" s="2" t="inlineStr">
        <is>
          <t>Serwis Capterra, dane orientacyjne, nie oferta</t>
        </is>
      </c>
      <c r="F32" s="2" t="inlineStr">
        <is>
          <t>https://capterra.com/p/166977/SkyBitz-Local-Fleets/</t>
        </is>
      </c>
      <c r="G32" s="2" t="inlineStr">
        <is>
          <t>02.10.2026</t>
        </is>
      </c>
    </row>
    <row r="33">
      <c r="A33" s="2" t="inlineStr">
        <is>
          <t>eFTI: stosowanie od 21.08.2024 i 21.08.2025, obowiązek dla organów, dobrowolne dla przewoźników</t>
        </is>
      </c>
      <c r="B33" s="2" t="inlineStr"/>
      <c r="C33" s="2" t="inlineStr"/>
      <c r="D33" s="2" t="inlineStr"/>
      <c r="E33" s="2" t="inlineStr">
        <is>
          <t>Komisja Europejska, strona o rozporządzeniu eFTI; sprawdzić tekst rozporządzenia</t>
        </is>
      </c>
      <c r="F33" s="2" t="inlineStr">
        <is>
          <t>https://transport.ec.europa.eu/transport-themes/logistics-and-multimodal-transport/efti-regulation_en</t>
        </is>
      </c>
      <c r="G33" s="2" t="inlineStr">
        <is>
          <t>02.10.2026</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5"/>
  <cols>
    <col width="70" customWidth="1" min="1" max="1"/>
    <col width="22" customWidth="1" min="2" max="2"/>
    <col width="18" customWidth="1" min="3" max="3"/>
    <col width="18" customWidth="1" min="4" max="4"/>
    <col width="70" customWidth="1" min="5" max="5"/>
  </cols>
  <sheetData>
    <row r="1">
      <c r="A1" s="9" t="inlineStr">
        <is>
          <t>MODEL MARŻY: wersja podstawowa + premium (ZAŁOŻENIA edytowalne - żółte komórki; wynik to ilustracja, nie dowód)</t>
        </is>
      </c>
      <c r="B1" s="2" t="n"/>
      <c r="C1" s="2" t="n"/>
      <c r="D1" s="2" t="n"/>
      <c r="E1" s="2" t="n"/>
    </row>
    <row r="2">
      <c r="A2" s="2" t="n"/>
      <c r="B2" s="2" t="n"/>
      <c r="C2" s="2" t="n"/>
      <c r="D2" s="2" t="n"/>
      <c r="E2" s="2" t="n"/>
    </row>
    <row r="3">
      <c r="A3" s="10" t="inlineStr">
        <is>
          <t>WEJŚCIA</t>
        </is>
      </c>
      <c r="B3" s="2" t="n"/>
      <c r="C3" s="2" t="n"/>
      <c r="D3" s="2" t="n"/>
      <c r="E3" s="2" t="n"/>
    </row>
    <row r="4">
      <c r="A4" s="2" t="inlineStr">
        <is>
          <t>Udział wersji premium w sprzedaży (szt.)</t>
        </is>
      </c>
      <c r="B4" s="11" t="n">
        <v>0.1</v>
      </c>
      <c r="C4" s="2" t="inlineStr">
        <is>
          <t>zał. właściciela: &lt;10%</t>
        </is>
      </c>
      <c r="D4" s="2" t="n"/>
      <c r="E4" s="2" t="n"/>
    </row>
    <row r="5">
      <c r="A5" s="2" t="inlineStr">
        <is>
          <t>Koszt produkcji wersji premium (zł)</t>
        </is>
      </c>
      <c r="B5" s="11" t="n">
        <v>30000</v>
      </c>
      <c r="C5" s="2" t="inlineStr">
        <is>
          <t>zał. właściciela: ok. 30 tys. zł</t>
        </is>
      </c>
      <c r="D5" s="2" t="n"/>
      <c r="E5" s="2" t="n"/>
    </row>
    <row r="6">
      <c r="A6" s="2" t="inlineStr">
        <is>
          <t>Marża premium na cenie (zał.)</t>
        </is>
      </c>
      <c r="B6" s="11" t="n">
        <v>0.05</v>
      </c>
      <c r="C6" s="2" t="inlineStr">
        <is>
          <t>ZAŁOŻENIE do ustalenia (niższa niż podstawowa)</t>
        </is>
      </c>
      <c r="D6" s="2" t="n"/>
      <c r="E6" s="2" t="n"/>
    </row>
    <row r="7">
      <c r="A7" s="2" t="inlineStr">
        <is>
          <t>Rabat wolumenowy na pozycje rabatowalne</t>
        </is>
      </c>
      <c r="B7" s="11" t="n">
        <v>0.3</v>
      </c>
      <c r="C7" s="2" t="inlineStr">
        <is>
          <t>ZAŁOŻENIE bez źródła; test wrażliwości poniżej</t>
        </is>
      </c>
      <c r="D7" s="2" t="n"/>
      <c r="E7" s="2" t="n"/>
    </row>
    <row r="8">
      <c r="A8" s="2" t="inlineStr">
        <is>
          <t>Marża łączna docelowa (na przychodzie)</t>
        </is>
      </c>
      <c r="B8" s="11" t="n">
        <v>0.1</v>
      </c>
      <c r="C8" s="2" t="inlineStr">
        <is>
          <t>zał. właściciela: 10%</t>
        </is>
      </c>
      <c r="D8" s="2" t="n"/>
      <c r="E8" s="2" t="n"/>
    </row>
    <row r="9">
      <c r="A9" s="2" t="inlineStr">
        <is>
          <t>Cena wersji podstawowej (zł)</t>
        </is>
      </c>
      <c r="B9" s="11" t="n">
        <v>7500</v>
      </c>
      <c r="C9" s="2" t="inlineStr">
        <is>
          <t>wartość z wniosku</t>
        </is>
      </c>
      <c r="D9" s="2" t="n"/>
      <c r="E9" s="2" t="n"/>
    </row>
    <row r="10">
      <c r="A10" s="2" t="n"/>
      <c r="B10" s="2" t="n"/>
      <c r="C10" s="2" t="n"/>
      <c r="D10" s="2" t="n"/>
      <c r="E10" s="2" t="n"/>
    </row>
    <row r="11">
      <c r="A11" s="10" t="inlineStr">
        <is>
          <t>BOM wersji podstawowej (1 ToF + 1 EO)</t>
        </is>
      </c>
      <c r="B11" s="2" t="n"/>
      <c r="C11" s="2" t="n"/>
      <c r="D11" s="2" t="n"/>
      <c r="E11" s="2" t="n"/>
    </row>
    <row r="12">
      <c r="A12" s="8" t="inlineStr">
        <is>
          <t>Pozycja</t>
        </is>
      </c>
      <c r="B12" s="8" t="inlineStr">
        <is>
          <t>Cena katalogowa (zł netto)</t>
        </is>
      </c>
      <c r="C12" s="8" t="inlineStr">
        <is>
          <t>Rabatowalna? (1/0)</t>
        </is>
      </c>
      <c r="D12" s="8" t="inlineStr">
        <is>
          <t>Cena po rabacie</t>
        </is>
      </c>
      <c r="E12" s="8" t="inlineStr">
        <is>
          <t>Źródło / status</t>
        </is>
      </c>
    </row>
    <row r="13">
      <c r="A13" s="2" t="inlineStr">
        <is>
          <t>Kamera ToF (Orbbec Femto Bolt)</t>
        </is>
      </c>
      <c r="B13" s="2">
        <f>'4_Ceny_źródła'!D4</f>
        <v/>
      </c>
      <c r="C13" s="11" t="n">
        <v>1</v>
      </c>
      <c r="D13" s="2">
        <f>B13*(1-$B$7*C13)</f>
        <v/>
      </c>
      <c r="E13" s="2" t="inlineStr">
        <is>
          <t>arkusz 4</t>
        </is>
      </c>
    </row>
    <row r="14">
      <c r="A14" s="2" t="inlineStr">
        <is>
          <t>Kamera EO (Basler ace 2)</t>
        </is>
      </c>
      <c r="B14" s="2">
        <f>'4_Ceny_źródła'!D6</f>
        <v/>
      </c>
      <c r="C14" s="11" t="n">
        <v>1</v>
      </c>
      <c r="D14" s="2">
        <f>B14*(1-$B$7*C14)</f>
        <v/>
      </c>
      <c r="E14" s="2" t="inlineStr">
        <is>
          <t>arkusz 4</t>
        </is>
      </c>
    </row>
    <row r="15">
      <c r="A15" s="2" t="inlineStr">
        <is>
          <t>Radar mmWave</t>
        </is>
      </c>
      <c r="B15" s="2" t="n">
        <v>1000</v>
      </c>
      <c r="C15" s="11" t="n">
        <v>1</v>
      </c>
      <c r="D15" s="2">
        <f>B15*(1-$B$7*C15)</f>
        <v/>
      </c>
      <c r="E15" s="2" t="inlineStr">
        <is>
          <t>ZAŁOŻENIE (EVM TI ok. 0,7-1,0 tys. zł; waluta niepewna)</t>
        </is>
      </c>
    </row>
    <row r="16">
      <c r="A16" s="2" t="inlineStr">
        <is>
          <t>Jetson Orin Nano 8 GB moduł</t>
        </is>
      </c>
      <c r="B16" s="2">
        <f>'4_Ceny_źródła'!D7</f>
        <v/>
      </c>
      <c r="C16" s="11" t="n">
        <v>0</v>
      </c>
      <c r="D16" s="2">
        <f>B16*(1-$B$7*C16)</f>
        <v/>
      </c>
      <c r="E16" s="2" t="inlineStr">
        <is>
          <t>arkusz 4; cena 1KU+ jest już wolumenowa - bez dodatkowego rabatu</t>
        </is>
      </c>
    </row>
    <row r="17">
      <c r="A17" s="2" t="inlineStr">
        <is>
          <t>Obudowa IP66 + okablowanie + zasilanie/UPS</t>
        </is>
      </c>
      <c r="B17" s="2" t="n">
        <v>1500</v>
      </c>
      <c r="C17" s="11" t="n">
        <v>1</v>
      </c>
      <c r="D17" s="2">
        <f>B17*(1-$B$7*C17)</f>
        <v/>
      </c>
      <c r="E17" s="2" t="inlineStr">
        <is>
          <t>ZAŁOŻENIE (sama obudowa 190-410 zł wg arkusza 4)</t>
        </is>
      </c>
    </row>
    <row r="18">
      <c r="A18" s="2" t="inlineStr">
        <is>
          <t>Router LTE + GNSS (RUT956)</t>
        </is>
      </c>
      <c r="B18" s="2" t="n">
        <v>1250</v>
      </c>
      <c r="C18" s="11" t="n">
        <v>1</v>
      </c>
      <c r="D18" s="2">
        <f>B18*(1-$B$7*C18)</f>
        <v/>
      </c>
      <c r="E18" s="2" t="inlineStr">
        <is>
          <t>arkusz 4 (netto 1,17-1,33 tys. zł)</t>
        </is>
      </c>
    </row>
    <row r="19">
      <c r="A19" s="2" t="inlineStr">
        <is>
          <t>IMU i czujniki środowiskowe</t>
        </is>
      </c>
      <c r="B19" s="2" t="n">
        <v>1000</v>
      </c>
      <c r="C19" s="11" t="n">
        <v>1</v>
      </c>
      <c r="D19" s="2">
        <f>B19*(1-$B$7*C19)</f>
        <v/>
      </c>
      <c r="E19" s="2" t="inlineStr">
        <is>
          <t>ZAŁOŻENIE (IMU przemysłowe do ok. 2,8 tys. zł, MEMS znacznie taniej)</t>
        </is>
      </c>
    </row>
    <row r="20">
      <c r="A20" s="2" t="inlineStr">
        <is>
          <t>Dysk NVMe 1 TB (konsumencki)</t>
        </is>
      </c>
      <c r="B20" s="2" t="n">
        <v>430</v>
      </c>
      <c r="C20" s="11" t="n">
        <v>1</v>
      </c>
      <c r="D20" s="2">
        <f>B20*(1-$B$7*C20)</f>
        <v/>
      </c>
      <c r="E20" s="2" t="inlineStr">
        <is>
          <t>arkusz 4 (429-629 zł brutto)</t>
        </is>
      </c>
    </row>
    <row r="21">
      <c r="A21" s="10" t="inlineStr">
        <is>
          <t>SUMA BOM (wersja podstawowa)</t>
        </is>
      </c>
      <c r="B21" s="2">
        <f>SUM(B13:B20)</f>
        <v/>
      </c>
      <c r="C21" s="2" t="n"/>
      <c r="D21" s="2">
        <f>SUM(D13:D20)</f>
        <v/>
      </c>
      <c r="E21" s="2" t="n"/>
    </row>
    <row r="22">
      <c r="A22" s="2" t="n"/>
      <c r="B22" s="2" t="n"/>
      <c r="C22" s="2" t="n"/>
      <c r="D22" s="2" t="n"/>
      <c r="E22" s="2" t="n"/>
    </row>
    <row r="23">
      <c r="A23" s="10" t="inlineStr">
        <is>
          <t>WYNIKI</t>
        </is>
      </c>
      <c r="B23" s="2" t="n"/>
      <c r="C23" s="2" t="n"/>
      <c r="D23" s="2" t="n"/>
      <c r="E23" s="2" t="n"/>
    </row>
    <row r="24">
      <c r="A24" s="2" t="inlineStr">
        <is>
          <t>Koszt serii wersji podstawowej po rabacie (zł)</t>
        </is>
      </c>
      <c r="B24" s="2">
        <f>D21</f>
        <v/>
      </c>
      <c r="C24" s="2" t="n"/>
      <c r="D24" s="2" t="n"/>
      <c r="E24" s="2" t="n"/>
    </row>
    <row r="25">
      <c r="A25" s="2" t="inlineStr">
        <is>
          <t>Koszt całkowity na 100 szt. (zł)</t>
        </is>
      </c>
      <c r="B25" s="2">
        <f>100*B4*B5+100*(1-B4)*B24</f>
        <v/>
      </c>
      <c r="C25" s="2" t="n"/>
      <c r="D25" s="2" t="n"/>
      <c r="E25" s="2" t="n"/>
    </row>
    <row r="26">
      <c r="A26" s="2" t="inlineStr">
        <is>
          <t>Wymagany przychód na 100 szt. dla marży łącznej (zł)</t>
        </is>
      </c>
      <c r="B26" s="2">
        <f>B25/(1-B8)</f>
        <v/>
      </c>
      <c r="C26" s="2" t="n"/>
      <c r="D26" s="2" t="n"/>
      <c r="E26" s="2" t="n"/>
    </row>
    <row r="27">
      <c r="A27" s="2" t="inlineStr">
        <is>
          <t>Cena premium wynikająca z marży premium (zł)</t>
        </is>
      </c>
      <c r="B27" s="2">
        <f>B5/(1-B6)</f>
        <v/>
      </c>
      <c r="C27" s="2" t="n"/>
      <c r="D27" s="2" t="n"/>
      <c r="E27" s="2" t="n"/>
    </row>
    <row r="28">
      <c r="A28" s="2" t="inlineStr">
        <is>
          <t>Wymagana cena wersji podstawowej (zł)</t>
        </is>
      </c>
      <c r="B28" s="2">
        <f>(B26-100*B4*B27)/(100*(1-B4))</f>
        <v/>
      </c>
      <c r="C28" s="2" t="n"/>
      <c r="D28" s="2" t="n"/>
      <c r="E28" s="2" t="n"/>
    </row>
    <row r="29">
      <c r="A29" s="2" t="inlineStr">
        <is>
          <t>Marża wersji podstawowej przy cenie z wniosku (na cenie)</t>
        </is>
      </c>
      <c r="B29" s="2">
        <f>(B9-B24)/B9</f>
        <v/>
      </c>
      <c r="C29" s="2" t="n"/>
      <c r="D29" s="2" t="n"/>
      <c r="E29" s="2" t="n"/>
    </row>
    <row r="30">
      <c r="A30" s="2" t="inlineStr">
        <is>
          <t>Marża łączna przy cenie podstawowej z wniosku</t>
        </is>
      </c>
      <c r="B30" s="2">
        <f>(100*B4*B27+100*(1-B4)*B9-B25)/(100*B4*B27+100*(1-B4)*B9)</f>
        <v/>
      </c>
      <c r="C30" s="2" t="n"/>
      <c r="D30" s="2" t="n"/>
      <c r="E30" s="2" t="n"/>
    </row>
    <row r="31">
      <c r="A31" s="2" t="inlineStr">
        <is>
          <t>Maks. koszt serii wersji podstawowej, przy którym cena z wniosku daje marżę łączną docelową (zł)</t>
        </is>
      </c>
      <c r="B31" s="2">
        <f>((100*B4*B27+100*(1-B4)*B9)*(1-B8)-100*B4*B5)/(100*(1-B4))</f>
        <v/>
      </c>
      <c r="C31" s="2" t="n"/>
      <c r="D31" s="2" t="n"/>
      <c r="E31" s="2" t="n"/>
    </row>
    <row r="32">
      <c r="A32" s="2" t="n"/>
      <c r="B32" s="2" t="n"/>
      <c r="C32" s="2" t="n"/>
      <c r="D32" s="2" t="n"/>
      <c r="E32" s="2" t="n"/>
    </row>
    <row r="33">
      <c r="A33" s="2" t="n"/>
      <c r="B33" s="2" t="n"/>
      <c r="C33" s="2" t="n"/>
      <c r="D33" s="2" t="n"/>
      <c r="E33" s="2" t="n"/>
    </row>
    <row r="34">
      <c r="A34" s="10" t="inlineStr">
        <is>
          <t>WRAŻLIWOŚĆ: wymagana cena wersji podstawowej (zł) przy marży łącznej 10% i różnym rabacie</t>
        </is>
      </c>
      <c r="B34" s="2" t="n"/>
      <c r="C34" s="2" t="n"/>
      <c r="D34" s="2" t="n"/>
      <c r="E34" s="2" t="n"/>
    </row>
    <row r="35">
      <c r="A35" s="2" t="inlineStr">
        <is>
          <t>Rabat wolumenowy</t>
        </is>
      </c>
      <c r="B35" s="2" t="inlineStr">
        <is>
          <t>Koszt serii podst. (zł)</t>
        </is>
      </c>
      <c r="C35" s="2" t="inlineStr">
        <is>
          <t>Wymagana cena podst. (zł)</t>
        </is>
      </c>
      <c r="D35" s="2" t="n"/>
      <c r="E35" s="2" t="n"/>
    </row>
    <row r="36">
      <c r="A36" s="2" t="n">
        <v>0</v>
      </c>
      <c r="B36" s="2">
        <f>SUMPRODUCT(B13:B20,1-A36*C13:C20)</f>
        <v/>
      </c>
      <c r="C36" s="2">
        <f>((100*$B$4*$B$5+100*(1-$B$4)*B36)/(1-$B$8)-100*$B$4*$B$27)/(100*(1-$B$4))</f>
        <v/>
      </c>
      <c r="D36" s="2" t="n"/>
      <c r="E36" s="2" t="n"/>
    </row>
    <row r="37">
      <c r="A37" s="2" t="n">
        <v>0.1</v>
      </c>
      <c r="B37" s="2">
        <f>SUMPRODUCT(B13:B20,1-A37*C13:C20)</f>
        <v/>
      </c>
      <c r="C37" s="2">
        <f>((100*$B$4*$B$5+100*(1-$B$4)*B37)/(1-$B$8)-100*$B$4*$B$27)/(100*(1-$B$4))</f>
        <v/>
      </c>
      <c r="D37" s="2" t="n"/>
      <c r="E37" s="2" t="n"/>
    </row>
    <row r="38">
      <c r="A38" s="2" t="n">
        <v>0.2</v>
      </c>
      <c r="B38" s="2">
        <f>SUMPRODUCT(B13:B20,1-A38*C13:C20)</f>
        <v/>
      </c>
      <c r="C38" s="2">
        <f>((100*$B$4*$B$5+100*(1-$B$4)*B38)/(1-$B$8)-100*$B$4*$B$27)/(100*(1-$B$4))</f>
        <v/>
      </c>
      <c r="D38" s="2" t="n"/>
      <c r="E38" s="2" t="n"/>
    </row>
    <row r="39">
      <c r="A39" s="2" t="n">
        <v>0.3</v>
      </c>
      <c r="B39" s="2">
        <f>SUMPRODUCT(B13:B20,1-A39*C13:C20)</f>
        <v/>
      </c>
      <c r="C39" s="2">
        <f>((100*$B$4*$B$5+100*(1-$B$4)*B39)/(1-$B$8)-100*$B$4*$B$27)/(100*(1-$B$4))</f>
        <v/>
      </c>
      <c r="D39" s="2" t="n"/>
      <c r="E39" s="2" t="n"/>
    </row>
    <row r="40">
      <c r="A40" s="2" t="n"/>
      <c r="B40" s="2" t="n"/>
      <c r="C40" s="2" t="n"/>
      <c r="D40" s="2" t="n"/>
      <c r="E40" s="2" t="n"/>
    </row>
    <row r="41">
      <c r="A41" s="2" t="inlineStr">
        <is>
          <t>Uwaga: dodatkowo trzeba doliczyć koszt montażu/instalacji i wsparcia (K2-06 pyta o uwzględnienie kosztów montażu, integracji, utrzymania). Model nie zawiera tych kosztów.</t>
        </is>
      </c>
      <c r="B41" s="2" t="n"/>
      <c r="C41" s="2" t="n"/>
      <c r="D41" s="2" t="n"/>
      <c r="E41" s="2" t="n"/>
    </row>
    <row r="44">
      <c r="A44" s="10" t="inlineStr">
        <is>
          <t>WARTOŚCI KONTROLNE (przeliczone poza Excelem, kursy NBP 17.09.2026, domyślne założenia; Excel przeliczy formuły sam)</t>
        </is>
      </c>
    </row>
    <row r="45">
      <c r="A45" s="2" t="inlineStr">
        <is>
          <t>Rabat 0%: koszt serii podst. 10 215 zł; wymagana cena podst. ok. 11 545 zł; marża podst. przy 7 500 zł: -36%</t>
        </is>
      </c>
    </row>
    <row r="46">
      <c r="A46" s="2" t="inlineStr">
        <is>
          <t>Rabat 10%: koszt 9 345 zł; wymagana cena ok. 10 579 zł</t>
        </is>
      </c>
    </row>
    <row r="47">
      <c r="A47" s="2" t="inlineStr">
        <is>
          <t>Rabat 20%: koszt 8 476 zł; wymagana cena ok. 9 612 zł</t>
        </is>
      </c>
    </row>
    <row r="48">
      <c r="A48" s="2" t="inlineStr">
        <is>
          <t>Rabat 30%: koszt 7 606 zł; wymagana cena ok. 8 646 zł; marża podst. przy 7 500 zł: -1,4%; marża łączna: +0,6%</t>
        </is>
      </c>
    </row>
    <row r="49">
      <c r="A49" s="2" t="inlineStr">
        <is>
          <t>Maksymalny koszt serii wersji podstawowej, przy którym cena 7 500 zł daje 10% marży łącznej: ok. 6 575 zł (niezależnie od rabatu)</t>
        </is>
      </c>
    </row>
    <row r="50">
      <c r="A50" s="2" t="inlineStr">
        <is>
          <t>Rabat nie obejmuje modułu Jetson (cena 1KU+ jest już wolumenowa). Konfiguracja 3 kamery ToF: koszt serii ok. 9 094 zł przy rabacie 30%.</t>
        </is>
      </c>
    </row>
    <row r="51">
      <c r="A51" s="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6" customWidth="1" min="1" max="1"/>
    <col width="32" customWidth="1" min="2" max="2"/>
    <col width="100" customWidth="1" min="3" max="3"/>
    <col width="50" customWidth="1" min="4" max="4"/>
  </cols>
  <sheetData>
    <row r="1">
      <c r="A1" s="3" t="inlineStr">
        <is>
          <t>Lp.</t>
        </is>
      </c>
      <c r="B1" s="3" t="inlineStr">
        <is>
          <t>Klauzula</t>
        </is>
      </c>
      <c r="C1" s="3" t="inlineStr">
        <is>
          <t>Treść / zakres</t>
        </is>
      </c>
      <c r="D1" s="3" t="inlineStr">
        <is>
          <t>Po co (uwaga eksperta)</t>
        </is>
      </c>
    </row>
    <row r="2">
      <c r="A2" s="4" t="inlineStr">
        <is>
          <t>1</t>
        </is>
      </c>
      <c r="B2" s="4" t="inlineStr">
        <is>
          <t>Strony i przedmiot</t>
        </is>
      </c>
      <c r="C2" s="4" t="inlineStr">
        <is>
          <t>Najem/leasing zestawów (ciągnik siodłowy + naczepa) na rzecz Everest11; opis typu zabudowy (furgon/izoterma/kurtyna) zgodnego z konfiguracją CargoDT.</t>
        </is>
      </c>
      <c r="D2" s="4" t="inlineStr">
        <is>
          <t>Odpowiada na pytanie eksperta, co dokładnie Everest11 posiada.</t>
        </is>
      </c>
    </row>
    <row r="3">
      <c r="A3" s="4" t="inlineStr">
        <is>
          <t>2</t>
        </is>
      </c>
      <c r="B3" s="4" t="inlineStr">
        <is>
          <t>Liczba i harmonogram pojazdów</t>
        </is>
      </c>
      <c r="C3" s="4" t="inlineStr">
        <is>
          <t>Stan wyjściowy 5 zestawów; zobowiązanie do zwiększania do 20 wg harmonogramu (np. liczba na koniec każdego kwartału) do 30.04.2029; mechanizm potwierdzania (protokoły przekazania).</t>
        </is>
      </c>
      <c r="D3" s="4" t="inlineStr">
        <is>
          <t>Zamienia deklarację "będzie 20" w zobowiązanie umowne.</t>
        </is>
      </c>
    </row>
    <row r="4">
      <c r="A4" s="4" t="inlineStr">
        <is>
          <t>3</t>
        </is>
      </c>
      <c r="B4" s="4" t="inlineStr">
        <is>
          <t>Okres obowiązywania</t>
        </is>
      </c>
      <c r="C4" s="4" t="inlineStr">
        <is>
          <t>Co najmniej do 31.12.2031 (obejmuje start sprzedaży 01/2030 i okres prognozy), z opcją przedłużenia.</t>
        </is>
      </c>
      <c r="D4" s="4" t="inlineStr">
        <is>
          <t>Spójne z modelem finansowym i datą wdrożenia.</t>
        </is>
      </c>
    </row>
    <row r="5">
      <c r="A5" s="4" t="inlineStr">
        <is>
          <t>4</t>
        </is>
      </c>
      <c r="B5" s="4" t="inlineStr">
        <is>
          <t>Zgoda wynajmującego na montaż</t>
        </is>
      </c>
      <c r="C5" s="4" t="inlineStr">
        <is>
          <t>Prawo do montażu, serwisu i demontażu urządzeń CargoDT, zakres ingerencji (zasilanie, otwory, uchwyty), przywrócenie stanu po zwrocie.</t>
        </is>
      </c>
      <c r="D5" s="4" t="inlineStr">
        <is>
          <t>Bez tego montaż w pojazdach w najmie jest ryzykiem.</t>
        </is>
      </c>
    </row>
    <row r="6">
      <c r="A6" s="4" t="inlineStr">
        <is>
          <t>5</t>
        </is>
      </c>
      <c r="B6" s="4" t="inlineStr">
        <is>
          <t>Dane i wizerunek</t>
        </is>
      </c>
      <c r="C6" s="4" t="inlineStr">
        <is>
          <t>Zgoda na rejestrację obrazu wnętrza i danych z pojazdu, zasady RODO (anonimizacja obrazu, DPIA), własność i dostęp do danych.</t>
        </is>
      </c>
      <c r="D6" s="4" t="inlineStr">
        <is>
          <t>K3-25, K5-13.</t>
        </is>
      </c>
    </row>
    <row r="7">
      <c r="A7" s="4" t="inlineStr">
        <is>
          <t>6</t>
        </is>
      </c>
      <c r="B7" s="4" t="inlineStr">
        <is>
          <t>Użytkowanie i odpowiedzialność</t>
        </is>
      </c>
      <c r="C7" s="4" t="inlineStr">
        <is>
          <t>Ubezpieczenie na czas montażu, odpowiedzialność za szkody, brak ograniczeń eksploatacji.</t>
        </is>
      </c>
      <c r="D7" s="4" t="inlineStr">
        <is>
          <t>Zabezpiecza ciągłość pracy floty.</t>
        </is>
      </c>
    </row>
    <row r="8">
      <c r="A8" s="4" t="inlineStr">
        <is>
          <t>7</t>
        </is>
      </c>
      <c r="B8" s="4" t="inlineStr">
        <is>
          <t>Wyłączność / pierwszeństwo</t>
        </is>
      </c>
      <c r="C8" s="4" t="inlineStr">
        <is>
          <t>Opcjonalnie: pierwszeństwo rozszerzania floty u tego samego wynajmującego.</t>
        </is>
      </c>
      <c r="D8" s="4" t="inlineStr">
        <is>
          <t>Wzmacnia wiarygodność przyrostu.</t>
        </is>
      </c>
    </row>
    <row r="9">
      <c r="A9" s="4" t="inlineStr">
        <is>
          <t>8</t>
        </is>
      </c>
      <c r="B9" s="4" t="inlineStr">
        <is>
          <t>Rozdzielenie od kosztów projektu</t>
        </is>
      </c>
      <c r="C9" s="4" t="inlineStr">
        <is>
          <t>Najem nie jest kosztem kwalifikowalnym projektu; nie jest rozpoczęciem realizacji projektu (Instrukcja pkt 1.1).</t>
        </is>
      </c>
      <c r="D9" s="4" t="inlineStr">
        <is>
          <t>Unika zarzutu naruszenia efektu zachęty.</t>
        </is>
      </c>
    </row>
    <row r="10">
      <c r="A10" s="4" t="inlineStr">
        <is>
          <t>9</t>
        </is>
      </c>
      <c r="B10" s="4" t="inlineStr">
        <is>
          <t>Termin i forma</t>
        </is>
      </c>
      <c r="C10" s="4" t="inlineStr">
        <is>
          <t>Aneks podpisany przed wysłaniem poprawionego wniosku; wniosek opisuje treść bez załączania umów.</t>
        </is>
      </c>
      <c r="D10" s="4" t="inlineStr">
        <is>
          <t>Decyzja właściciela (D10).</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7" customWidth="1" min="1" max="1"/>
    <col width="120" customWidth="1" min="2" max="2"/>
    <col width="22" customWidth="1" min="3" max="3"/>
    <col width="26" customWidth="1" min="4" max="4"/>
    <col width="12" customWidth="1" min="5" max="5"/>
  </cols>
  <sheetData>
    <row r="1">
      <c r="A1" s="3" t="inlineStr">
        <is>
          <t>ID</t>
        </is>
      </c>
      <c r="B1" s="3" t="inlineStr">
        <is>
          <t>Kontrola</t>
        </is>
      </c>
      <c r="C1" s="3" t="inlineStr">
        <is>
          <t>Kto</t>
        </is>
      </c>
      <c r="D1" s="3" t="inlineStr">
        <is>
          <t>Kiedy</t>
        </is>
      </c>
      <c r="E1" s="3" t="inlineStr">
        <is>
          <t>Status</t>
        </is>
      </c>
    </row>
    <row r="2">
      <c r="A2" s="4" t="inlineStr">
        <is>
          <t>C01</t>
        </is>
      </c>
      <c r="B2" s="4" t="inlineStr">
        <is>
          <t>Spójność parametrów: AUC, błąd pozycji, 50 zdarzeń, liczba kursów, ceny, daty, formy zatrudnienia - wyszukiwanie we WSZYSTKICH polach wniosku wersji docelowej</t>
        </is>
      </c>
      <c r="C2" s="4" t="inlineStr">
        <is>
          <t>Claude</t>
        </is>
      </c>
      <c r="D2" s="4" t="inlineStr">
        <is>
          <t>po każdym pakiecie i na końcu</t>
        </is>
      </c>
      <c r="E2" s="4" t="inlineStr">
        <is>
          <t>OTWARTE</t>
        </is>
      </c>
    </row>
    <row r="3">
      <c r="A3" s="4" t="inlineStr">
        <is>
          <t>C02</t>
        </is>
      </c>
      <c r="B3" s="4" t="inlineStr">
        <is>
          <t>Budżet: dofinansowanie &lt;= 3 998 262,02 zł; Everest11 &lt;= 2 964 296,12 zł; PRz &lt;= 1 033 965,90 zł (po każdej zmianie, z ryczałtem 25%)</t>
        </is>
      </c>
      <c r="C3" s="4" t="inlineStr">
        <is>
          <t>Claude</t>
        </is>
      </c>
      <c r="D3" s="4" t="inlineStr">
        <is>
          <t>po każdej zmianie kosztów</t>
        </is>
      </c>
      <c r="E3" s="4" t="inlineStr">
        <is>
          <t>OTWARTE</t>
        </is>
      </c>
    </row>
    <row r="4">
      <c r="A4" s="4" t="inlineStr">
        <is>
          <t>C03</t>
        </is>
      </c>
      <c r="B4" s="4" t="inlineStr">
        <is>
          <t>Koszty pośrednie = 25% x (personel + amortyzacja + WNiP + dostawy + usługi operacyjne), bez podwykonawstwa</t>
        </is>
      </c>
      <c r="C4" s="4" t="inlineStr">
        <is>
          <t>Claude</t>
        </is>
      </c>
      <c r="D4" s="4" t="inlineStr">
        <is>
          <t>na końcu</t>
        </is>
      </c>
      <c r="E4" s="4" t="inlineStr">
        <is>
          <t>OTWARTE</t>
        </is>
      </c>
    </row>
    <row r="5">
      <c r="A5" s="4" t="inlineStr">
        <is>
          <t>C04</t>
        </is>
      </c>
      <c r="B5" s="4" t="inlineStr">
        <is>
          <t>Limit 276 h/mies. dla każdej osoby (wymaga danych o innych zaangażowaniach)</t>
        </is>
      </c>
      <c r="C5" s="4" t="inlineStr">
        <is>
          <t>Właściciel + Claude</t>
        </is>
      </c>
      <c r="D5" s="4" t="inlineStr">
        <is>
          <t>05.10</t>
        </is>
      </c>
      <c r="E5" s="4" t="inlineStr">
        <is>
          <t>OTWARTE</t>
        </is>
      </c>
    </row>
    <row r="6">
      <c r="A6" s="4" t="inlineStr">
        <is>
          <t>C05</t>
        </is>
      </c>
      <c r="B6" s="4" t="inlineStr">
        <is>
          <t>Zasada 1 zadanie = 1 konsorcjant; brak wspólnej puli sprzętu PRz i Everest11</t>
        </is>
      </c>
      <c r="C6" s="4" t="inlineStr">
        <is>
          <t>Claude</t>
        </is>
      </c>
      <c r="D6" s="4" t="inlineStr">
        <is>
          <t>na końcu</t>
        </is>
      </c>
      <c r="E6" s="4" t="inlineStr">
        <is>
          <t>OTWARTE</t>
        </is>
      </c>
    </row>
    <row r="7">
      <c r="A7" s="4" t="inlineStr">
        <is>
          <t>C06</t>
        </is>
      </c>
      <c r="B7" s="4" t="inlineStr">
        <is>
          <t>Każde zadanie ma 1 KM: parametry w SI, sposób weryfikacji, wpływ nieosiągnięcia, no-go</t>
        </is>
      </c>
      <c r="C7" s="4" t="inlineStr">
        <is>
          <t>Claude</t>
        </is>
      </c>
      <c r="D7" s="4" t="inlineStr">
        <is>
          <t>po WP02</t>
        </is>
      </c>
      <c r="E7" s="4" t="inlineStr">
        <is>
          <t>OTWARTE</t>
        </is>
      </c>
    </row>
    <row r="8">
      <c r="A8" s="4" t="inlineStr">
        <is>
          <t>C07</t>
        </is>
      </c>
      <c r="B8" s="4" t="inlineStr">
        <is>
          <t>Limity znaków pól LSI (Instrukcja wniosku) - liczba znaków przy każdym tekście</t>
        </is>
      </c>
      <c r="C8" s="4" t="inlineStr">
        <is>
          <t>Claude</t>
        </is>
      </c>
      <c r="D8" s="4" t="inlineStr">
        <is>
          <t>przy każdym tekście</t>
        </is>
      </c>
      <c r="E8" s="4" t="inlineStr">
        <is>
          <t>OTWARTE</t>
        </is>
      </c>
    </row>
    <row r="9">
      <c r="A9" s="4" t="inlineStr">
        <is>
          <t>C08</t>
        </is>
      </c>
      <c r="B9" s="4" t="inlineStr">
        <is>
          <t>Nazwy stanowisk spójne w 6.1 i 3.1.2; daty zadań w M-numeracji (np. Z6 M19-M27, Z9 M22-M30)</t>
        </is>
      </c>
      <c r="C9" s="4" t="inlineStr">
        <is>
          <t>Claude</t>
        </is>
      </c>
      <c r="D9" s="4" t="inlineStr">
        <is>
          <t>po WP06</t>
        </is>
      </c>
      <c r="E9" s="4" t="inlineStr">
        <is>
          <t>OTWARTE</t>
        </is>
      </c>
    </row>
    <row r="10">
      <c r="A10" s="4" t="inlineStr">
        <is>
          <t>C09</t>
        </is>
      </c>
      <c r="B10" s="4" t="inlineStr">
        <is>
          <t>Macierz pokrycia: każde podżądanie uwagi -&gt; pole -&gt; fragment tekstu (puste = uwaga umknęła)</t>
        </is>
      </c>
      <c r="C10" s="4" t="inlineStr">
        <is>
          <t>Claude</t>
        </is>
      </c>
      <c r="D10" s="4" t="inlineStr">
        <is>
          <t>na końcu</t>
        </is>
      </c>
      <c r="E10" s="4" t="inlineStr">
        <is>
          <t>OTWARTE</t>
        </is>
      </c>
    </row>
    <row r="11">
      <c r="A11" s="4" t="inlineStr">
        <is>
          <t>C10</t>
        </is>
      </c>
      <c r="B11" s="4" t="inlineStr">
        <is>
          <t>Różnice wersja docelowa vs oryginał: każda zmiana ma uzasadnienie (ID uwagi lub skutek uboczny)</t>
        </is>
      </c>
      <c r="C11" s="4" t="inlineStr">
        <is>
          <t>Claude</t>
        </is>
      </c>
      <c r="D11" s="4" t="inlineStr">
        <is>
          <t>na końcu</t>
        </is>
      </c>
      <c r="E11" s="4" t="inlineStr">
        <is>
          <t>OTWARTE</t>
        </is>
      </c>
    </row>
    <row r="12">
      <c r="A12" s="4" t="inlineStr">
        <is>
          <t>C11</t>
        </is>
      </c>
      <c r="B12" s="4" t="inlineStr">
        <is>
          <t>Model finansowy (2 pliki xlsm) zgodny z LSI: ceny, daty, wolumeny, komentarze (np. "18 miesięcy" w Założeniach powinno być 30)</t>
        </is>
      </c>
      <c r="C12" s="4" t="inlineStr">
        <is>
          <t>Claude + właściciel</t>
        </is>
      </c>
      <c r="D12" s="4" t="inlineStr">
        <is>
          <t>05-06.10</t>
        </is>
      </c>
      <c r="E12" s="4" t="inlineStr">
        <is>
          <t>OTWARTE</t>
        </is>
      </c>
    </row>
    <row r="13">
      <c r="A13" s="4" t="inlineStr">
        <is>
          <t>C12</t>
        </is>
      </c>
      <c r="B13" s="4" t="inlineStr">
        <is>
          <t>Cena 7 500 / 349 / 4 800 zł i wskaźnik "koszt wdrożenia" spójne po decyzji o modelu marży (D11)</t>
        </is>
      </c>
      <c r="C13" s="4" t="inlineStr">
        <is>
          <t>Claude</t>
        </is>
      </c>
      <c r="D13" s="4" t="inlineStr">
        <is>
          <t>po D11</t>
        </is>
      </c>
      <c r="E13" s="4" t="inlineStr">
        <is>
          <t>OTWARTE</t>
        </is>
      </c>
    </row>
    <row r="14">
      <c r="A14" s="4" t="inlineStr">
        <is>
          <t>C13</t>
        </is>
      </c>
      <c r="B14" s="4" t="inlineStr">
        <is>
          <t>Kontrola adwersarska: czytanie gotowego tekstu każdego kryterium z perspektywy eksperta (bez notatek)</t>
        </is>
      </c>
      <c r="C14" s="4" t="inlineStr">
        <is>
          <t>Claude</t>
        </is>
      </c>
      <c r="D14" s="4" t="inlineStr">
        <is>
          <t>06.10</t>
        </is>
      </c>
      <c r="E14" s="4" t="inlineStr">
        <is>
          <t>OTWARTE</t>
        </is>
      </c>
    </row>
    <row r="15">
      <c r="A15" s="4" t="inlineStr">
        <is>
          <t>C14</t>
        </is>
      </c>
      <c r="B15" s="4" t="inlineStr">
        <is>
          <t>Jeśli dodajemy de minimis (misja): dokumenty (formularz, pomoc z 3 lat) i brak przekroczenia 300 tys. EUR</t>
        </is>
      </c>
      <c r="C15" s="4" t="inlineStr">
        <is>
          <t>Właściciel</t>
        </is>
      </c>
      <c r="D15" s="4" t="inlineStr">
        <is>
          <t>05.10</t>
        </is>
      </c>
      <c r="E15" s="4" t="inlineStr">
        <is>
          <t>OTWARTE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2"/>
  <sheetViews>
    <sheetView workbookViewId="0">
      <pane ySplit="1" topLeftCell="A2" activePane="bottomLeft" state="frozen"/>
      <selection pane="bottomLeft" activeCell="A1" sqref="A1"/>
    </sheetView>
  </sheetViews>
  <sheetFormatPr baseColWidth="8" defaultRowHeight="15"/>
  <cols>
    <col width="7" customWidth="1" min="1" max="1"/>
    <col width="120" customWidth="1" min="2" max="2"/>
    <col width="50" customWidth="1" min="3" max="3"/>
  </cols>
  <sheetData>
    <row r="1">
      <c r="A1" s="3" t="inlineStr">
        <is>
          <t>ID</t>
        </is>
      </c>
      <c r="B1" s="3" t="inlineStr">
        <is>
          <t>Co było błędne / niepewne</t>
        </is>
      </c>
      <c r="C1" s="3" t="inlineStr">
        <is>
          <t>Status korekty</t>
        </is>
      </c>
    </row>
    <row r="2">
      <c r="A2" s="4" t="inlineStr">
        <is>
          <t>E01</t>
        </is>
      </c>
      <c r="B2" s="4" t="inlineStr">
        <is>
          <t>K3-65 (podróże na TRANSLOG): wcześniej uznałam, że art. 19 ich nie obejmuje; Przewodnik 5.3.3 mówi, że podróże na targi to art. 19 (MŚP), a de minimis dotyczy misji (5.3.4). Zapis w Przewodniku jest dwuznaczny.</t>
        </is>
      </c>
      <c r="C2" s="4" t="inlineStr">
        <is>
          <t>Poprawione; potwierdzić w helpdesku NCBR.</t>
        </is>
      </c>
    </row>
    <row r="3">
      <c r="A3" s="4" t="inlineStr">
        <is>
          <t>E02</t>
        </is>
      </c>
      <c r="B3" s="4" t="inlineStr">
        <is>
          <t>K3-08: oszczędność po skróceniu Backendu do 9 mies. wynosi ok. 48,8 tys. zł (z ryczałtem 25%), a nie 39 tys. zł.</t>
        </is>
      </c>
      <c r="C3" s="4" t="inlineStr">
        <is>
          <t>Poprawione; D07 zmienia podejście (podział Z6/Z9).</t>
        </is>
      </c>
    </row>
    <row r="4">
      <c r="A4" s="4" t="inlineStr">
        <is>
          <t>E03</t>
        </is>
      </c>
      <c r="B4" s="4" t="inlineStr">
        <is>
          <t>Punkt K3 za &gt;50% prac rozwojowych: wcześniej sugerowałam przesunięcie; praca rozwojowa to 38,6% kosztów B+R, przesunięcie jest nierealne.</t>
        </is>
      </c>
      <c r="C4" s="4" t="inlineStr">
        <is>
          <t>Wycofane.</t>
        </is>
      </c>
    </row>
    <row r="5">
      <c r="A5" s="4" t="inlineStr">
        <is>
          <t>E04</t>
        </is>
      </c>
      <c r="B5" s="4" t="inlineStr">
        <is>
          <t>Cena ToF "typ 2": 12 000 i 10 000 zł wyższe niż ceny katalogowe kamer (6,9-7,9 tys. zł).</t>
        </is>
      </c>
      <c r="C5" s="4" t="inlineStr">
        <is>
          <t>Do rozstrzygnięcia przez opis "zestaw" (D12).</t>
        </is>
      </c>
    </row>
    <row r="6">
      <c r="A6" s="4" t="inlineStr">
        <is>
          <t>E05</t>
        </is>
      </c>
      <c r="B6" s="4" t="inlineStr">
        <is>
          <t>OAK-D Pro W podany jako "ToF" jest active stereo.</t>
        </is>
      </c>
      <c r="C6" s="4" t="inlineStr">
        <is>
          <t>Do rozstrzygnięcia w D06.</t>
        </is>
      </c>
    </row>
    <row r="7">
      <c r="A7" s="4" t="inlineStr">
        <is>
          <t>E06</t>
        </is>
      </c>
      <c r="B7" s="4" t="inlineStr">
        <is>
          <t>Cena radaru TI z Mouser CA: waluta niepewna (może być CAD).</t>
        </is>
      </c>
      <c r="C7" s="4" t="inlineStr">
        <is>
          <t>Oznaczone jako ZAŁOŻENIE.</t>
        </is>
      </c>
    </row>
    <row r="8">
      <c r="A8" s="4" t="inlineStr">
        <is>
          <t>E07</t>
        </is>
      </c>
      <c r="B8" s="4" t="inlineStr">
        <is>
          <t>Liczba naczep 2023 (544,97 tys.) pochodzi ze źródła wtórnego; 567 800 (2024) niepotwierdzone.</t>
        </is>
      </c>
      <c r="C8" s="4" t="inlineStr">
        <is>
          <t>Właściciel pobiera wartość z Eurostat (T05).</t>
        </is>
      </c>
    </row>
    <row r="9">
      <c r="A9" s="4" t="inlineStr">
        <is>
          <t>E08</t>
        </is>
      </c>
      <c r="B9" s="4" t="inlineStr">
        <is>
          <t>Rejestr: decyzja "PRz ocenia Z9 w pełnym zakresie" koliduje z zasadą 1 zadanie = 1 konsorcjant i uwagą 12.</t>
        </is>
      </c>
      <c r="C9" s="4" t="inlineStr">
        <is>
          <t>Zastąpiona przez D05.</t>
        </is>
      </c>
    </row>
    <row r="10">
      <c r="A10" s="4" t="inlineStr">
        <is>
          <t>E09</t>
        </is>
      </c>
      <c r="B10" s="4" t="inlineStr">
        <is>
          <t>Edge AI: klasa dysku NVMe może zmienić koszt kompletu o ok. 3,8 tys. zł; mój pomysł "dysk konsumencki w ogrzewanej obudowie" wymaga potwierdzenia technicznego.</t>
        </is>
      </c>
      <c r="C10" s="4" t="inlineStr">
        <is>
          <t>T01.</t>
        </is>
      </c>
    </row>
    <row r="11">
      <c r="A11" s="4" t="inlineStr">
        <is>
          <t>E10</t>
        </is>
      </c>
      <c r="B11" s="4" t="inlineStr">
        <is>
          <t>Zbyt wiele wątków naraz w odpowiedziach (uwaga właściciela). Zasada 3 w arkuszu 0.</t>
        </is>
      </c>
      <c r="C11" s="4" t="inlineStr">
        <is>
          <t>Wdrożone.</t>
        </is>
      </c>
    </row>
    <row r="12">
      <c r="A12" s="2" t="inlineStr">
        <is>
          <t>E11</t>
        </is>
      </c>
      <c r="B12" s="2" t="inlineStr">
        <is>
          <t>W poprzedniej wiadomości tabela marży stosowała rabat 30% także do modułu Jetson, którego cena 1KU+ jest już wolumenowa; wynik był zbyt optymistyczny (koszt serii 7,1 tys. zł zamiast 7,6 tys. zł; cena dla 10% marży ok. 8,6 tys. zł zamiast 7,8-7,9 tys. zł).</t>
        </is>
      </c>
      <c r="C12" s="2" t="inlineStr">
        <is>
          <t>Poprawione w arkuszu 5.</t>
        </is>
      </c>
    </row>
    <row r="13">
      <c r="A13" s="2" t="inlineStr">
        <is>
          <t>E12</t>
        </is>
      </c>
      <c r="B13" s="2" t="inlineStr">
        <is>
          <t>Nazwy zadań w pierwszych wersjach dokumentu z opisami nie były nazwami z wniosku (Z2, Z5, Z6, Z7, Z8, Z9), a napisałam, że są.</t>
        </is>
      </c>
      <c r="C13" s="2" t="inlineStr">
        <is>
          <t>Poprawione: nazwy dokładnie z 3.1.1; Z6 zmieniona (D31).</t>
        </is>
      </c>
    </row>
    <row r="14">
      <c r="A14" s="2" t="inlineStr">
        <is>
          <t>E13</t>
        </is>
      </c>
      <c r="B14" s="2" t="inlineStr">
        <is>
          <t>Z6: całkowite wyłączenie integracji TMS, Trans.eu, TimoCom i e-CMR z B+R (zbyt rygorystyczna interpretacja; Przewodnik 3.3.1 i uwaga 38 dopuszczają czynności techniczne niezbędne do walidacji).</t>
        </is>
      </c>
      <c r="C14" s="2" t="inlineStr">
        <is>
          <t>Poprawione: integracje jako prace techniczne w środowisku testowym (D24).</t>
        </is>
      </c>
    </row>
    <row r="15">
      <c r="A15" s="2" t="inlineStr">
        <is>
          <t>E14</t>
        </is>
      </c>
      <c r="B15" s="2" t="inlineStr">
        <is>
          <t>N01/D31: napisałam, że zmiana nazwy Z6 wymaga zmian we wszystkich pozycjach budżetu. Nazwa wpisywana jest raz w 3.1.1.</t>
        </is>
      </c>
      <c r="C15" s="2" t="inlineStr">
        <is>
          <t>Poprawione.</t>
        </is>
      </c>
    </row>
    <row r="16">
      <c r="A16" s="2" t="inlineStr">
        <is>
          <t>E15</t>
        </is>
      </c>
      <c r="B16" s="2" t="inlineStr">
        <is>
          <t>Z6, opis: nadmiarowy nawias zamykający po edycji.</t>
        </is>
      </c>
      <c r="C16" s="2" t="inlineStr">
        <is>
          <t>Poprawione.</t>
        </is>
      </c>
    </row>
    <row r="17">
      <c r="A17" s="2" t="inlineStr">
        <is>
          <t>E16</t>
        </is>
      </c>
      <c r="B17" s="2" t="inlineStr">
        <is>
          <t>Z1: hipoteza H2 mówiła o błędzie pozycji, którego Z1 nie mierzy (mierzy RMSE głębi).</t>
        </is>
      </c>
      <c r="C17" s="2" t="inlineStr">
        <is>
          <t>Poprawione: błąd pozycji szacowany z RMSE głębi i geometrii.</t>
        </is>
      </c>
    </row>
    <row r="18">
      <c r="A18" s="2" t="inlineStr">
        <is>
          <t>E17</t>
        </is>
      </c>
      <c r="B18" s="2" t="inlineStr">
        <is>
          <t>Z7 i Z9: sprzeczność harmonogramu (Faza A od M22, a system z Z7 gotowy w M27).</t>
        </is>
      </c>
      <c r="C18" s="2" t="inlineStr">
        <is>
          <t>Poprawione: pierwsze egzemplarze platformy w M22, wersja finalna w M27; Faza A na modelach pośrednich.</t>
        </is>
      </c>
    </row>
    <row r="19">
      <c r="A19" s="2" t="inlineStr">
        <is>
          <t>E18</t>
        </is>
      </c>
      <c r="B19" s="2" t="inlineStr">
        <is>
          <t>Z5, opis: twierdzenie, że błąd pozycji będzie mierzony po kompresji w Z7 (Z7 mierzy opóźnienie, 5 Hz i degradację AUC/mAP).</t>
        </is>
      </c>
      <c r="C19" s="2" t="inlineStr">
        <is>
          <t>Poprawione.</t>
        </is>
      </c>
    </row>
    <row r="20">
      <c r="A20" s="2" t="inlineStr">
        <is>
          <t>E19</t>
        </is>
      </c>
      <c r="B20" s="2" t="inlineStr">
        <is>
          <t>Z7, opis: stwierdzenie, że modele z Z5 są w FP32 i się nie mieszczą.</t>
        </is>
      </c>
      <c r="C20" s="2" t="inlineStr">
        <is>
          <t>Poprawione: dotyczy modeli Z4 i Z8; Z5 to algorytmy nieuruchamiane dotąd na embedded.</t>
        </is>
      </c>
    </row>
    <row r="21">
      <c r="A21" s="2" t="inlineStr">
        <is>
          <t>E20</t>
        </is>
      </c>
      <c r="B21" s="2" t="inlineStr">
        <is>
          <t>Z9, opis: podwykonawca instaluje „finalne” zestawy, a Faza A instaluje pierwsze egzemplarze.</t>
        </is>
      </c>
      <c r="C21" s="2" t="inlineStr">
        <is>
          <t>Poprawione; pozycja N29 do zmiany w 6.4 i w 3.1.2.</t>
        </is>
      </c>
    </row>
    <row r="22">
      <c r="A22" s="2" t="inlineStr">
        <is>
          <t>E21</t>
        </is>
      </c>
      <c r="B22" s="2" t="inlineStr">
        <is>
          <t>Notatki w Aneksach A i C nadal mówiły, że podział etatów jest otwarty.</t>
        </is>
      </c>
      <c r="C22" s="2" t="inlineStr">
        <is>
          <t>Poprawione po D29.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2"/>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5" customWidth="1" min="3" max="3"/>
    <col width="60" customWidth="1" min="4" max="4"/>
    <col width="22" customWidth="1" min="5" max="5"/>
    <col width="11" customWidth="1" min="6" max="6"/>
    <col width="11" customWidth="1" min="7" max="7"/>
  </cols>
  <sheetData>
    <row r="1">
      <c r="A1" s="15" t="inlineStr">
        <is>
          <t>Nr</t>
        </is>
      </c>
      <c r="B1" s="15" t="inlineStr">
        <is>
          <t>Miejsce we wniosku</t>
        </is>
      </c>
      <c r="C1" s="15" t="inlineStr">
        <is>
          <t>Obecny zapis</t>
        </is>
      </c>
      <c r="D1" s="15" t="inlineStr">
        <is>
          <t>Wymagana zmiana</t>
        </is>
      </c>
      <c r="E1" s="15" t="inlineStr">
        <is>
          <t>Źródło</t>
        </is>
      </c>
      <c r="F1" s="15" t="inlineStr">
        <is>
          <t>Priorytet</t>
        </is>
      </c>
      <c r="G1" s="15" t="inlineStr">
        <is>
          <t>Status</t>
        </is>
      </c>
    </row>
    <row r="2">
      <c r="A2" s="2" t="inlineStr">
        <is>
          <t>N01</t>
        </is>
      </c>
      <c r="B2" s="2" t="inlineStr">
        <is>
          <t>3.1.1 Nazwa zadania Z6 (i wszystkie pozycje kosztowe Z6 w 3.1.2)</t>
        </is>
      </c>
      <c r="C2" s="2" t="inlineStr">
        <is>
          <t>„Pipeline PoC + integracja TMS/eFTI/e-CMR (Z6)”: nazwa obejmuje integrację TMS i e-CMR, które opis Z6 wyłącza z prac B+R i kosztów.</t>
        </is>
      </c>
      <c r="D2" s="2" t="inlineStr">
        <is>
          <t>Zmienić nazwę, np. na „Pipeline PoL/PoC i zgodność z eFTI (Z6)”. Nazwę wpisuje się raz w 3.1.1, a pola przy pozycjach kosztowych pobierają ją automatycznie (Instrukcja, pole techniczne), więc zmiana jest jednorazowa. Do sprawdzenia w LSI. Alternatywa: zostawić nazwę, bo opis Z6 już wyłącza integracje standardowe. DECYZJA: zatwierdzona, nazwa zmieniona w tym dokumencie.</t>
        </is>
      </c>
      <c r="E2" s="2" t="inlineStr">
        <is>
          <t>K3-08; D24, D31</t>
        </is>
      </c>
      <c r="F2" s="14" t="inlineStr">
        <is>
          <t>WYSOKI</t>
        </is>
      </c>
      <c r="G2" s="2" t="inlineStr">
        <is>
          <t>ZATWIERDZONE</t>
        </is>
      </c>
    </row>
    <row r="3">
      <c r="A3" s="2" t="inlineStr">
        <is>
          <t>N02</t>
        </is>
      </c>
      <c r="B3" s="2" t="inlineStr">
        <is>
          <t>1.2 Wskaźnik innowacyjności nr 1 (model 3D): wartość docelowa, jednostka, metodologia</t>
        </is>
      </c>
      <c r="C3" s="2" t="inlineStr">
        <is>
          <t>„Błąd estymacji pozycji ≤30 cm”, jednostka [cm]/[Hz]; uzasadnienie, że błąd 30 cm pozwala wykryć przemieszczenie 100 mm.</t>
        </is>
      </c>
      <c r="D3" s="2" t="inlineStr">
        <is>
          <t>Jednostka [m]/[Hz]. Wartość: mediana nie więcej niż 0,30 m i percentyl 95 nie więcej niż 0,35 m. Poprawić uzasadnienie: wykrywanie przemieszczeń od 0,10 m opiera się na błędzie przemieszczenia względnego (mediana 0,03 m), a nie na błędzie pozycji bezwzględnej. Weryfikacja: Z5 (rig) i Z9 (1000 pomiarów).</t>
        </is>
      </c>
      <c r="E3" s="2" t="inlineStr">
        <is>
          <t>K3-16, K3-17, K3-13; KM-Z5, KM-Z9</t>
        </is>
      </c>
      <c r="F3" s="14" t="inlineStr">
        <is>
          <t>WYSOKI</t>
        </is>
      </c>
      <c r="G3" s="2" t="inlineStr">
        <is>
          <t>OTWARTE</t>
        </is>
      </c>
    </row>
    <row r="4">
      <c r="A4" s="2" t="inlineStr">
        <is>
          <t>N03</t>
        </is>
      </c>
      <c r="B4" s="2" t="inlineStr">
        <is>
          <t>1.2 Wskaźnik nr 2 (AUC-ROC): wartość bazowa i weryfikacja</t>
        </is>
      </c>
      <c r="C4" s="2" t="inlineStr">
        <is>
          <t>Baza AUC-ROC 0,50 (klasyfikator losowy); weryfikacja: „niezależna walidacja Everest11 na danych terenowych Z9”.</t>
        </is>
      </c>
      <c r="D4" s="2" t="inlineStr">
        <is>
          <t>Baza: wynik detektora progowego wg EN 12195-1 zmierzony na tym samym teście w Z4 (D16). Wartość docelowa 0,85 dotyczy modelu FP32 (KM-Z4); w Z9 model po kompresji nie mniej niż 0,82. Usunąć sformułowanie o niezależnej walidacji Everest11, zastąpić ścieżką audytu Z9.</t>
        </is>
      </c>
      <c r="E4" s="2" t="inlineStr">
        <is>
          <t>K1-03, K3-15, K3-19; D16, D22</t>
        </is>
      </c>
      <c r="F4" s="14" t="inlineStr">
        <is>
          <t>WYSOKI</t>
        </is>
      </c>
      <c r="G4" s="2" t="inlineStr">
        <is>
          <t>OTWARTE</t>
        </is>
      </c>
    </row>
    <row r="5">
      <c r="A5" s="2" t="inlineStr">
        <is>
          <t>N04</t>
        </is>
      </c>
      <c r="B5" s="2" t="inlineStr">
        <is>
          <t>1.2 Wskaźnik nr 3 (mAP)</t>
        </is>
      </c>
      <c r="C5" s="2" t="inlineStr">
        <is>
          <t>Wartość bazowa „N/D” w jednym miejscu i „0%” w innym; weryfikacja: „ocena eksperta TSL Everest11 jako ground truth”.</t>
        </is>
      </c>
      <c r="D5" s="2" t="inlineStr">
        <is>
          <t>Ujednolicić bazę jako „brak systemu, wartość 0”. Podać mAP 0,75 dla FP32 i 0,72 po kompresji (Z9). Ground truth: inspekcje z Z2 i procedura ślepa z Z9, bez wskazywania jednej osoby.</t>
        </is>
      </c>
      <c r="E5" s="2" t="inlineStr">
        <is>
          <t>K3-15, K3-19; D05, D22</t>
        </is>
      </c>
      <c r="F5" s="14" t="inlineStr">
        <is>
          <t>WYSOKI</t>
        </is>
      </c>
      <c r="G5" s="2" t="inlineStr">
        <is>
          <t>OTWARTE</t>
        </is>
      </c>
    </row>
    <row r="6">
      <c r="A6" s="2" t="inlineStr">
        <is>
          <t>N05</t>
        </is>
      </c>
      <c r="B6" s="2" t="inlineStr">
        <is>
          <t>1.2 Wskaźnik nr 4 (czas PoC i zgodność z eFTI)</t>
        </is>
      </c>
      <c r="C6" s="2" t="inlineStr">
        <is>
          <t>„Testy terenowe Z9 na min. 50 cyklach”; zgodność z polami eFTI ≥95% bez określenia mianownika.</t>
        </is>
      </c>
      <c r="D6" s="2" t="inlineStr">
        <is>
          <t>Z9: co najmniej 200 cykli. Doprecyzować: 95% wszystkich pól obligatoryjnych; zgodność treści PoL/PoC z ground truth co najmniej 90% do potwierdzenia (KM-Z6).</t>
        </is>
      </c>
      <c r="E6" s="2" t="inlineStr">
        <is>
          <t>K3-20; KM-Z6, KM-Z9</t>
        </is>
      </c>
      <c r="F6" s="2" t="inlineStr">
        <is>
          <t>ŚREDNI</t>
        </is>
      </c>
      <c r="G6" s="2" t="inlineStr">
        <is>
          <t>OTWARTE</t>
        </is>
      </c>
    </row>
    <row r="7">
      <c r="A7" s="2" t="inlineStr">
        <is>
          <t>N06</t>
        </is>
      </c>
      <c r="B7" s="2" t="inlineStr">
        <is>
          <t>1.2 Wskaźnik nr 5 (opóźnienie alertu): jednostka i baza</t>
        </is>
      </c>
      <c r="C7" s="2" t="inlineStr">
        <is>
          <t>Jednostka [ms], baza „≥300 000 ms”.</t>
        </is>
      </c>
      <c r="D7" s="2" t="inlineStr">
        <is>
          <t>Jednostka [s]: wartość docelowa 1 s (percentyl 95), baza 300 s. Dodać, że parametr jest mierzony po kompresji (Z7) i w terenie (Z9).</t>
        </is>
      </c>
      <c r="E7" s="2" t="inlineStr">
        <is>
          <t>Instrukcja (SI); K3-17; D18</t>
        </is>
      </c>
      <c r="F7" s="2" t="inlineStr">
        <is>
          <t>ŚREDNI</t>
        </is>
      </c>
      <c r="G7" s="2" t="inlineStr">
        <is>
          <t>OTWARTE</t>
        </is>
      </c>
    </row>
    <row r="8">
      <c r="A8" s="2" t="inlineStr">
        <is>
          <t>N07</t>
        </is>
      </c>
      <c r="B8" s="2" t="inlineStr">
        <is>
          <t>1.4 Wskaźnik dodatkowy: pokrycie pól eFTI</t>
        </is>
      </c>
      <c r="C8" s="2" t="inlineStr">
        <is>
          <t>„potwierdzone audytem podwykonawcy prawnego”, „audyt prawny podwykonawcy (Z6)”.</t>
        </is>
      </c>
      <c r="D8" s="2" t="inlineStr">
        <is>
          <t>Usunąć podwykonawcę prawnego (nie ma go w budżecie). Metoda: test zgodności z implementacją referencyjną KE i walidacja XSD wykonane przez zespół Everest11 (Z6).</t>
        </is>
      </c>
      <c r="E8" s="2" t="inlineStr">
        <is>
          <t>K3-08, K3-45; opis Z6</t>
        </is>
      </c>
      <c r="F8" s="14" t="inlineStr">
        <is>
          <t>WYSOKI</t>
        </is>
      </c>
      <c r="G8" s="2" t="inlineStr">
        <is>
          <t>OTWARTE</t>
        </is>
      </c>
    </row>
    <row r="9">
      <c r="A9" s="2" t="inlineStr">
        <is>
          <t>N08</t>
        </is>
      </c>
      <c r="B9" s="2" t="inlineStr">
        <is>
          <t>1.4 Wskaźnik dodatkowy: wykorzystanie kubatury (fill rate)</t>
        </is>
      </c>
      <c r="C9" s="2" t="inlineStr">
        <is>
          <t>Pomiar radarem mmWave na kursach floty w Z9; baza 65% (Eurostat 2024, źródło niezweryfikowane).</t>
        </is>
      </c>
      <c r="D9" s="2" t="inlineStr">
        <is>
          <t>Z9 zawiera teraz wskaźnik operacyjny (cel 80%), niebędący parametrem kamienia. Baza 65%: potwierdzić źródło (D20) albo przeformułować jako wartość mierzoną na tych samych pojazdach przed wdrożeniem.</t>
        </is>
      </c>
      <c r="E9" s="2" t="inlineStr">
        <is>
          <t>D20; opis Z9</t>
        </is>
      </c>
      <c r="F9" s="2" t="inlineStr">
        <is>
          <t>ŚREDNI</t>
        </is>
      </c>
      <c r="G9" s="2" t="inlineStr">
        <is>
          <t>OTWARTE</t>
        </is>
      </c>
    </row>
    <row r="10">
      <c r="A10" s="2" t="inlineStr">
        <is>
          <t>N09</t>
        </is>
      </c>
      <c r="B10" s="2" t="inlineStr">
        <is>
          <t>1.1 Cel projektu, 1.2 Innowacyjność, opis prac Z2 i Z5 (wiersze z „0,5 g”)</t>
        </is>
      </c>
      <c r="C10" s="2" t="inlineStr">
        <is>
          <t>„amplitudy do 0,5 g”.</t>
        </is>
      </c>
      <c r="D10" s="2" t="inlineStr">
        <is>
          <t>Zapis w SI: „do 4,9 m/s2 (0,5 g)”, spójnie z KM-Z2, KM-Z5 i opisami zadań.</t>
        </is>
      </c>
      <c r="E10" s="2" t="inlineStr">
        <is>
          <t>D18</t>
        </is>
      </c>
      <c r="F10" s="2" t="inlineStr">
        <is>
          <t>NISKI</t>
        </is>
      </c>
      <c r="G10" s="2" t="inlineStr">
        <is>
          <t>OTWARTE</t>
        </is>
      </c>
    </row>
    <row r="11">
      <c r="A11" s="2" t="inlineStr">
        <is>
          <t>N10</t>
        </is>
      </c>
      <c r="B11" s="2" t="inlineStr">
        <is>
          <t>3.1.1 Opisy zadań Z1-Z9 i kamienie milowe (pola zakresu, szczegółowego opisu, KM)</t>
        </is>
      </c>
      <c r="C11" s="2" t="inlineStr">
        <is>
          <t>Obecne teksty.</t>
        </is>
      </c>
      <c r="D11" s="2" t="inlineStr">
        <is>
          <t>Zastąpić tekstami z części pierwszej tego dokumentu.</t>
        </is>
      </c>
      <c r="E11" s="2" t="inlineStr">
        <is>
          <t>K3-01 do K3-22</t>
        </is>
      </c>
      <c r="F11" s="14" t="inlineStr">
        <is>
          <t>WYSOKI</t>
        </is>
      </c>
      <c r="G11" s="2" t="inlineStr">
        <is>
          <t>OTWARTE</t>
        </is>
      </c>
    </row>
    <row r="12">
      <c r="A12" s="2" t="inlineStr">
        <is>
          <t>N11</t>
        </is>
      </c>
      <c r="B12" s="2" t="inlineStr">
        <is>
          <t>3.1.2 Uzasadnienie kosztu: AI Senior Engineer Z2</t>
        </is>
      </c>
      <c r="C12" s="2" t="inlineStr">
        <is>
          <t>„Opracuje specyfikację anotacji Instance Segmentation COCO dla podwykonawcy”.</t>
        </is>
      </c>
      <c r="D12" s="2" t="inlineStr">
        <is>
          <t>„dla anotatorów Everest11”. Anotacja jest realizowana przez personel Lidera.</t>
        </is>
      </c>
      <c r="E12" s="2" t="inlineStr">
        <is>
          <t>K3-10, K3-39; D21</t>
        </is>
      </c>
      <c r="F12" s="14" t="inlineStr">
        <is>
          <t>WYSOKI</t>
        </is>
      </c>
      <c r="G12" s="2" t="inlineStr">
        <is>
          <t>OTWARTE</t>
        </is>
      </c>
    </row>
    <row r="13">
      <c r="A13" s="2" t="inlineStr">
        <is>
          <t>N12</t>
        </is>
      </c>
      <c r="B13" s="2" t="inlineStr">
        <is>
          <t>3.1.2 Uzasadnienie kosztu: Anotatorzy Z2</t>
        </is>
      </c>
      <c r="C13" s="2" t="inlineStr">
        <is>
          <t>Zakres i nakład „wg wolumenu”.</t>
        </is>
      </c>
      <c r="D13" s="2" t="inlineStr">
        <is>
          <t>3 osoby, 1,0 etatu, 10 miesięcy M9-M18, zakres jak w opisie Z2 (anotacja, zgłaszanie przypadków niejednoznacznych, udział w pomiarze zgodności). Zgodnie z nakładem 3200-3600 godzin w budżecie porównać z 3 x 10 x 168 godzin.</t>
        </is>
      </c>
      <c r="E13" s="2" t="inlineStr">
        <is>
          <t>K3-39, K5-03</t>
        </is>
      </c>
      <c r="F13" s="14" t="inlineStr">
        <is>
          <t>WYSOKI</t>
        </is>
      </c>
      <c r="G13" s="2" t="inlineStr">
        <is>
          <t>OTWARTE</t>
        </is>
      </c>
    </row>
    <row r="14">
      <c r="A14" s="2" t="inlineStr">
        <is>
          <t>N13</t>
        </is>
      </c>
      <c r="B14" s="2" t="inlineStr">
        <is>
          <t>3.1.2 Uzasadnienie kosztu: Cybersecurity / AI Act Specialist Z9 (wiersz „przegląd prior art i analizę freedom-to-operate”, aktualizacja dokumentacji AI Act)</t>
        </is>
      </c>
      <c r="C14" s="2" t="inlineStr">
        <is>
          <t>Aktualizacja dokumentacji AI Act, integralność PoC, materiały do zgłoszenia EPO, prior art, FTO.</t>
        </is>
      </c>
      <c r="D14" s="2" t="inlineStr">
        <is>
          <t>Zostawić testy bezpieczeństwa prototypu w terenie i uruchamianie zamrożonego skryptu ewaluacyjnego (niezależny ewaluator). Usunąć AI Act, EPO, prior art, FTO (są w Z11 i poza B+R).</t>
        </is>
      </c>
      <c r="E14" s="2" t="inlineStr">
        <is>
          <t>K3-40, K3-66; D05</t>
        </is>
      </c>
      <c r="F14" s="14" t="inlineStr">
        <is>
          <t>WYSOKI</t>
        </is>
      </c>
      <c r="G14" s="2" t="inlineStr">
        <is>
          <t>OTWARTE</t>
        </is>
      </c>
    </row>
    <row r="15">
      <c r="A15" s="2" t="inlineStr">
        <is>
          <t>N14</t>
        </is>
      </c>
      <c r="B15" s="2" t="inlineStr">
        <is>
          <t>3.1.2 Uzasadnienia kosztu: Cybersecurity Z2 i Z6</t>
        </is>
      </c>
      <c r="C15" s="2" t="inlineStr">
        <is>
          <t>Klasyfikacja ryzyka AI Act, karta oceny ryzyka, polityka RODO.</t>
        </is>
      </c>
      <c r="D15" s="2" t="inlineStr">
        <is>
          <t>Zostawić prace techniczne (szyfrowanie, klucze, pseudonimizacja, podpis, integralność). Usunąć dokumentację AI Act i politykę RODO z kosztów B+R (czynność przedwdrożeniowa).</t>
        </is>
      </c>
      <c r="E15" s="2" t="inlineStr">
        <is>
          <t>K3-38; 6.1 Maziarz</t>
        </is>
      </c>
      <c r="F15" s="14" t="inlineStr">
        <is>
          <t>WYSOKI</t>
        </is>
      </c>
      <c r="G15" s="2" t="inlineStr">
        <is>
          <t>OTWARTE</t>
        </is>
      </c>
    </row>
    <row r="16">
      <c r="A16" s="2" t="inlineStr">
        <is>
          <t>N15</t>
        </is>
      </c>
      <c r="B16" s="2" t="inlineStr">
        <is>
          <t>3.1.2 Uzasadnienia kosztu: IT Specialist Z6 i Backend/Full-Stack Z6</t>
        </is>
      </c>
      <c r="C16" s="2" t="inlineStr">
        <is>
          <t>Trans.eu, TimoCom, e-CMR, „rozwój i utrzymanie” API, „w całości siłami własnymi Lidera”.</t>
        </is>
      </c>
      <c r="D16" s="2" t="inlineStr">
        <is>
          <t>Zastąpić zakresem z opisu Z6: pipeline, generator eFTI oraz dwukierunkowe API z TMS i prototypowe integracje z Trans.eu, TimoCom i e-CMR w środowisku testowym (IT); strumieniowy potok, kolejkowanie, wsparcie integracji testowych i test zgodności eFTI (Backend). Czynności integracyjne opisać jako techniczne i pomocnicze, w zakresie niezbędnym do testów i walidacji. Usunąć utrzymanie, wdrożenie produkcyjne i produkcyjny dashboard.</t>
        </is>
      </c>
      <c r="E16" s="2" t="inlineStr">
        <is>
          <t>K3-08, K3-38; D24</t>
        </is>
      </c>
      <c r="F16" s="14" t="inlineStr">
        <is>
          <t>WYSOKI</t>
        </is>
      </c>
      <c r="G16" s="2" t="inlineStr">
        <is>
          <t>OTWARTE</t>
        </is>
      </c>
    </row>
    <row r="17">
      <c r="A17" s="2" t="inlineStr">
        <is>
          <t>N16</t>
        </is>
      </c>
      <c r="B17" s="2" t="inlineStr">
        <is>
          <t>3.1.2 Pozycje kosztowe Backend/Full-Stack: Z6 i Z9</t>
        </is>
      </c>
      <c r="C17" s="2" t="inlineStr">
        <is>
          <t>Jedna pozycja Z6 na 12 mc, 260 280 zł.</t>
        </is>
      </c>
      <c r="D17" s="2" t="inlineStr">
        <is>
          <t>Dwie pozycje: Z6 9 mc (195 210 zł) i Z9 3 mc (65 070 zł), suma bez zmian; opis Z9 w zakresie walidacji PoC i zgodności eFTI w terenie.</t>
        </is>
      </c>
      <c r="E17" s="2" t="inlineStr">
        <is>
          <t>K3-36, K3-37; D07</t>
        </is>
      </c>
      <c r="F17" s="14" t="inlineStr">
        <is>
          <t>WYSOKI</t>
        </is>
      </c>
      <c r="G17" s="2" t="inlineStr">
        <is>
          <t>OTWARTE</t>
        </is>
      </c>
    </row>
    <row r="18">
      <c r="A18" s="2" t="inlineStr">
        <is>
          <t>N17</t>
        </is>
      </c>
      <c r="B18" s="2" t="inlineStr">
        <is>
          <t>3.1.2 IT Specialist Z9</t>
        </is>
      </c>
      <c r="C18" s="2" t="inlineStr">
        <is>
          <t>„hotfixy”, utrzymanie środowiska integracyjnego.</t>
        </is>
      </c>
      <c r="D18" s="2" t="inlineStr">
        <is>
          <t>Rejestracja i analiza danych KPI; poprawki tylko w oknie korekt w M30. Bez bieżącego utrzymania.</t>
        </is>
      </c>
      <c r="E18" s="2" t="inlineStr">
        <is>
          <t>K3-38; opis Z9</t>
        </is>
      </c>
      <c r="F18" s="2" t="inlineStr">
        <is>
          <t>ŚREDNI</t>
        </is>
      </c>
      <c r="G18" s="2" t="inlineStr">
        <is>
          <t>OTWARTE</t>
        </is>
      </c>
    </row>
    <row r="19">
      <c r="A19" s="2" t="inlineStr">
        <is>
          <t>N18</t>
        </is>
      </c>
      <c r="B19" s="2" t="inlineStr">
        <is>
          <t>3.1.2 Sześć stanowisk Everest11 w Z6, Z7, Z9: metoda szacowania</t>
        </is>
      </c>
      <c r="C19" s="2" t="inlineStr">
        <is>
          <t>„12 mc fazy PR podzielone przez 3”.</t>
        </is>
      </c>
      <c r="D19" s="2" t="inlineStr">
        <is>
          <t>Rzeczywisty podział miesięcy lub godzin między zadania, przy zachowaniu sumy i etatu w każdym miesiącu (propozycja w bloku budżetowym).</t>
        </is>
      </c>
      <c r="E19" s="2" t="inlineStr">
        <is>
          <t>K3-36, K3-37; D29</t>
        </is>
      </c>
      <c r="F19" s="14" t="inlineStr">
        <is>
          <t>WYSOKI</t>
        </is>
      </c>
      <c r="G19" s="2" t="inlineStr">
        <is>
          <t>OTWARTE</t>
        </is>
      </c>
    </row>
    <row r="20">
      <c r="A20" s="2" t="inlineStr">
        <is>
          <t>N19</t>
        </is>
      </c>
      <c r="B20" s="2" t="inlineStr">
        <is>
          <t>6.1 Jakub Kosterna (AI Lead): zakres obowiązków</t>
        </is>
      </c>
      <c r="C20" s="2" t="inlineStr">
        <is>
          <t>Przygotowanie dokumentacji technicznej do zgłoszenia patentowego.</t>
        </is>
      </c>
      <c r="D20" s="2" t="inlineStr">
        <is>
          <t>Usunąć lub opisać jako dostarczenie danych technicznych do rzecznika w Z11, poza kosztami Z9.</t>
        </is>
      </c>
      <c r="E20" s="2" t="inlineStr">
        <is>
          <t>K3-40, K3-66; D30</t>
        </is>
      </c>
      <c r="F20" s="2" t="inlineStr">
        <is>
          <t>ŚREDNI</t>
        </is>
      </c>
      <c r="G20" s="2" t="inlineStr">
        <is>
          <t>OTWARTE</t>
        </is>
      </c>
    </row>
    <row r="21">
      <c r="A21" s="2" t="inlineStr">
        <is>
          <t>N20</t>
        </is>
      </c>
      <c r="B21" s="2" t="inlineStr">
        <is>
          <t>6.1 Michał Hajduk (specjalista TSL): zakres obowiązków</t>
        </is>
      </c>
      <c r="C21" s="2" t="inlineStr">
        <is>
          <t>Badanie akceptacji UX i ocena trafności alertów z perspektywy operacyjnej.</t>
        </is>
      </c>
      <c r="D21" s="2" t="inlineStr">
        <is>
          <t>Ground truth i scenariusze operacyjne; ocena trafności alertów skryptem, bez udziału pracownika odbiorcy wdrożenia; UX prowadzi AI Senior Engineer. Dodać deklarację poufności wobec podmiotów powiązanych (MJA Partners, Natanek Logistics).</t>
        </is>
      </c>
      <c r="E21" s="2" t="inlineStr">
        <is>
          <t>K3-11, K5-07; D05</t>
        </is>
      </c>
      <c r="F21" s="14" t="inlineStr">
        <is>
          <t>WYSOKI</t>
        </is>
      </c>
      <c r="G21" s="2" t="inlineStr">
        <is>
          <t>OTWARTE</t>
        </is>
      </c>
    </row>
    <row r="22">
      <c r="A22" s="2" t="inlineStr">
        <is>
          <t>N21</t>
        </is>
      </c>
      <c r="B22" s="2" t="inlineStr">
        <is>
          <t>6.1 Personel planowany: Anotatorzy, Backend/Full-Stack</t>
        </is>
      </c>
      <c r="C22" s="2" t="inlineStr">
        <is>
          <t>Anotatorzy: M1-M18, „wymiar wg wolumenu”. Backend: Z2 (M13-M18) i Z6 (M19-M30), 18 mc.</t>
        </is>
      </c>
      <c r="D22" s="2" t="inlineStr">
        <is>
          <t>Anotatorzy: 3 osoby, 1,0 etatu, 10 mc [M9-M18]. Backend: Z2 6 mc, Z6 9 mc, Z9 3 mc, razem 18 mc.</t>
        </is>
      </c>
      <c r="E22" s="2" t="inlineStr">
        <is>
          <t>K5-03, K5-10, K5-11; D07</t>
        </is>
      </c>
      <c r="F22" s="14" t="inlineStr">
        <is>
          <t>WYSOKI</t>
        </is>
      </c>
      <c r="G22" s="2" t="inlineStr">
        <is>
          <t>OTWARTE</t>
        </is>
      </c>
    </row>
    <row r="23">
      <c r="A23" s="2" t="inlineStr">
        <is>
          <t>N22</t>
        </is>
      </c>
      <c r="B23" s="2" t="inlineStr">
        <is>
          <t>6.1 Sposób zarządzania projektem (ścieżka decyzyjna)</t>
        </is>
      </c>
      <c r="C23" s="2" t="inlineStr">
        <is>
          <t>Brak opisu nadzoru nad zadaniami PRz i organu oceniającego kamienie milowe.</t>
        </is>
      </c>
      <c r="D23" s="2" t="inlineStr">
        <is>
          <t>Dopisać Radę Konsorcjum z § 9 umowy konsorcjum (po jednym przedstawicielu każdego członka, przewodniczy kierownik zarządzający (we wniosku wyłącznie ta nazwa), posiedzenia co najmniej raz na 6 miesięcy, protokoły, ocena merytoryczna i formalna realizacji zadań na wniosek kierownika zarządzającego, rekomendacje zmian w harmonogramie; organ doradczy, nie decyzyjny), osobę weryfikującą i odbierającą każdy KM oraz niezależne przeliczenie metryk przez AI Lead Everest11.</t>
        </is>
      </c>
      <c r="E23" s="2" t="inlineStr">
        <is>
          <t>K5-05, K5-09; D27, D28</t>
        </is>
      </c>
      <c r="F23" s="14" t="inlineStr">
        <is>
          <t>WYSOKI</t>
        </is>
      </c>
      <c r="G23" s="2" t="inlineStr">
        <is>
          <t>OTWARTE</t>
        </is>
      </c>
    </row>
    <row r="24">
      <c r="A24" s="2" t="inlineStr">
        <is>
          <t>N23</t>
        </is>
      </c>
      <c r="B24" s="2" t="inlineStr">
        <is>
          <t>6.2 Zasoby techniczne Everest11 (przeznaczenie)</t>
        </is>
      </c>
      <c r="C24" s="2" t="inlineStr">
        <is>
          <t>„koordynacja prac konsorcjum, zarządzanie projektem, integracja systemowa (API TMS, eFTI, e-CMR)”, „walidacja KPI w ruchu komercyjnym”.</t>
        </is>
      </c>
      <c r="D24" s="2" t="inlineStr">
        <is>
          <t>Opisać zasoby (stanowiska, serwery, repozytoria) bez funkcji koordynacyjnych w pracach B+R. „W ruchu komercyjnym” zamienić na „w eksploatacji na flocie testowej”. Dopisać parametry komputerów, serwerów i chmury (uwaga 14).</t>
        </is>
      </c>
      <c r="E24" s="2" t="inlineStr">
        <is>
          <t>K3-38, K5-14</t>
        </is>
      </c>
      <c r="F24" s="2" t="inlineStr">
        <is>
          <t>ŚREDNI</t>
        </is>
      </c>
      <c r="G24" s="2" t="inlineStr">
        <is>
          <t>OTWARTE</t>
        </is>
      </c>
    </row>
    <row r="25">
      <c r="A25" s="2" t="inlineStr">
        <is>
          <t>N24</t>
        </is>
      </c>
      <c r="B25" s="2" t="inlineStr">
        <is>
          <t>5. Analiza ryzyka R3 (opis zapobiegania) i R8 (podwykonawstwo)</t>
        </is>
      </c>
      <c r="C25" s="2" t="inlineStr">
        <is>
          <t>R3: „z udziałem podwykonawcy anotacji”. R8: podwykonawstwo obejmuje anotację datasetu.</t>
        </is>
      </c>
      <c r="D25" s="2" t="inlineStr">
        <is>
          <t>Usunąć anotację z listy podwykonawstwa. R8: montaż (Z2, Z9) i rzecznik patentowy (Z11). Zastąpić R1-R5, R9 i dodać R10-R12 tekstami z części drugiej.</t>
        </is>
      </c>
      <c r="E25" s="2" t="inlineStr">
        <is>
          <t>K3-10, K3-46, K3-25 do K3-32</t>
        </is>
      </c>
      <c r="F25" s="14" t="inlineStr">
        <is>
          <t>WYSOKI</t>
        </is>
      </c>
      <c r="G25" s="2" t="inlineStr">
        <is>
          <t>OTWARTE</t>
        </is>
      </c>
    </row>
    <row r="26">
      <c r="A26" s="2" t="inlineStr">
        <is>
          <t>N25</t>
        </is>
      </c>
      <c r="B26" s="2" t="inlineStr">
        <is>
          <t>3.1.1 Z9 (stary tekst): odbiór i niezależna walidacja</t>
        </is>
      </c>
      <c r="C26" s="2" t="inlineStr">
        <is>
          <t>Protokół podpisuje kierownik B+R i kluczowy personel PRz; „niezależna walidacja PRz na ≥180 kursach”.</t>
        </is>
      </c>
      <c r="D26" s="2" t="inlineStr">
        <is>
          <t>Zastąpione ścieżką audytu z nowego tekstu (PRz tylko odbiór metodyczny w Z8). Sprawdzić, czy zdanie nie zostało także w sekcjach 1.2 i 2.x.</t>
        </is>
      </c>
      <c r="E26" s="2" t="inlineStr">
        <is>
          <t>K3-11, K3-12; D25</t>
        </is>
      </c>
      <c r="F26" s="14" t="inlineStr">
        <is>
          <t>WYSOKI</t>
        </is>
      </c>
      <c r="G26" s="2" t="inlineStr">
        <is>
          <t>OTWARTE</t>
        </is>
      </c>
    </row>
    <row r="27">
      <c r="A27" s="2" t="inlineStr">
        <is>
          <t>N26</t>
        </is>
      </c>
      <c r="B27" s="2" t="inlineStr">
        <is>
          <t>6.4 Podwykonawcy oraz pozycje podwykonawstwa Z2 (150 000 zł) i Z9 (70 000 zł)</t>
        </is>
      </c>
      <c r="C27" s="2" t="inlineStr">
        <is>
          <t>Brak kalkulacji i liczby ofert; wymagania dla niewybranego podwykonawcy.</t>
        </is>
      </c>
      <c r="D27" s="2" t="inlineStr">
        <is>
          <t>Uzupełnić: zakres (tylko montaż, instalacja, demontaż), liczba pojazdów, pracochłonność lub ryczałt, oferty, wybór kwoty; rozdzielenie Z2 i Z9. Wymagania minimalne wykonawcy.</t>
        </is>
      </c>
      <c r="E27" s="2" t="inlineStr">
        <is>
          <t>K3-43 do K3-46; D08</t>
        </is>
      </c>
      <c r="F27" s="14" t="inlineStr">
        <is>
          <t>WYSOKI</t>
        </is>
      </c>
      <c r="G27" s="2" t="inlineStr">
        <is>
          <t>OTWARTE</t>
        </is>
      </c>
    </row>
    <row r="28">
      <c r="A28" s="2" t="inlineStr">
        <is>
          <t>N28</t>
        </is>
      </c>
      <c r="B28" s="2" t="inlineStr">
        <is>
          <t>3.1.2 AI Lead Z7, IoT Specialist Z9 oraz uzasadnienie kosztu edge AI w Z2 (wiersze „300 ms”)</t>
        </is>
      </c>
      <c r="C28" s="2" t="inlineStr">
        <is>
          <t>Opóźnienie alertu „≤300 ms” (AI Lead Z7: pogodzenie 300 ms z degradacją 3 pp; IoT Z9: percentyl 95 do 300 ms; edge AI Z2: alerty do 300 ms).</t>
        </is>
      </c>
      <c r="D28" s="2" t="inlineStr">
        <is>
          <t>Ujednolicić do 1 s (percentyl 95), zgodnie ze wskaźnikiem, KM-Z7 i KM-Z9. Nowe teksty uzasadnień są w części trzeciej.</t>
        </is>
      </c>
      <c r="E28" s="2" t="inlineStr">
        <is>
          <t>K3-13, K3-15; KM-Z7</t>
        </is>
      </c>
      <c r="F28" s="14" t="inlineStr">
        <is>
          <t>WYSOKI</t>
        </is>
      </c>
      <c r="G28" s="2" t="inlineStr">
        <is>
          <t>OTWARTE</t>
        </is>
      </c>
    </row>
    <row r="29">
      <c r="A29" s="2" t="inlineStr">
        <is>
          <t>N27</t>
        </is>
      </c>
      <c r="B29" s="2" t="inlineStr">
        <is>
          <t>Model finansowy (Założenia, Rozliczenie dotacji)</t>
        </is>
      </c>
      <c r="C29" s="2" t="inlineStr">
        <is>
          <t>Komentarz „18 miesięcy” w Założeniach; liczby godzin i etatów jak w starej wersji budżetu.</t>
        </is>
      </c>
      <c r="D29" s="2" t="inlineStr">
        <is>
          <t>Poprawić na 30 miesięcy oraz uspójnić z nowym podziałem Backend Z6/Z9 (N16) i z podziałem N18.</t>
        </is>
      </c>
      <c r="E29" s="2" t="inlineStr">
        <is>
          <t>K3-36; uwaga ogólna o spójności</t>
        </is>
      </c>
      <c r="F29" s="2" t="inlineStr">
        <is>
          <t>ŚREDNI</t>
        </is>
      </c>
      <c r="G29" s="2" t="inlineStr">
        <is>
          <t>OTWARTE</t>
        </is>
      </c>
    </row>
    <row r="30">
      <c r="A30" s="2" t="inlineStr">
        <is>
          <t>N29</t>
        </is>
      </c>
      <c r="B30" s="2" t="inlineStr">
        <is>
          <t>6.4 Podwykonawcy i pozycja podwykonawstwa Z9 (nazwa i opis)</t>
        </is>
      </c>
      <c r="C30" s="2" t="inlineStr">
        <is>
          <t>„instalacja finalnych, zwalidowanych zestawów prototypowych oraz demontaż”.</t>
        </is>
      </c>
      <c r="D30" s="2" t="inlineStr">
        <is>
          <t>Po zmianie harmonogramu Z7 i Z9 pierwsze zestawy są instalowane w Fazie A (M22). Zmienić nazwę pozycji na „montaż zestawów prototypowych i demontaż po walidacji”, bez słów „finalnych, zwalidowanych”. Zakres: wyłącznie montaż i demontaż.</t>
        </is>
      </c>
      <c r="E30" s="2" t="inlineStr">
        <is>
          <t>K3-44; opis Z9, opis Z7</t>
        </is>
      </c>
      <c r="F30" s="2" t="inlineStr">
        <is>
          <t>WYSOKI</t>
        </is>
      </c>
      <c r="G30" s="2" t="inlineStr">
        <is>
          <t>OTWARTE</t>
        </is>
      </c>
    </row>
    <row r="31">
      <c r="A31" s="2" t="inlineStr">
        <is>
          <t>N30</t>
        </is>
      </c>
      <c r="B31" s="2" t="inlineStr">
        <is>
          <t>3.1.2 Metoda szacowania personelu Everest11: stawki referencyjne z raportów płacowych (uwagi 34 i 35)</t>
        </is>
      </c>
      <c r="C31" s="2" t="inlineStr">
        <is>
          <t>Odniesienia do raportów No Fluff Jobs i Hays: liczby i strony zgadzają się z raportami (sprawdzone na s. 27, 30, 31, 32, 33, 35 NFJ i s. 38, 40 Hays). Niejednoznaczności opisowe: stanowiska bez wprost odpowiadającej kategorii (Backend/Full-Stack, IT Specialist, AI Lead, Anotatorzy), AI Senior Engineer ma stawkę z pasma Mid, IoT łączył dwa zakresy i Hays R&amp;D Engineer (inżynier produkcji), Hays „Opt” opisane jako „wartość optymalna”, opis „na granicy Mid/Senior” i „w środku pasma”.</t>
        </is>
      </c>
      <c r="D31" s="2" t="inlineStr">
        <is>
          <t>Przepisana metoda szacowania wszystkich 28 pozycji Everest11 (Z2, Z6, Z7, Z9) w formacie z uwagi 35: umowa o pracę, źródło i strona, kategoria i poziom jak w raporcie, widełki (mediany dolnych i górnych widełek z ogłoszeń), położenie stawki, przeliczenie na koszt pracodawcy; dla Anotatorów stawka godzinowa brutto-brutto (około 43 zł/h). Do decyzji właściciela: tytuł „AI Senior Engineer” przy poziomie Mid (D32). Dla osób obecnie zatrudnionych (uwaga 34) dopisać relację do obecnego wynagrodzenia.</t>
        </is>
      </c>
      <c r="E31" s="2" t="inlineStr">
        <is>
          <t>K3-34, K3-35</t>
        </is>
      </c>
      <c r="F31" s="14" t="inlineStr">
        <is>
          <t>WYSOKI</t>
        </is>
      </c>
      <c r="G31" s="2" t="inlineStr">
        <is>
          <t>ZROBIONE (metoda przepisana), D32 do decyzji</t>
        </is>
      </c>
    </row>
    <row r="32">
      <c r="A32" s="2" t="inlineStr">
        <is>
          <t>N31</t>
        </is>
      </c>
      <c r="B32" s="2" t="inlineStr">
        <is>
          <t>6.1 Zespół projektowy: status zatrudnienia osób Everest11 i PRz (uwagi 34, K5-1)</t>
        </is>
      </c>
      <c r="C32" s="2" t="inlineStr">
        <is>
          <t>Brak jednoznacznego statusu; pole „Status współpracy” i opis działu B+R sugerują, że część osób już pracuje u Lidera.</t>
        </is>
      </c>
      <c r="D32" s="2" t="inlineStr">
        <is>
          <t>Wpisać: żadna z osób Everest11 nie jest pracownikiem Everest11; wszystkie podpisały 08.06.2026 umowy warunkowe dotyczące zatrudnienia (warunek: otrzymanie dofinansowania); stawki wynegocjowano przy podpisaniu. Osoby PRz wykazane z imienia i nazwiska są pracownikami PRz. Dla każdej osoby termin rozpoczęcia, wymiar i sposób monitorowania limitu 276 godzin miesięcznie (K5-1).</t>
        </is>
      </c>
      <c r="E32" s="2" t="inlineStr">
        <is>
          <t>K3-34, K5-1</t>
        </is>
      </c>
      <c r="F32" s="2" t="inlineStr">
        <is>
          <t>WYSOKI</t>
        </is>
      </c>
      <c r="G32" s="2" t="inlineStr">
        <is>
          <t>OTWARTE</t>
        </is>
      </c>
    </row>
    <row r="33">
      <c r="A33" s="2" t="inlineStr">
        <is>
          <t>N32</t>
        </is>
      </c>
      <c r="B33" s="2" t="inlineStr">
        <is>
          <t>1.2 Wskaźniki innowacyjności (5 tabel)</t>
        </is>
      </c>
      <c r="C33" s="2" t="inlineStr">
        <is>
          <t>Jednostki [cm], [ms]; baza AUC 0,50; baza latencji = interwał GSM; PoC z pokryciem eFTI w jednym polu; baza 0,30 m bez uzasadnienia względem 0,10 m.</t>
        </is>
      </c>
      <c r="D33" s="2" t="inlineStr">
        <is>
          <t>Wpisać teksty W1-W5 z pliku Wskazniki_innowacyjnosci_1.2_i_1.4.docx (jednostki SI, bazy jak w D16, rozdzielenie PoC i eFTI, błąd względny 0,03/0,05 m).</t>
        </is>
      </c>
      <c r="E33" s="2" t="inlineStr">
        <is>
          <t>K1-02, K1-03, K1-04; D33</t>
        </is>
      </c>
      <c r="F33" s="2" t="inlineStr">
        <is>
          <t>WYSOKI</t>
        </is>
      </c>
      <c r="G33" s="2" t="inlineStr">
        <is>
          <t>OTWARTE</t>
        </is>
      </c>
    </row>
    <row r="34">
      <c r="A34" s="2" t="inlineStr">
        <is>
          <t>N33</t>
        </is>
      </c>
      <c r="B34" s="2" t="inlineStr">
        <is>
          <t>1.2 Opis innowacji produktowej</t>
        </is>
      </c>
      <c r="C34" s="2" t="inlineStr">
        <is>
          <t>Teza „nie istnieje żaden produkt”; „Nexxiot Globe+”; „QbScan”; parametry w cm i ms; „floty Natanek Logistics”; ROI dodatni od 1. roku; kurs CMR 5 500-23 000 PLN.</t>
        </is>
      </c>
      <c r="D34" s="2" t="inlineStr">
        <is>
          <t>Wprowadzić 8 zmian z części 4 pliku Wskazniki_innowacyjnosci_1.2_i_1.4.docx.</t>
        </is>
      </c>
      <c r="E34" s="2" t="inlineStr">
        <is>
          <t>K1-01, K1-06; D33</t>
        </is>
      </c>
      <c r="F34" s="2" t="inlineStr">
        <is>
          <t>WYSOKI</t>
        </is>
      </c>
      <c r="G34" s="2" t="inlineStr">
        <is>
          <t>OTWARTE</t>
        </is>
      </c>
    </row>
    <row r="35">
      <c r="A35" s="2" t="inlineStr">
        <is>
          <t>N34</t>
        </is>
      </c>
      <c r="B35" s="2" t="inlineStr">
        <is>
          <t>1.4 Tekst i wskaźniki dodatkowe</t>
        </is>
      </c>
      <c r="C35" s="2" t="inlineStr">
        <is>
          <t>Wskaźnik ceny z bazą = koszt naczepy; „liczba warstw ICT”; fill rate 65%→80%; pokrycie eFTI z audytem prawnym podwykonawcy; tekst bez odniesienia do bezpośredniej konkurencji.</t>
        </is>
      </c>
      <c r="D35" s="2" t="inlineStr">
        <is>
          <t>Wpisać nowy tekst (3 029 znaków) i wskaźniki I1-I3; usunąć fill rate i warstwy ICT.</t>
        </is>
      </c>
      <c r="E35" s="2" t="inlineStr">
        <is>
          <t>K1-05, K1-06, K13-03; D33</t>
        </is>
      </c>
      <c r="F35" s="2" t="inlineStr">
        <is>
          <t>WYSOKI</t>
        </is>
      </c>
      <c r="G35" s="2" t="inlineStr">
        <is>
          <t>OTWARTE</t>
        </is>
      </c>
    </row>
    <row r="36">
      <c r="A36" s="2" t="inlineStr">
        <is>
          <t>N35</t>
        </is>
      </c>
      <c r="B36" s="2" t="inlineStr">
        <is>
          <t>Z8: opis i KM-Z8</t>
        </is>
      </c>
      <c r="C36" s="2" t="inlineStr">
        <is>
          <t>Brak pomiaru wartości bazowej mAP (ogólny detektor bez adaptacji domenowej) na tym samym zbiorze testowym.</t>
        </is>
      </c>
      <c r="D36" s="2" t="inlineStr">
        <is>
          <t>Dopisać pomiar bazy mAP do opisu Z8 i KM-Z8 (parametr 4), z zachowaniem limitu 1300 znaków pola parametrów.</t>
        </is>
      </c>
      <c r="E36" s="2" t="inlineStr">
        <is>
          <t>W3 (K1-02); D33</t>
        </is>
      </c>
      <c r="F36" s="2" t="inlineStr">
        <is>
          <t>ŚREDNI</t>
        </is>
      </c>
      <c r="G36" s="2" t="inlineStr">
        <is>
          <t>OTWARTE</t>
        </is>
      </c>
    </row>
    <row r="37">
      <c r="A37" s="2" t="inlineStr">
        <is>
          <t>N36</t>
        </is>
      </c>
      <c r="B37" s="2" t="inlineStr">
        <is>
          <t>7.4 REDUCE i model finansowy</t>
        </is>
      </c>
      <c r="C37" s="2" t="inlineStr">
        <is>
          <t>Wskaźnik „średni poziom wykorzystania przestrzeni ładunkowej” (fill rate) nadal występuje.</t>
        </is>
      </c>
      <c r="D37" s="2" t="inlineStr">
        <is>
          <t>Usunąć wskaźnik fill rate z 7.4 (REDUCE oparte o dokumenty papierowe, D17), a w modelu finansowym sprawdzić odwołania.</t>
        </is>
      </c>
      <c r="E37" s="2" t="inlineStr">
        <is>
          <t>K13-03, D17</t>
        </is>
      </c>
      <c r="F37" s="2" t="inlineStr">
        <is>
          <t>ŚREDNI</t>
        </is>
      </c>
      <c r="G37" s="2" t="inlineStr">
        <is>
          <t>OTWARTE</t>
        </is>
      </c>
    </row>
    <row r="38">
      <c r="A38" s="2" t="inlineStr">
        <is>
          <t>N37</t>
        </is>
      </c>
      <c r="B38" s="2" t="inlineStr">
        <is>
          <t>Pozostałe wystąpienia nazw produktów</t>
        </is>
      </c>
      <c r="C38" s="2" t="inlineStr">
        <is>
          <t>„Nexxiot Globe+”, „Blickfeld QbScan”, „Nexxiot Glob+” w 1.2, 1.4 i innych sekcjach.</t>
        </is>
      </c>
      <c r="D38" s="2" t="inlineStr">
        <is>
          <t>Ujednolicić: Nexxiot Globehopper (do potwierdzenia nazwy), Blickfeld Qb2 z QbVolume.</t>
        </is>
      </c>
      <c r="E38" s="2" t="inlineStr">
        <is>
          <t>K1-01</t>
        </is>
      </c>
      <c r="F38" s="2" t="inlineStr">
        <is>
          <t>NISKI</t>
        </is>
      </c>
      <c r="G38" s="2" t="inlineStr">
        <is>
          <t>OTWARTE</t>
        </is>
      </c>
    </row>
    <row r="39">
      <c r="A39" s="2" t="inlineStr">
        <is>
          <t>N38</t>
        </is>
      </c>
      <c r="B39" s="2" t="inlineStr">
        <is>
          <t>Analiza FTO / K2-03</t>
        </is>
      </c>
      <c r="C39" s="2" t="inlineStr">
        <is>
          <t>Patenty na pomiar wypełnienia naczepy kamerą 3D (UPS i in.) wskazane przez wyszukiwarkę; niezweryfikowane.</t>
        </is>
      </c>
      <c r="D39" s="2" t="inlineStr">
        <is>
          <t>Sprawdzić w Espacenet (EP 3103072 i rodzina) i rozważyć dopisanie do analizy FTO dopiero po potwierdzeniu.</t>
        </is>
      </c>
      <c r="E39" s="2" t="inlineStr">
        <is>
          <t>K2-03</t>
        </is>
      </c>
      <c r="F39" s="2" t="inlineStr">
        <is>
          <t>WYSOKI</t>
        </is>
      </c>
      <c r="G39" s="2" t="inlineStr">
        <is>
          <t>OTWARTE</t>
        </is>
      </c>
    </row>
    <row r="40">
      <c r="A40" s="2" t="inlineStr">
        <is>
          <t>N39</t>
        </is>
      </c>
      <c r="B40" s="2" t="inlineStr">
        <is>
          <t>I1 wartość bazowa kosztu</t>
        </is>
      </c>
      <c r="C40" s="2" t="inlineStr">
        <is>
          <t>Brak źródła ceny rozwiązań o podobnej funkcji.</t>
        </is>
      </c>
      <c r="D40" s="2" t="inlineStr">
        <is>
          <t>Zebrać oferty od co najmniej 3 dostawców (data zapytania) albo zastąpić wskaźnik I1.</t>
        </is>
      </c>
      <c r="E40" s="2" t="inlineStr">
        <is>
          <t>K1-05</t>
        </is>
      </c>
      <c r="F40" s="2" t="inlineStr">
        <is>
          <t>WYSOKI</t>
        </is>
      </c>
      <c r="G40" s="2" t="inlineStr">
        <is>
          <t>OTWARTE</t>
        </is>
      </c>
    </row>
    <row r="41">
      <c r="A41" s="2" t="inlineStr">
        <is>
          <t>N40</t>
        </is>
      </c>
      <c r="B41" s="2" t="inlineStr">
        <is>
          <t>1.3 TAM/SAM/SOM</t>
        </is>
      </c>
      <c r="C41" s="2" t="inlineStr">
        <is>
          <t>TAM 600 000 (prezentacja), 567 800 ciągników, SAM 200 000 bez metody, CEE 400-600 tys.</t>
        </is>
      </c>
      <c r="D41" s="2" t="inlineStr">
        <is>
          <t>Wpisać tekst z pliku Sekcja_1.3_i_ceny.docx (TAM 544,97 tys.), uzupełnić metodę SAM, usunąć CEE z prognozy.</t>
        </is>
      </c>
      <c r="E41" s="2" t="inlineStr">
        <is>
          <t>K2-05; D34</t>
        </is>
      </c>
      <c r="F41" s="2" t="inlineStr">
        <is>
          <t>WYSOKI</t>
        </is>
      </c>
      <c r="G41" s="2" t="inlineStr">
        <is>
          <t>OTWARTE</t>
        </is>
      </c>
    </row>
    <row r="42">
      <c r="A42" s="2" t="inlineStr">
        <is>
          <t>N41</t>
        </is>
      </c>
      <c r="B42" s="2" t="inlineStr">
        <is>
          <t>eFTI jako obowiązek (1.3, 1.4, 7.4, model)</t>
        </is>
      </c>
      <c r="C42" s="2" t="inlineStr">
        <is>
          <t>„Obowiązuje od 21.08.2024, dotyczy każdego operatora”.</t>
        </is>
      </c>
      <c r="D42" s="2" t="inlineStr">
        <is>
          <t>Obowiązek dotyczy organów od 21.08.2025; dla przewoźników dobrowolne. Zmienić wszędzie.</t>
        </is>
      </c>
      <c r="E42" s="2" t="inlineStr">
        <is>
          <t>K2-11, K13; D34</t>
        </is>
      </c>
      <c r="F42" s="2" t="inlineStr">
        <is>
          <t>WYSOKI</t>
        </is>
      </c>
      <c r="G42" s="2" t="inlineStr">
        <is>
          <t>OTWARTE</t>
        </is>
      </c>
    </row>
    <row r="43">
      <c r="A43" s="2" t="inlineStr">
        <is>
          <t>N42</t>
        </is>
      </c>
      <c r="B43" s="2" t="inlineStr">
        <is>
          <t>1.3 i model: wartość roszczenia i ROI</t>
        </is>
      </c>
      <c r="C43" s="2" t="inlineStr">
        <is>
          <t>5 500 PLN, 3 000-15 000 PLN, 5 500-23 000 PLN, „ROI dodatni od 1. roku”.</t>
        </is>
      </c>
      <c r="D43" s="2" t="inlineStr">
        <is>
          <t>Zastąpić obliczeniem CMR z kursem SDR (8 489-21 222 PLN); usunąć ROI.</t>
        </is>
      </c>
      <c r="E43" s="2" t="inlineStr">
        <is>
          <t>K2-06, K2-14; D34</t>
        </is>
      </c>
      <c r="F43" s="2" t="inlineStr">
        <is>
          <t>WYSOKI</t>
        </is>
      </c>
      <c r="G43" s="2" t="inlineStr">
        <is>
          <t>OTWARTE</t>
        </is>
      </c>
    </row>
    <row r="44">
      <c r="A44" s="2" t="inlineStr">
        <is>
          <t>N43</t>
        </is>
      </c>
      <c r="B44" s="2" t="inlineStr">
        <is>
          <t>1.3 ceny konkurencji</t>
        </is>
      </c>
      <c r="C44" s="2" t="inlineStr">
        <is>
          <t>Brak cen konkurencji.</t>
        </is>
      </c>
      <c r="D44" s="2" t="inlineStr">
        <is>
          <t>Wpisać zakres z ofert (T10) albo orientacyjny SkyBitz z Capterra.</t>
        </is>
      </c>
      <c r="E44" s="2" t="inlineStr">
        <is>
          <t>K2-14, K2-15</t>
        </is>
      </c>
      <c r="F44" s="2" t="inlineStr">
        <is>
          <t>WYSOKI</t>
        </is>
      </c>
      <c r="G44" s="2" t="inlineStr">
        <is>
          <t>OTWARTE</t>
        </is>
      </c>
    </row>
    <row r="45">
      <c r="A45" s="2" t="inlineStr">
        <is>
          <t>N44</t>
        </is>
      </c>
      <c r="B45" s="2" t="inlineStr">
        <is>
          <t>Model finansowy: komentarz w Przychodach</t>
        </is>
      </c>
      <c r="C45" s="2" t="inlineStr">
        <is>
          <t>„Ekspansja CEE od 2033”, „ROI od pierwszego roku”, 5 500 PLN, spadek naczep 31,4% (z liczb 31,8%).</t>
        </is>
      </c>
      <c r="D45" s="2" t="inlineStr">
        <is>
          <t>Poprawić komentarz tak jak w N40-N42.</t>
        </is>
      </c>
      <c r="E45" s="2" t="inlineStr">
        <is>
          <t>K2-12, K2-16</t>
        </is>
      </c>
      <c r="F45" s="2" t="inlineStr">
        <is>
          <t>ŚREDNI</t>
        </is>
      </c>
      <c r="G45" s="2" t="inlineStr">
        <is>
          <t>OTWARTE</t>
        </is>
      </c>
    </row>
    <row r="46">
      <c r="A46" s="2" t="inlineStr">
        <is>
          <t>N45</t>
        </is>
      </c>
      <c r="B46" s="2" t="inlineStr">
        <is>
          <t>2.1 data wdrożenia i flota własna</t>
        </is>
      </c>
      <c r="C46" s="2" t="inlineStr">
        <is>
          <t>11.2029 vs start sprzedaży 01.2030 (D09); „20 naczep” bez floty.</t>
        </is>
      </c>
      <c r="D46" s="2" t="inlineStr">
        <is>
          <t>Ujednolicić: 01.2030; flota własna 5 zestawów w najmie, aneks do 20 (D10).</t>
        </is>
      </c>
      <c r="E46" s="2" t="inlineStr">
        <is>
          <t>K2-01, K2-06; D09, D10</t>
        </is>
      </c>
      <c r="F46" s="2" t="inlineStr">
        <is>
          <t>WYSOKI</t>
        </is>
      </c>
      <c r="G46" s="2" t="inlineStr">
        <is>
          <t>OTWARTE</t>
        </is>
      </c>
    </row>
    <row r="47">
      <c r="A47" s="2" t="inlineStr">
        <is>
          <t>N46</t>
        </is>
      </c>
      <c r="B47" s="2" t="inlineStr">
        <is>
          <t>Prezentacja z panelu</t>
        </is>
      </c>
      <c r="C47" s="2" t="inlineStr">
        <is>
          <t>600 000 naczep w Polsce i CEE.</t>
        </is>
      </c>
      <c r="D47" s="2" t="inlineStr">
        <is>
          <t>Używać jednej podstawy (TAM 544,97 tys. dla Polski).</t>
        </is>
      </c>
      <c r="E47" s="2" t="inlineStr">
        <is>
          <t>K2-05</t>
        </is>
      </c>
      <c r="F47" s="2" t="inlineStr">
        <is>
          <t>NISKI</t>
        </is>
      </c>
      <c r="G47" s="2" t="inlineStr">
        <is>
          <t>OTWARTE</t>
        </is>
      </c>
    </row>
    <row r="48">
      <c r="A48" s="2" t="inlineStr">
        <is>
          <t>N47</t>
        </is>
      </c>
      <c r="B48" s="2" t="inlineStr">
        <is>
          <t>2.1 Segment 3, Z10 pkt 3.2.2, 1.3</t>
        </is>
      </c>
      <c r="C48" s="2" t="inlineStr">
        <is>
          <t>„400 000-600 000 naczep” w CEE bez źródła; „0% substytutów”; „eFTI obejmuje wszystkich operatorów”.</t>
        </is>
      </c>
      <c r="D48" s="2" t="inlineStr">
        <is>
          <t>Usunąć lub oprzeć na Eurostacie; zamienić tezę o eFTI zgodnie z N41; złagodzić „0% substytutów”.</t>
        </is>
      </c>
      <c r="E48" s="2" t="inlineStr">
        <is>
          <t>K2-05; N41, T19</t>
        </is>
      </c>
      <c r="F48" s="2" t="inlineStr">
        <is>
          <t>WYSOKI</t>
        </is>
      </c>
      <c r="G48" s="2" t="inlineStr">
        <is>
          <t>OTWARTE</t>
        </is>
      </c>
    </row>
    <row r="49">
      <c r="A49" s="2" t="inlineStr">
        <is>
          <t>N48</t>
        </is>
      </c>
      <c r="B49" s="2" t="inlineStr">
        <is>
          <t>2.1 Etap 1 i model finansowy (komentarz Przychody)</t>
        </is>
      </c>
      <c r="C49" s="2" t="inlineStr">
        <is>
          <t>„Wdrożenie we własnej działalności”, 20 naczep wdrożenia własnego, „4 klientów” w progu 50 pojazdów.</t>
        </is>
      </c>
      <c r="D49" s="2" t="inlineStr">
        <is>
          <t>Cel 50 pojazdów u trzech operatorów (LOI na łącznie 50 naczep); wdrożenie własne opisać jako wprowadzenie usługi i integrację z TMS.</t>
        </is>
      </c>
      <c r="E49" s="2" t="inlineStr">
        <is>
          <t>K2-01; D35</t>
        </is>
      </c>
      <c r="F49" s="2" t="inlineStr">
        <is>
          <t>WYSOKI</t>
        </is>
      </c>
      <c r="G49" s="2" t="inlineStr">
        <is>
          <t>OTWARTE</t>
        </is>
      </c>
    </row>
    <row r="50">
      <c r="A50" s="2" t="inlineStr">
        <is>
          <t>N49</t>
        </is>
      </c>
      <c r="B50" s="2" t="inlineStr">
        <is>
          <t>2.1 pkt cena i opłacalność</t>
        </is>
      </c>
      <c r="C50" s="2" t="inlineStr">
        <is>
          <t>„Reklamacja śr. 3 000-15 000 PLN”, „system zwraca się przy uniknięciu jednej reklamacji rocznie”.</t>
        </is>
      </c>
      <c r="D50" s="2" t="inlineStr">
        <is>
          <t>Zastąpić obliczeniem CMR 8 489-21 222 PLN (kurs SDR 5,0954) i opisem z 1.3 (część V).</t>
        </is>
      </c>
      <c r="E50" s="2" t="inlineStr">
        <is>
          <t>K2-06; N42</t>
        </is>
      </c>
      <c r="F50" s="2" t="inlineStr">
        <is>
          <t>ŚREDNI</t>
        </is>
      </c>
      <c r="G50" s="2" t="inlineStr">
        <is>
          <t>OTWARTE</t>
        </is>
      </c>
    </row>
    <row r="51">
      <c r="A51" s="2" t="inlineStr">
        <is>
          <t>N50</t>
        </is>
      </c>
      <c r="B51" s="2" t="inlineStr">
        <is>
          <t>2.3 Rynek docelowy i Plan wprowadzenia, 2.4, 2.1 (data wdrożenia), Z10 3.2.2, model (komentarz Przychody)</t>
        </is>
      </c>
      <c r="C51" s="2" t="inlineStr">
        <is>
          <t>Wdrożenie własne na 20 naczepach, CEE 400-600 tys. bez źródła, SAM „w Polsce i regionie CEE”, reklamacja 3 000-15 000 PLN, data wdrożenia 11.2029.</t>
        </is>
      </c>
      <c r="D51" s="2" t="inlineStr">
        <is>
          <t>Wpisać nowe teksty R23 i P23 oraz zmiany z tabeli 5.3 w pliku Sekcja_1.3_i_ceny.docx.</t>
        </is>
      </c>
      <c r="E51" s="2" t="inlineStr">
        <is>
          <t>K2-01, K2-05, K2-06; D35, D09</t>
        </is>
      </c>
      <c r="F51" s="2" t="inlineStr">
        <is>
          <t>WYSOKI</t>
        </is>
      </c>
      <c r="G51" s="2" t="inlineStr">
        <is>
          <t>OTWARTE</t>
        </is>
      </c>
    </row>
    <row r="52">
      <c r="A52" s="2" t="inlineStr">
        <is>
          <t>N51</t>
        </is>
      </c>
      <c r="B52" s="2" t="inlineStr">
        <is>
          <t>2.2 Opis uzyskanych wyników i Wykazanie braku barier</t>
        </is>
      </c>
      <c r="C52" s="2" t="inlineStr">
        <is>
          <t>Wyszukiwarka sugeruje możliwe rozbieżności w opisach patentów (właściciel US 11,685,400 B2; charakter US 2013/0342653 A1 i US 7,468,660 B2; właściciel US 11,151,506 B2). NIEZWERYFIKOWANE: baz patentowych nie ma w dostępie, dane z wyszukiwarki były sprzeczne.</t>
        </is>
      </c>
      <c r="D52" s="2" t="inlineStr">
        <is>
          <t>Sprawdzić 5 patentów z wniosku w Espacenet i Google Patents (adresy w pliku, część 2). Jeśli opis się nie zgadza, poprawić. Teksty z pliku Sekcja_2.2_i_2.5 opierają się na opisach z wniosku i zawierają miejsca na status i terytorium.</t>
        </is>
      </c>
      <c r="E52" s="2" t="inlineStr">
        <is>
          <t>K2-03, K2-09; N38</t>
        </is>
      </c>
      <c r="F52" s="2" t="inlineStr">
        <is>
          <t>WYSOKI</t>
        </is>
      </c>
      <c r="G52" s="2" t="inlineStr">
        <is>
          <t>DO SPRAWDZENIA</t>
        </is>
      </c>
    </row>
    <row r="53">
      <c r="A53" s="2" t="inlineStr">
        <is>
          <t>N52</t>
        </is>
      </c>
      <c r="B53" s="2" t="inlineStr">
        <is>
          <t>2.2 Opis sposobu uregulowania praw</t>
        </is>
      </c>
      <c r="C53" s="2" t="inlineStr">
        <is>
          <t>Przeniesienie praw PRz „do 12 miesięcy po projekcie” (04.2030) vs sprzedaż od 01.2030.</t>
        </is>
      </c>
      <c r="D53" s="2" t="inlineStr">
        <is>
          <t>Wpisać harmonogram wg § 11 umowy konsorcjum: oświadczenie do 28.08.2029, wycena, przeniesienie do 30.11.2029, brak sprzedaży przed przeniesieniem (tekst 3.3 pliku Sekcja_2.2_i_2.5).</t>
        </is>
      </c>
      <c r="E53" s="2" t="inlineStr">
        <is>
          <t>K2-02; D36</t>
        </is>
      </c>
      <c r="F53" s="2" t="inlineStr">
        <is>
          <t>WYSOKI</t>
        </is>
      </c>
      <c r="G53" s="2" t="inlineStr">
        <is>
          <t>OTWARTE</t>
        </is>
      </c>
    </row>
    <row r="54">
      <c r="A54" s="2" t="inlineStr">
        <is>
          <t>N53</t>
        </is>
      </c>
      <c r="B54" s="2" t="inlineStr">
        <is>
          <t>2.5 Zasoby kadrowe, techniczne, pozostałe</t>
        </is>
      </c>
      <c r="C54" s="2" t="inlineStr">
        <is>
          <t>Brak skalowania montażu i wsparcia, parametrów chmury, podmiotu produkcji, certyfikatów i WNiP; flota testowa używana do demonstracji klientom.</t>
        </is>
      </c>
      <c r="D54" s="2" t="inlineStr">
        <is>
          <t>Wpisać teksty 4.1-4.3 z pliku; usunąć demonstracje na prototypach (K3-56).</t>
        </is>
      </c>
      <c r="E54" s="2" t="inlineStr">
        <is>
          <t>K2-04, K2-07, K2-08</t>
        </is>
      </c>
      <c r="F54" s="2" t="inlineStr">
        <is>
          <t>WYSOKI</t>
        </is>
      </c>
      <c r="G54" s="2" t="inlineStr">
        <is>
          <t>OTWARTE</t>
        </is>
      </c>
    </row>
    <row r="55">
      <c r="A55" s="2" t="inlineStr">
        <is>
          <t>N54</t>
        </is>
      </c>
      <c r="B55" s="2" t="inlineStr">
        <is>
          <t>Radar: 77 GHz vs 60 GHz</t>
        </is>
      </c>
      <c r="C55" s="2" t="inlineStr">
        <is>
          <t>Wniosek: radar FMCW 77 GHz; budżet: TI IWR6843 (60 GHz).</t>
        </is>
      </c>
      <c r="D55" s="2" t="inlineStr">
        <is>
          <t>Ujednolicić pasmo w 1.2, Z2, 2.5 i budżecie; zależy od niego ścieżka certyfikacji RED.</t>
        </is>
      </c>
      <c r="E55" s="2" t="inlineStr">
        <is>
          <t>K3-55, K2-04</t>
        </is>
      </c>
      <c r="F55" s="2" t="inlineStr">
        <is>
          <t>ŚREDNI</t>
        </is>
      </c>
      <c r="G55" s="2" t="inlineStr">
        <is>
          <t>OTWARTE</t>
        </is>
      </c>
    </row>
    <row r="56">
      <c r="A56" s="2" t="inlineStr">
        <is>
          <t>N55</t>
        </is>
      </c>
      <c r="B56" s="2" t="inlineStr">
        <is>
          <t>1.2 / W3 i opis innowacji: „pierwsza implementacja CV zabezpieczeń”</t>
        </is>
      </c>
      <c r="C56" s="2" t="inlineStr">
        <is>
          <t>Twierdzenia o braku prac o CV zabezpieczeń; istnieją patenty i prace o monitorowaniu zabezpieczeń ładunku.</t>
        </is>
      </c>
      <c r="D56" s="2" t="inlineStr">
        <is>
          <t>Zmienić na „według dostępnej dokumentacji brak systemu analizy obrazu dla naczepy”.</t>
        </is>
      </c>
      <c r="E56" s="2" t="inlineStr">
        <is>
          <t>K1-01; N33</t>
        </is>
      </c>
      <c r="F56" s="2" t="inlineStr">
        <is>
          <t>ŚREDNI</t>
        </is>
      </c>
      <c r="G56" s="2" t="inlineStr">
        <is>
          <t>OTWARTE</t>
        </is>
      </c>
    </row>
    <row r="57">
      <c r="A57" s="2" t="inlineStr">
        <is>
          <t>N56</t>
        </is>
      </c>
      <c r="B57" s="2" t="inlineStr">
        <is>
          <t>2.5: eFTI „opracowana w Z8”</t>
        </is>
      </c>
      <c r="C57" s="2" t="inlineStr">
        <is>
          <t>Numer zadania.</t>
        </is>
      </c>
      <c r="D57" s="2" t="inlineStr">
        <is>
          <t>Poprawić na Z6.</t>
        </is>
      </c>
      <c r="E57" s="2" t="inlineStr">
        <is>
          <t>K3</t>
        </is>
      </c>
      <c r="F57" s="2" t="inlineStr">
        <is>
          <t>NISKI</t>
        </is>
      </c>
      <c r="G57" s="2" t="inlineStr">
        <is>
          <t>OTWARTE</t>
        </is>
      </c>
    </row>
    <row r="58">
      <c r="A58" s="2" t="inlineStr">
        <is>
          <t>N57</t>
        </is>
      </c>
      <c r="B58" s="2" t="inlineStr">
        <is>
          <t>Model finansowy, arkusz Koszty operacyjne: koszt własny sprzedanego sprzętu</t>
        </is>
      </c>
      <c r="C58" s="2" t="inlineStr">
        <is>
          <t>Koszt komponentów zestawu w modelu: 4 875 zł za zestaw (243,75 tys. zł dla 50 sztuk w 2030 r.), czyli 65% ceny 7 500 zł. Arkusz 5 (ceny publiczne, rabat 30%) daje ok. 7 606 zł.</t>
        </is>
      </c>
      <c r="D58" s="2" t="inlineStr">
        <is>
          <t>Decyzja właścicielki (02.10.2026): koszt komponentów zostaje jak w modelu, 4 875 zł za zestaw (65% ceny). Do uspójnienia: tekst 1.3 (część V) i odpowiedź na K2-12 i K2-13 muszą podać podstawę tej kwoty (konfiguracja zestawu, źródło cen). Arkusz 5 (ok. 7,6 tys. zł przy rabacie 30%) zostaje jako ryzyko.</t>
        </is>
      </c>
      <c r="E58" s="2" t="inlineStr">
        <is>
          <t>K2-12, K2-13; D11</t>
        </is>
      </c>
      <c r="F58" s="2" t="inlineStr">
        <is>
          <t>WYSOKI</t>
        </is>
      </c>
      <c r="G58" s="2" t="inlineStr">
        <is>
          <t>DO USPÓJNIENIA</t>
        </is>
      </c>
    </row>
    <row r="59">
      <c r="A59" s="2" t="inlineStr">
        <is>
          <t>N58</t>
        </is>
      </c>
      <c r="B59" s="2" t="inlineStr">
        <is>
          <t>Model finansowy, arkusz Koszty operacyjne: komentarz</t>
        </is>
      </c>
      <c r="C59" s="2" t="inlineStr">
        <is>
          <t>„Cel 50 pojazdów w 2030 r. pokrywają już 4 kontrakty” oraz „zespół komercjalizacji” bez liczby etatów.</t>
        </is>
      </c>
      <c r="D59" s="2" t="inlineStr">
        <is>
          <t>Zmienić na trzech operatorów (D35), dopisać liczbę etatów zespołu komercjalizacji (345,6 tys. zł w 2030 r. do 1 036,8 tys. zł w 2034 r.).</t>
        </is>
      </c>
      <c r="E59" s="2" t="inlineStr">
        <is>
          <t>K2-13; D35</t>
        </is>
      </c>
      <c r="F59" s="2" t="inlineStr">
        <is>
          <t>ŚREDNI</t>
        </is>
      </c>
      <c r="G59" s="2" t="inlineStr">
        <is>
          <t>DO USPÓJNIENIA</t>
        </is>
      </c>
    </row>
    <row r="60">
      <c r="A60" s="2" t="inlineStr">
        <is>
          <t>N59</t>
        </is>
      </c>
      <c r="B60" s="2" t="inlineStr">
        <is>
          <t>6.1 vs 3.1.2: nazwy stanowisk i status współpracy</t>
        </is>
      </c>
      <c r="C60" s="2" t="inlineStr">
        <is>
          <t>„Cybersecurity Specialist” w 6.1 vs „Cybersecurity / AI Act Specialist” w 3.1.2; pole „Status współpracy” z wszystkimi opcjami; wymiar bez zadań i miesięcy.</t>
        </is>
      </c>
      <c r="D60" s="2" t="inlineStr">
        <is>
          <t>Wpisać teksty z pliku Sekcja_6.1_zespol_projektowy.docx i ujednolicić nazwy z 3.1.2.</t>
        </is>
      </c>
      <c r="E60" s="2" t="inlineStr">
        <is>
          <t>K5-10; D37</t>
        </is>
      </c>
      <c r="F60" s="2" t="inlineStr">
        <is>
          <t>WYSOKI</t>
        </is>
      </c>
      <c r="G60" s="2" t="inlineStr">
        <is>
          <t>OTWARTE</t>
        </is>
      </c>
    </row>
    <row r="61">
      <c r="A61" s="2" t="inlineStr">
        <is>
          <t>N60</t>
        </is>
      </c>
      <c r="B61" s="2" t="inlineStr">
        <is>
          <t>7.1: liczba osób w zespole</t>
        </is>
      </c>
      <c r="C61" s="2" t="inlineStr">
        <is>
          <t>„3 z 16 osób (2 z 9 u Lidera i 1 z 7 w PRz)” vs 9 osób Everest11 i 5 osób PRz z nazwiska plus osoby planowane.</t>
        </is>
      </c>
      <c r="D61" s="2" t="inlineStr">
        <is>
          <t>Sprawdzić z końcowym składem i poprawić liczby w 7.1.</t>
        </is>
      </c>
      <c r="E61" s="2" t="inlineStr">
        <is>
          <t>K5-11</t>
        </is>
      </c>
      <c r="F61" s="2" t="inlineStr">
        <is>
          <t>NISKI</t>
        </is>
      </c>
      <c r="G61" s="2" t="inlineStr">
        <is>
          <t>OTWARTE</t>
        </is>
      </c>
    </row>
    <row r="62">
      <c r="A62" s="2" t="inlineStr">
        <is>
          <t>N61</t>
        </is>
      </c>
      <c r="B62" s="2" t="inlineStr">
        <is>
          <t>Z2 i Z6: zakresy IT Specialist i Backend</t>
        </is>
      </c>
      <c r="C62" s="2" t="inlineStr">
        <is>
          <t>Nakładające się prace (strukturyzacja zbioru w Z2, API i eFTI w Z6).</t>
        </is>
      </c>
      <c r="D62" s="2" t="inlineStr">
        <is>
          <t>Rozdział wprowadzony w tekstach zadań (Opisy_zadan, uzasadnienia kosztu Z2 i Z6) i w 6.1; wpisać w LSI w tej samej postaci.</t>
        </is>
      </c>
      <c r="E62" s="2" t="inlineStr">
        <is>
          <t>K5-02</t>
        </is>
      </c>
      <c r="F62" s="2" t="inlineStr">
        <is>
          <t>ŚREDNI</t>
        </is>
      </c>
      <c r="G62" s="2" t="inlineStr">
        <is>
          <t>OTWARTE</t>
        </is>
      </c>
    </row>
    <row r="63">
      <c r="A63" s="2" t="inlineStr">
        <is>
          <t>N62</t>
        </is>
      </c>
      <c r="B63" s="2" t="inlineStr">
        <is>
          <t>6.2 Everest11: flota testowa i biuro</t>
        </is>
      </c>
      <c r="C63" s="2" t="inlineStr">
        <is>
          <t>„Zasób w posiadaniu Lidera” przy flocie; biuro bez adresu i tytułu prawnego; Z7 na infrastrukturze PRz.</t>
        </is>
      </c>
      <c r="D63" s="2" t="inlineStr">
        <is>
          <t>Wpisać pozycje z pliku Sekcja_6.2-6.4_zasoby_podwykonawca.docx; pisemne ustalenie PRz o udostępnieniu infrastruktury dla Z7 bez odpłatności.</t>
        </is>
      </c>
      <c r="E63" s="2" t="inlineStr">
        <is>
          <t>K5-12, K5-15, K5-16</t>
        </is>
      </c>
      <c r="F63" s="2" t="inlineStr">
        <is>
          <t>ŚREDNI</t>
        </is>
      </c>
      <c r="G63" s="2" t="inlineStr">
        <is>
          <t>OTWARTE</t>
        </is>
      </c>
    </row>
    <row r="64">
      <c r="A64" s="2" t="inlineStr">
        <is>
          <t>N63</t>
        </is>
      </c>
      <c r="B64" s="2" t="inlineStr">
        <is>
          <t>6.4 podwykonawca montażu</t>
        </is>
      </c>
      <c r="C64" s="2" t="inlineStr">
        <is>
          <t>Warunki minimalne bez liczby osób, doświadczenia i sposobu weryfikacji; niejasny wymóg „bez naruszenia homologacji”.</t>
        </is>
      </c>
      <c r="D64" s="2" t="inlineStr">
        <is>
          <t>Wpisać pola Kadrowe, Aparatura i Infrastruktura z pliku.</t>
        </is>
      </c>
      <c r="E64" s="2" t="inlineStr">
        <is>
          <t>K5-19</t>
        </is>
      </c>
      <c r="F64" s="2" t="inlineStr">
        <is>
          <t>ŚREDNI</t>
        </is>
      </c>
      <c r="G64" s="2" t="inlineStr">
        <is>
          <t>OTWARTE</t>
        </is>
      </c>
    </row>
    <row r="65">
      <c r="A65" s="2" t="inlineStr">
        <is>
          <t>N64</t>
        </is>
      </c>
      <c r="B65" s="2" t="inlineStr">
        <is>
          <t>7.1, 7.2, 7.3 wniosek</t>
        </is>
      </c>
      <c r="C65" s="2" t="inlineStr">
        <is>
          <t>Stary tekst: zestaw retrofit neutralny (a ma panel HMI i buzzer), 16 osób i 10 stanowisk w zespole, opisy bez konkretnych działań per artykuł</t>
        </is>
      </c>
      <c r="D65" s="2" t="inlineStr">
        <is>
          <t>Wkleić teksty z Sekcja_7_zasady_horyzontalne_6R.docx (7.1 z tabelą 7 pozycji, 7.2, 7.3)</t>
        </is>
      </c>
      <c r="E65" s="2" t="inlineStr">
        <is>
          <t>K10-01..06, K11-01, K12-01</t>
        </is>
      </c>
      <c r="F65" s="2" t="inlineStr">
        <is>
          <t>WYSOKI</t>
        </is>
      </c>
      <c r="G65" s="2" t="inlineStr">
        <is>
          <t>OTWARTE</t>
        </is>
      </c>
    </row>
    <row r="66">
      <c r="A66" s="2" t="inlineStr">
        <is>
          <t>N65</t>
        </is>
      </c>
      <c r="B66" s="2" t="inlineStr">
        <is>
          <t>7.4 i 8.2 wniosek</t>
        </is>
      </c>
      <c r="C66" s="2" t="inlineStr">
        <is>
          <t>Wariant A, reduce 65% do 80% i refuse 0% do 90%, zielone zamówienia, niszczenie w toku badań</t>
        </is>
      </c>
      <c r="D66" s="2" t="inlineStr">
        <is>
          <t>Wariant B, reduce, dwa wskaźniki z pliku; teksty trzech aktów prawnych; 8.1 PLRR051 opisy metodologii i weryfikacji</t>
        </is>
      </c>
      <c r="E66" s="2" t="inlineStr">
        <is>
          <t>K13-01..06, D17, D38</t>
        </is>
      </c>
      <c r="F66" s="2" t="inlineStr">
        <is>
          <t>WYSOKI</t>
        </is>
      </c>
      <c r="G66" s="2" t="inlineStr">
        <is>
          <t>OTWARTE</t>
        </is>
      </c>
    </row>
    <row r="67">
      <c r="A67" s="2" t="inlineStr">
        <is>
          <t>N66</t>
        </is>
      </c>
      <c r="B67" s="2" t="inlineStr">
        <is>
          <t>7.1 opis panelu dyspozytora</t>
        </is>
      </c>
      <c r="C67" s="2" t="inlineStr">
        <is>
          <t>„zaprojektowana i wdrożona” WCAG 2.1 AA</t>
        </is>
      </c>
      <c r="D67" s="2" t="inlineStr">
        <is>
          <t>Panel jako wynik projektu weryfikowany w Z9, wdrożenie komercyjne po projekcie (opisy zadań wyłączają produkcyjny dashboard)</t>
        </is>
      </c>
      <c r="E67" s="2" t="inlineStr">
        <is>
          <t>K10-04, K10-05</t>
        </is>
      </c>
      <c r="F67" s="2" t="inlineStr">
        <is>
          <t>ŚREDNI</t>
        </is>
      </c>
      <c r="G67" s="2" t="inlineStr">
        <is>
          <t>OTWARTE</t>
        </is>
      </c>
    </row>
    <row r="68">
      <c r="A68" s="2" t="inlineStr">
        <is>
          <t>N67</t>
        </is>
      </c>
      <c r="B68" s="2" t="inlineStr">
        <is>
          <t>Opisy Z1, Z6, Z7, Z9</t>
        </is>
      </c>
      <c r="C68" s="2" t="inlineStr">
        <is>
          <t>Brak kryteriów dostępności i pomiaru papieru i danych do chmury</t>
        </is>
      </c>
      <c r="D68" s="2" t="inlineStr">
        <is>
          <t>Dopisać: kryteria dostępności w specyfikacji Z1, test panelu HMI w Z7, lista kontrolna WCAG w UX Z9, liczniki papieru (Z6, Z9) i bajtów (Z7, Z9)</t>
        </is>
      </c>
      <c r="E68" s="2" t="inlineStr">
        <is>
          <t>K10-04, K13-01..04</t>
        </is>
      </c>
      <c r="F68" s="2" t="inlineStr">
        <is>
          <t>ŚREDNI</t>
        </is>
      </c>
      <c r="G68" s="2" t="inlineStr">
        <is>
          <t>OTWARTE</t>
        </is>
      </c>
    </row>
    <row r="69">
      <c r="A69" s="2" t="inlineStr">
        <is>
          <t>N68</t>
        </is>
      </c>
      <c r="B69" s="2" t="inlineStr">
        <is>
          <t>3.2.5 Koszty uproszczone i 8.1 wskaźnik wyjazdów</t>
        </is>
      </c>
      <c r="C69" s="2" t="inlineStr">
        <is>
          <t>Sekcja 3.2.5 pusta, brak wskaźnika „Zrealizowany wyjazd służbowy na 1 pracownika, Europa”</t>
        </is>
      </c>
      <c r="D69" s="2" t="inlineStr">
        <is>
          <t>Dodać 2 pozycje stawek (10-4, 10-5) i wskaźnik = 3</t>
        </is>
      </c>
      <c r="E69" s="2" t="inlineStr">
        <is>
          <t>K3-65</t>
        </is>
      </c>
      <c r="F69" s="2" t="inlineStr">
        <is>
          <t>WYSOKI</t>
        </is>
      </c>
      <c r="G69" s="2" t="inlineStr">
        <is>
          <t>OTWARTE</t>
        </is>
      </c>
    </row>
    <row r="70">
      <c r="A70" s="2" t="inlineStr">
        <is>
          <t>N69</t>
        </is>
      </c>
      <c r="B70" s="2" t="inlineStr">
        <is>
          <t>3.2.3 pozycja tłumaczenia EPO</t>
        </is>
      </c>
      <c r="C70" s="2" t="inlineStr">
        <is>
          <t>Wydatki ogółem 3 500 równe kwalifikowalnym mimo VAT 23%</t>
        </is>
      </c>
      <c r="D70" s="2" t="inlineStr">
        <is>
          <t>Ogółem 4 305</t>
        </is>
      </c>
      <c r="E70" s="2" t="inlineStr">
        <is>
          <t>K3-59</t>
        </is>
      </c>
      <c r="F70" s="2" t="inlineStr">
        <is>
          <t>NISKI</t>
        </is>
      </c>
      <c r="G70" s="2" t="inlineStr">
        <is>
          <t>OTWARTE</t>
        </is>
      </c>
    </row>
    <row r="71">
      <c r="A71" s="2" t="inlineStr">
        <is>
          <t>N70</t>
        </is>
      </c>
      <c r="B71" s="2" t="inlineStr">
        <is>
          <t>8.2 wskaźnik FENGR-001 i komentarz modelu Przychody</t>
        </is>
      </c>
      <c r="C71" s="2" t="inlineStr">
        <is>
          <t>489 300 zł jako przychód poza RP; komentarz „CEE od 2033”</t>
        </is>
      </c>
      <c r="D71" s="2" t="inlineStr">
        <is>
          <t>9 600 zł (2 licencje API CEE 2030); komentarz modelu i pkt 2.1 Segment 3 uzupełnić</t>
        </is>
      </c>
      <c r="E71" s="2" t="inlineStr">
        <is>
          <t>K14-01; D40</t>
        </is>
      </c>
      <c r="F71" s="2" t="inlineStr">
        <is>
          <t>WYSOKI</t>
        </is>
      </c>
      <c r="G71" s="2" t="inlineStr">
        <is>
          <t>OTWARTE</t>
        </is>
      </c>
    </row>
    <row r="72">
      <c r="A72" s="2" t="inlineStr">
        <is>
          <t>N71</t>
        </is>
      </c>
      <c r="B72" s="2" t="inlineStr">
        <is>
          <t>3.2.2 Z11 opis i 2.2 prawa</t>
        </is>
      </c>
      <c r="C72" s="2" t="inlineStr">
        <is>
          <t>Prawa PRz przenosi „przed zgłoszeniem”, rozliczenie „12 miesięcy po projekcie”</t>
        </is>
      </c>
      <c r="D72" s="2" t="inlineStr">
        <is>
          <t>Nowy tekst Z11: umowa o wykonywaniu wspólnych praw (§ 11 ust. 5) i terminy z § 11 (28.08.2029, 30.11.2029)</t>
        </is>
      </c>
      <c r="E72" s="2" t="inlineStr">
        <is>
          <t>K2-02; D36</t>
        </is>
      </c>
      <c r="F72" s="2" t="inlineStr">
        <is>
          <t>WYSOKI</t>
        </is>
      </c>
      <c r="G72" s="2" t="inlineStr">
        <is>
          <t>OTWARTE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54"/>
  <sheetViews>
    <sheetView workbookViewId="0">
      <pane xSplit="3" ySplit="22" topLeftCell="D23"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4" customWidth="1" min="16" max="16"/>
    <col width="14" customWidth="1" min="17" max="17"/>
    <col width="14" customWidth="1" min="18" max="18"/>
  </cols>
  <sheetData>
    <row r="1">
      <c r="A1" t="inlineStr">
        <is>
          <t>D29 (wariant właściciela): udziały czasu pracy w projekcie w trzech okresach (komórki żółte edytowalne), nakłady miesięczne = etat x udział. Wiersze kontrolne i kolumna "suma udziałów" muszą dawać 1 / 0.</t>
        </is>
      </c>
    </row>
    <row r="2">
      <c r="A2" s="19" t="inlineStr">
        <is>
          <t>Stanowisko</t>
        </is>
      </c>
      <c r="B2" s="19" t="inlineStr">
        <is>
          <t>Okres</t>
        </is>
      </c>
      <c r="C2" s="19" t="inlineStr">
        <is>
          <t>Z6</t>
        </is>
      </c>
      <c r="D2" s="19" t="inlineStr">
        <is>
          <t>Z7</t>
        </is>
      </c>
      <c r="E2" s="19" t="inlineStr">
        <is>
          <t>Z9</t>
        </is>
      </c>
      <c r="F2" s="19" t="inlineStr">
        <is>
          <t>Suma udziałów (=1)</t>
        </is>
      </c>
    </row>
    <row r="3">
      <c r="A3" t="inlineStr">
        <is>
          <t>AI Lead</t>
        </is>
      </c>
      <c r="B3" t="inlineStr">
        <is>
          <t>M19-M21</t>
        </is>
      </c>
      <c r="C3" s="20" t="n">
        <v>0.4</v>
      </c>
      <c r="D3" s="20" t="n">
        <v>0.6</v>
      </c>
      <c r="E3" s="20" t="n">
        <v>0</v>
      </c>
      <c r="F3">
        <f>SUM(C3:E3)</f>
        <v/>
      </c>
    </row>
    <row r="4">
      <c r="A4" t="inlineStr">
        <is>
          <t>AI Lead</t>
        </is>
      </c>
      <c r="B4" t="inlineStr">
        <is>
          <t>M22-M27</t>
        </is>
      </c>
      <c r="C4" s="20">
        <f>1/3</f>
        <v/>
      </c>
      <c r="D4" s="20">
        <f>1/3</f>
        <v/>
      </c>
      <c r="E4" s="20">
        <f>1/3</f>
        <v/>
      </c>
      <c r="F4">
        <f>SUM(C4:E4)</f>
        <v/>
      </c>
    </row>
    <row r="5">
      <c r="A5" t="inlineStr">
        <is>
          <t>AI Lead</t>
        </is>
      </c>
      <c r="B5" t="inlineStr">
        <is>
          <t>M28-M30</t>
        </is>
      </c>
      <c r="C5" s="20" t="n">
        <v>0</v>
      </c>
      <c r="D5" s="20" t="n">
        <v>0</v>
      </c>
      <c r="E5" s="20" t="n">
        <v>1</v>
      </c>
      <c r="F5">
        <f>SUM(C5:E5)</f>
        <v/>
      </c>
    </row>
    <row r="6">
      <c r="A6" t="inlineStr">
        <is>
          <t>AI Senior Engineer</t>
        </is>
      </c>
      <c r="B6" t="inlineStr">
        <is>
          <t>M19-M21</t>
        </is>
      </c>
      <c r="C6" s="20" t="n">
        <v>0.4</v>
      </c>
      <c r="D6" s="20" t="n">
        <v>0.6</v>
      </c>
      <c r="E6" s="20" t="n">
        <v>0</v>
      </c>
      <c r="F6">
        <f>SUM(C6:E6)</f>
        <v/>
      </c>
    </row>
    <row r="7">
      <c r="A7" t="inlineStr">
        <is>
          <t>AI Senior Engineer</t>
        </is>
      </c>
      <c r="B7" t="inlineStr">
        <is>
          <t>M22-M27</t>
        </is>
      </c>
      <c r="C7" s="20">
        <f>1/3</f>
        <v/>
      </c>
      <c r="D7" s="20">
        <f>1/3</f>
        <v/>
      </c>
      <c r="E7" s="20">
        <f>1/3</f>
        <v/>
      </c>
      <c r="F7">
        <f>SUM(C7:E7)</f>
        <v/>
      </c>
    </row>
    <row r="8">
      <c r="A8" t="inlineStr">
        <is>
          <t>AI Senior Engineer</t>
        </is>
      </c>
      <c r="B8" t="inlineStr">
        <is>
          <t>M28-M30</t>
        </is>
      </c>
      <c r="C8" s="20" t="n">
        <v>0</v>
      </c>
      <c r="D8" s="20" t="n">
        <v>0</v>
      </c>
      <c r="E8" s="20" t="n">
        <v>1</v>
      </c>
      <c r="F8">
        <f>SUM(C8:E8)</f>
        <v/>
      </c>
    </row>
    <row r="9">
      <c r="A9" t="inlineStr">
        <is>
          <t>Cybersecurity / AI Act Specialist</t>
        </is>
      </c>
      <c r="B9" t="inlineStr">
        <is>
          <t>M19-M21</t>
        </is>
      </c>
      <c r="C9" s="20" t="n">
        <v>0.4</v>
      </c>
      <c r="D9" s="20" t="n">
        <v>0.6</v>
      </c>
      <c r="E9" s="20" t="n">
        <v>0</v>
      </c>
      <c r="F9">
        <f>SUM(C9:E9)</f>
        <v/>
      </c>
    </row>
    <row r="10">
      <c r="A10" t="inlineStr">
        <is>
          <t>Cybersecurity / AI Act Specialist</t>
        </is>
      </c>
      <c r="B10" t="inlineStr">
        <is>
          <t>M22-M27</t>
        </is>
      </c>
      <c r="C10" s="20" t="n">
        <v>0.2</v>
      </c>
      <c r="D10" s="20" t="n">
        <v>0.4</v>
      </c>
      <c r="E10" s="20" t="n">
        <v>0.4</v>
      </c>
      <c r="F10">
        <f>SUM(C10:E10)</f>
        <v/>
      </c>
    </row>
    <row r="11">
      <c r="A11" t="inlineStr">
        <is>
          <t>Cybersecurity / AI Act Specialist</t>
        </is>
      </c>
      <c r="B11" t="inlineStr">
        <is>
          <t>M28-M30</t>
        </is>
      </c>
      <c r="C11" s="20" t="n">
        <v>0</v>
      </c>
      <c r="D11" s="20" t="n">
        <v>0</v>
      </c>
      <c r="E11" s="20" t="n">
        <v>1</v>
      </c>
      <c r="F11">
        <f>SUM(C11:E11)</f>
        <v/>
      </c>
    </row>
    <row r="12">
      <c r="A12" t="inlineStr">
        <is>
          <t>IT Specialist</t>
        </is>
      </c>
      <c r="B12" t="inlineStr">
        <is>
          <t>M19-M21</t>
        </is>
      </c>
      <c r="C12" s="20" t="n">
        <v>0.4</v>
      </c>
      <c r="D12" s="20" t="n">
        <v>0.6</v>
      </c>
      <c r="E12" s="20" t="n">
        <v>0</v>
      </c>
      <c r="F12">
        <f>SUM(C12:E12)</f>
        <v/>
      </c>
    </row>
    <row r="13">
      <c r="A13" t="inlineStr">
        <is>
          <t>IT Specialist</t>
        </is>
      </c>
      <c r="B13" t="inlineStr">
        <is>
          <t>M22-M27</t>
        </is>
      </c>
      <c r="C13" s="20">
        <f>1/3</f>
        <v/>
      </c>
      <c r="D13" s="20">
        <f>1/3</f>
        <v/>
      </c>
      <c r="E13" s="20">
        <f>1/3</f>
        <v/>
      </c>
      <c r="F13">
        <f>SUM(C13:E13)</f>
        <v/>
      </c>
    </row>
    <row r="14">
      <c r="A14" t="inlineStr">
        <is>
          <t>IT Specialist</t>
        </is>
      </c>
      <c r="B14" t="inlineStr">
        <is>
          <t>M28-M30</t>
        </is>
      </c>
      <c r="C14" s="20" t="n">
        <v>0</v>
      </c>
      <c r="D14" s="20" t="n">
        <v>0</v>
      </c>
      <c r="E14" s="20" t="n">
        <v>1</v>
      </c>
      <c r="F14">
        <f>SUM(C14:E14)</f>
        <v/>
      </c>
    </row>
    <row r="15">
      <c r="A15" t="inlineStr">
        <is>
          <t>IoT Specialist</t>
        </is>
      </c>
      <c r="B15" t="inlineStr">
        <is>
          <t>M19-M21</t>
        </is>
      </c>
      <c r="C15" s="20" t="n">
        <v>0.4</v>
      </c>
      <c r="D15" s="20" t="n">
        <v>0.6</v>
      </c>
      <c r="E15" s="20" t="n">
        <v>0</v>
      </c>
      <c r="F15">
        <f>SUM(C15:E15)</f>
        <v/>
      </c>
    </row>
    <row r="16">
      <c r="A16" t="inlineStr">
        <is>
          <t>IoT Specialist</t>
        </is>
      </c>
      <c r="B16" t="inlineStr">
        <is>
          <t>M22-M27</t>
        </is>
      </c>
      <c r="C16" s="20" t="n">
        <v>0.2</v>
      </c>
      <c r="D16" s="20" t="n">
        <v>0.4</v>
      </c>
      <c r="E16" s="20" t="n">
        <v>0.4</v>
      </c>
      <c r="F16">
        <f>SUM(C16:E16)</f>
        <v/>
      </c>
    </row>
    <row r="17">
      <c r="A17" t="inlineStr">
        <is>
          <t>IoT Specialist</t>
        </is>
      </c>
      <c r="B17" t="inlineStr">
        <is>
          <t>M28-M30</t>
        </is>
      </c>
      <c r="C17" s="20" t="n">
        <v>0</v>
      </c>
      <c r="D17" s="20" t="n">
        <v>0</v>
      </c>
      <c r="E17" s="20" t="n">
        <v>1</v>
      </c>
      <c r="F17">
        <f>SUM(C17:E17)</f>
        <v/>
      </c>
    </row>
    <row r="18">
      <c r="A18" t="inlineStr">
        <is>
          <t>Specjalista ds. logistyki TSL</t>
        </is>
      </c>
      <c r="B18" t="inlineStr">
        <is>
          <t>M19-M21</t>
        </is>
      </c>
      <c r="C18" s="20" t="n">
        <v>0.4</v>
      </c>
      <c r="D18" s="20" t="n">
        <v>0.6</v>
      </c>
      <c r="E18" s="20" t="n">
        <v>0</v>
      </c>
      <c r="F18">
        <f>SUM(C18:E18)</f>
        <v/>
      </c>
    </row>
    <row r="19">
      <c r="A19" t="inlineStr">
        <is>
          <t>Specjalista ds. logistyki TSL</t>
        </is>
      </c>
      <c r="B19" t="inlineStr">
        <is>
          <t>M22-M27</t>
        </is>
      </c>
      <c r="C19" s="20" t="n">
        <v>0.2</v>
      </c>
      <c r="D19" s="20" t="n">
        <v>0.3</v>
      </c>
      <c r="E19" s="20" t="n">
        <v>0.5</v>
      </c>
      <c r="F19">
        <f>SUM(C19:E19)</f>
        <v/>
      </c>
    </row>
    <row r="20">
      <c r="A20" t="inlineStr">
        <is>
          <t>Specjalista ds. logistyki TSL</t>
        </is>
      </c>
      <c r="B20" t="inlineStr">
        <is>
          <t>M28-M30</t>
        </is>
      </c>
      <c r="C20" s="20" t="n">
        <v>0</v>
      </c>
      <c r="D20" s="20" t="n">
        <v>0</v>
      </c>
      <c r="E20" s="20" t="n">
        <v>1</v>
      </c>
      <c r="F20">
        <f>SUM(C20:E20)</f>
        <v/>
      </c>
    </row>
    <row r="22">
      <c r="A22" s="15" t="inlineStr">
        <is>
          <t>Stanowisko</t>
        </is>
      </c>
      <c r="B22" s="15" t="inlineStr">
        <is>
          <t>Zadanie</t>
        </is>
      </c>
      <c r="C22" s="15" t="inlineStr">
        <is>
          <t>Etat</t>
        </is>
      </c>
      <c r="D22" s="15" t="inlineStr">
        <is>
          <t>M19</t>
        </is>
      </c>
      <c r="E22" s="15" t="inlineStr">
        <is>
          <t>M20</t>
        </is>
      </c>
      <c r="F22" s="15" t="inlineStr">
        <is>
          <t>M21</t>
        </is>
      </c>
      <c r="G22" s="15" t="inlineStr">
        <is>
          <t>M22</t>
        </is>
      </c>
      <c r="H22" s="15" t="inlineStr">
        <is>
          <t>M23</t>
        </is>
      </c>
      <c r="I22" s="15" t="inlineStr">
        <is>
          <t>M24</t>
        </is>
      </c>
      <c r="J22" s="15" t="inlineStr">
        <is>
          <t>M25</t>
        </is>
      </c>
      <c r="K22" s="15" t="inlineStr">
        <is>
          <t>M26</t>
        </is>
      </c>
      <c r="L22" s="15" t="inlineStr">
        <is>
          <t>M27</t>
        </is>
      </c>
      <c r="M22" s="15" t="inlineStr">
        <is>
          <t>M28</t>
        </is>
      </c>
      <c r="N22" s="15" t="inlineStr">
        <is>
          <t>M29</t>
        </is>
      </c>
      <c r="O22" s="15" t="inlineStr">
        <is>
          <t>M30</t>
        </is>
      </c>
      <c r="P22" s="15" t="inlineStr">
        <is>
          <t>Etatomiesiące</t>
        </is>
      </c>
      <c r="Q22" s="15" t="inlineStr">
        <is>
          <t>Stawka brutto/mc</t>
        </is>
      </c>
      <c r="R22" s="15" t="inlineStr">
        <is>
          <t>Koszt zł</t>
        </is>
      </c>
    </row>
    <row r="23">
      <c r="A23" t="inlineStr">
        <is>
          <t>AI Lead</t>
        </is>
      </c>
      <c r="B23" t="inlineStr">
        <is>
          <t>Z6</t>
        </is>
      </c>
      <c r="C23" t="n">
        <v>0.75</v>
      </c>
      <c r="D23">
        <f>$C23*$C$3</f>
        <v/>
      </c>
      <c r="E23">
        <f>$C23*$C$3</f>
        <v/>
      </c>
      <c r="F23">
        <f>$C23*$C$3</f>
        <v/>
      </c>
      <c r="G23">
        <f>$C23*$C$4</f>
        <v/>
      </c>
      <c r="H23">
        <f>$C23*$C$4</f>
        <v/>
      </c>
      <c r="I23">
        <f>$C23*$C$4</f>
        <v/>
      </c>
      <c r="J23">
        <f>$C23*$C$4</f>
        <v/>
      </c>
      <c r="K23">
        <f>$C23*$C$4</f>
        <v/>
      </c>
      <c r="L23">
        <f>$C23*$C$4</f>
        <v/>
      </c>
      <c r="M23">
        <f>$C23*$C$5</f>
        <v/>
      </c>
      <c r="N23">
        <f>$C23*$C$5</f>
        <v/>
      </c>
      <c r="O23">
        <f>$C23*$C$5</f>
        <v/>
      </c>
      <c r="P23">
        <f>SUM(D23:O23)</f>
        <v/>
      </c>
      <c r="Q23" t="n">
        <v>23000</v>
      </c>
      <c r="R23">
        <f>ROUND(Q23*1.205*P23,2)</f>
        <v/>
      </c>
    </row>
    <row r="24">
      <c r="A24" t="inlineStr">
        <is>
          <t>AI Lead</t>
        </is>
      </c>
      <c r="B24" t="inlineStr">
        <is>
          <t>Z7</t>
        </is>
      </c>
      <c r="C24" t="n">
        <v>0.75</v>
      </c>
      <c r="D24">
        <f>$C24*$D$3</f>
        <v/>
      </c>
      <c r="E24">
        <f>$C24*$D$3</f>
        <v/>
      </c>
      <c r="F24">
        <f>$C24*$D$3</f>
        <v/>
      </c>
      <c r="G24">
        <f>$C24*$D$4</f>
        <v/>
      </c>
      <c r="H24">
        <f>$C24*$D$4</f>
        <v/>
      </c>
      <c r="I24">
        <f>$C24*$D$4</f>
        <v/>
      </c>
      <c r="J24">
        <f>$C24*$D$4</f>
        <v/>
      </c>
      <c r="K24">
        <f>$C24*$D$4</f>
        <v/>
      </c>
      <c r="L24">
        <f>$C24*$D$4</f>
        <v/>
      </c>
      <c r="M24">
        <f>$C24*$D$5</f>
        <v/>
      </c>
      <c r="N24">
        <f>$C24*$D$5</f>
        <v/>
      </c>
      <c r="O24">
        <f>$C24*$D$5</f>
        <v/>
      </c>
      <c r="P24">
        <f>SUM(D24:O24)</f>
        <v/>
      </c>
      <c r="Q24" t="n">
        <v>23000</v>
      </c>
      <c r="R24">
        <f>ROUND(Q24*1.205*P24,2)</f>
        <v/>
      </c>
    </row>
    <row r="25">
      <c r="A25" t="inlineStr">
        <is>
          <t>AI Lead</t>
        </is>
      </c>
      <c r="B25" t="inlineStr">
        <is>
          <t>Z9</t>
        </is>
      </c>
      <c r="C25" t="n">
        <v>0.75</v>
      </c>
      <c r="D25">
        <f>$C25*$E$3</f>
        <v/>
      </c>
      <c r="E25">
        <f>$C25*$E$3</f>
        <v/>
      </c>
      <c r="F25">
        <f>$C25*$E$3</f>
        <v/>
      </c>
      <c r="G25">
        <f>$C25*$E$4</f>
        <v/>
      </c>
      <c r="H25">
        <f>$C25*$E$4</f>
        <v/>
      </c>
      <c r="I25">
        <f>$C25*$E$4</f>
        <v/>
      </c>
      <c r="J25">
        <f>$C25*$E$4</f>
        <v/>
      </c>
      <c r="K25">
        <f>$C25*$E$4</f>
        <v/>
      </c>
      <c r="L25">
        <f>$C25*$E$4</f>
        <v/>
      </c>
      <c r="M25">
        <f>$C25*$E$5</f>
        <v/>
      </c>
      <c r="N25">
        <f>$C25*$E$5</f>
        <v/>
      </c>
      <c r="O25">
        <f>$C25*$E$5</f>
        <v/>
      </c>
      <c r="P25">
        <f>SUM(D25:O25)</f>
        <v/>
      </c>
      <c r="Q25" t="n">
        <v>23000</v>
      </c>
      <c r="R25">
        <f>ROUND(Q23*1.205*C23*12,2)-R23-R24</f>
        <v/>
      </c>
    </row>
    <row r="26">
      <c r="A26" s="17" t="inlineStr">
        <is>
          <t>kontrola: suma miesięczna - etat (AI Lead)</t>
        </is>
      </c>
      <c r="B26" s="17" t="inlineStr"/>
      <c r="C26" s="17" t="inlineStr"/>
      <c r="D26" s="17">
        <f>ROUND(D23+D24+D25-$C$23,6)</f>
        <v/>
      </c>
      <c r="E26" s="17">
        <f>ROUND(E23+E24+E25-$C$23,6)</f>
        <v/>
      </c>
      <c r="F26" s="17">
        <f>ROUND(F23+F24+F25-$C$23,6)</f>
        <v/>
      </c>
      <c r="G26" s="17">
        <f>ROUND(G23+G24+G25-$C$23,6)</f>
        <v/>
      </c>
      <c r="H26" s="17">
        <f>ROUND(H23+H24+H25-$C$23,6)</f>
        <v/>
      </c>
      <c r="I26" s="17">
        <f>ROUND(I23+I24+I25-$C$23,6)</f>
        <v/>
      </c>
      <c r="J26" s="17">
        <f>ROUND(J23+J24+J25-$C$23,6)</f>
        <v/>
      </c>
      <c r="K26" s="17">
        <f>ROUND(K23+K24+K25-$C$23,6)</f>
        <v/>
      </c>
      <c r="L26" s="17">
        <f>ROUND(L23+L24+L25-$C$23,6)</f>
        <v/>
      </c>
      <c r="M26" s="17">
        <f>ROUND(M23+M24+M25-$C$23,6)</f>
        <v/>
      </c>
      <c r="N26" s="17">
        <f>ROUND(N23+N24+N25-$C$23,6)</f>
        <v/>
      </c>
      <c r="O26" s="17">
        <f>ROUND(O23+O24+O25-$C$23,6)</f>
        <v/>
      </c>
      <c r="P26" s="17">
        <f>ROUND(P23+P24+P25-12*C23,6)</f>
        <v/>
      </c>
      <c r="Q26" s="17" t="inlineStr"/>
      <c r="R26" s="17">
        <f>R23+R24+R25</f>
        <v/>
      </c>
    </row>
    <row r="27">
      <c r="A27" t="inlineStr">
        <is>
          <t>AI Senior Engineer</t>
        </is>
      </c>
      <c r="B27" t="inlineStr">
        <is>
          <t>Z6</t>
        </is>
      </c>
      <c r="C27" t="n">
        <v>0.75</v>
      </c>
      <c r="D27">
        <f>$C27*$C$6</f>
        <v/>
      </c>
      <c r="E27">
        <f>$C27*$C$6</f>
        <v/>
      </c>
      <c r="F27">
        <f>$C27*$C$6</f>
        <v/>
      </c>
      <c r="G27">
        <f>$C27*$C$7</f>
        <v/>
      </c>
      <c r="H27">
        <f>$C27*$C$7</f>
        <v/>
      </c>
      <c r="I27">
        <f>$C27*$C$7</f>
        <v/>
      </c>
      <c r="J27">
        <f>$C27*$C$7</f>
        <v/>
      </c>
      <c r="K27">
        <f>$C27*$C$7</f>
        <v/>
      </c>
      <c r="L27">
        <f>$C27*$C$7</f>
        <v/>
      </c>
      <c r="M27">
        <f>$C27*$C$8</f>
        <v/>
      </c>
      <c r="N27">
        <f>$C27*$C$8</f>
        <v/>
      </c>
      <c r="O27">
        <f>$C27*$C$8</f>
        <v/>
      </c>
      <c r="P27">
        <f>SUM(D27:O27)</f>
        <v/>
      </c>
      <c r="Q27" t="n">
        <v>16500</v>
      </c>
      <c r="R27">
        <f>ROUND(Q27*1.205*P27,2)</f>
        <v/>
      </c>
    </row>
    <row r="28">
      <c r="A28" t="inlineStr">
        <is>
          <t>AI Senior Engineer</t>
        </is>
      </c>
      <c r="B28" t="inlineStr">
        <is>
          <t>Z7</t>
        </is>
      </c>
      <c r="C28" t="n">
        <v>0.75</v>
      </c>
      <c r="D28">
        <f>$C28*$D$6</f>
        <v/>
      </c>
      <c r="E28">
        <f>$C28*$D$6</f>
        <v/>
      </c>
      <c r="F28">
        <f>$C28*$D$6</f>
        <v/>
      </c>
      <c r="G28">
        <f>$C28*$D$7</f>
        <v/>
      </c>
      <c r="H28">
        <f>$C28*$D$7</f>
        <v/>
      </c>
      <c r="I28">
        <f>$C28*$D$7</f>
        <v/>
      </c>
      <c r="J28">
        <f>$C28*$D$7</f>
        <v/>
      </c>
      <c r="K28">
        <f>$C28*$D$7</f>
        <v/>
      </c>
      <c r="L28">
        <f>$C28*$D$7</f>
        <v/>
      </c>
      <c r="M28">
        <f>$C28*$D$8</f>
        <v/>
      </c>
      <c r="N28">
        <f>$C28*$D$8</f>
        <v/>
      </c>
      <c r="O28">
        <f>$C28*$D$8</f>
        <v/>
      </c>
      <c r="P28">
        <f>SUM(D28:O28)</f>
        <v/>
      </c>
      <c r="Q28" t="n">
        <v>16500</v>
      </c>
      <c r="R28">
        <f>ROUND(Q28*1.205*P28,2)</f>
        <v/>
      </c>
    </row>
    <row r="29">
      <c r="A29" t="inlineStr">
        <is>
          <t>AI Senior Engineer</t>
        </is>
      </c>
      <c r="B29" t="inlineStr">
        <is>
          <t>Z9</t>
        </is>
      </c>
      <c r="C29" t="n">
        <v>0.75</v>
      </c>
      <c r="D29">
        <f>$C29*$E$6</f>
        <v/>
      </c>
      <c r="E29">
        <f>$C29*$E$6</f>
        <v/>
      </c>
      <c r="F29">
        <f>$C29*$E$6</f>
        <v/>
      </c>
      <c r="G29">
        <f>$C29*$E$7</f>
        <v/>
      </c>
      <c r="H29">
        <f>$C29*$E$7</f>
        <v/>
      </c>
      <c r="I29">
        <f>$C29*$E$7</f>
        <v/>
      </c>
      <c r="J29">
        <f>$C29*$E$7</f>
        <v/>
      </c>
      <c r="K29">
        <f>$C29*$E$7</f>
        <v/>
      </c>
      <c r="L29">
        <f>$C29*$E$7</f>
        <v/>
      </c>
      <c r="M29">
        <f>$C29*$E$8</f>
        <v/>
      </c>
      <c r="N29">
        <f>$C29*$E$8</f>
        <v/>
      </c>
      <c r="O29">
        <f>$C29*$E$8</f>
        <v/>
      </c>
      <c r="P29">
        <f>SUM(D29:O29)</f>
        <v/>
      </c>
      <c r="Q29" t="n">
        <v>16500</v>
      </c>
      <c r="R29">
        <f>ROUND(Q27*1.205*C27*12,2)-R27-R28</f>
        <v/>
      </c>
    </row>
    <row r="30">
      <c r="A30" s="17" t="inlineStr">
        <is>
          <t>kontrola: suma miesięczna - etat (AI Senior Engineer)</t>
        </is>
      </c>
      <c r="B30" s="17" t="inlineStr"/>
      <c r="C30" s="17" t="inlineStr"/>
      <c r="D30" s="17">
        <f>ROUND(D27+D28+D29-$C$27,6)</f>
        <v/>
      </c>
      <c r="E30" s="17">
        <f>ROUND(E27+E28+E29-$C$27,6)</f>
        <v/>
      </c>
      <c r="F30" s="17">
        <f>ROUND(F27+F28+F29-$C$27,6)</f>
        <v/>
      </c>
      <c r="G30" s="17">
        <f>ROUND(G27+G28+G29-$C$27,6)</f>
        <v/>
      </c>
      <c r="H30" s="17">
        <f>ROUND(H27+H28+H29-$C$27,6)</f>
        <v/>
      </c>
      <c r="I30" s="17">
        <f>ROUND(I27+I28+I29-$C$27,6)</f>
        <v/>
      </c>
      <c r="J30" s="17">
        <f>ROUND(J27+J28+J29-$C$27,6)</f>
        <v/>
      </c>
      <c r="K30" s="17">
        <f>ROUND(K27+K28+K29-$C$27,6)</f>
        <v/>
      </c>
      <c r="L30" s="17">
        <f>ROUND(L27+L28+L29-$C$27,6)</f>
        <v/>
      </c>
      <c r="M30" s="17">
        <f>ROUND(M27+M28+M29-$C$27,6)</f>
        <v/>
      </c>
      <c r="N30" s="17">
        <f>ROUND(N27+N28+N29-$C$27,6)</f>
        <v/>
      </c>
      <c r="O30" s="17">
        <f>ROUND(O27+O28+O29-$C$27,6)</f>
        <v/>
      </c>
      <c r="P30" s="17">
        <f>ROUND(P27+P28+P29-12*C27,6)</f>
        <v/>
      </c>
      <c r="Q30" s="17" t="inlineStr"/>
      <c r="R30" s="17">
        <f>R27+R28+R29</f>
        <v/>
      </c>
    </row>
    <row r="31">
      <c r="A31" t="inlineStr">
        <is>
          <t>Cybersecurity / AI Act Specialist</t>
        </is>
      </c>
      <c r="B31" t="inlineStr">
        <is>
          <t>Z6</t>
        </is>
      </c>
      <c r="C31" t="n">
        <v>0.25</v>
      </c>
      <c r="D31">
        <f>$C31*$C$9</f>
        <v/>
      </c>
      <c r="E31">
        <f>$C31*$C$9</f>
        <v/>
      </c>
      <c r="F31">
        <f>$C31*$C$9</f>
        <v/>
      </c>
      <c r="G31">
        <f>$C31*$C$10</f>
        <v/>
      </c>
      <c r="H31">
        <f>$C31*$C$10</f>
        <v/>
      </c>
      <c r="I31">
        <f>$C31*$C$10</f>
        <v/>
      </c>
      <c r="J31">
        <f>$C31*$C$10</f>
        <v/>
      </c>
      <c r="K31">
        <f>$C31*$C$10</f>
        <v/>
      </c>
      <c r="L31">
        <f>$C31*$C$10</f>
        <v/>
      </c>
      <c r="M31">
        <f>$C31*$C$11</f>
        <v/>
      </c>
      <c r="N31">
        <f>$C31*$C$11</f>
        <v/>
      </c>
      <c r="O31">
        <f>$C31*$C$11</f>
        <v/>
      </c>
      <c r="P31">
        <f>SUM(D31:O31)</f>
        <v/>
      </c>
      <c r="Q31" t="n">
        <v>21000</v>
      </c>
      <c r="R31">
        <f>ROUND(Q31*1.205*P31,2)</f>
        <v/>
      </c>
    </row>
    <row r="32">
      <c r="A32" t="inlineStr">
        <is>
          <t>Cybersecurity / AI Act Specialist</t>
        </is>
      </c>
      <c r="B32" t="inlineStr">
        <is>
          <t>Z7</t>
        </is>
      </c>
      <c r="C32" t="n">
        <v>0.25</v>
      </c>
      <c r="D32">
        <f>$C32*$D$9</f>
        <v/>
      </c>
      <c r="E32">
        <f>$C32*$D$9</f>
        <v/>
      </c>
      <c r="F32">
        <f>$C32*$D$9</f>
        <v/>
      </c>
      <c r="G32">
        <f>$C32*$D$10</f>
        <v/>
      </c>
      <c r="H32">
        <f>$C32*$D$10</f>
        <v/>
      </c>
      <c r="I32">
        <f>$C32*$D$10</f>
        <v/>
      </c>
      <c r="J32">
        <f>$C32*$D$10</f>
        <v/>
      </c>
      <c r="K32">
        <f>$C32*$D$10</f>
        <v/>
      </c>
      <c r="L32">
        <f>$C32*$D$10</f>
        <v/>
      </c>
      <c r="M32">
        <f>$C32*$D$11</f>
        <v/>
      </c>
      <c r="N32">
        <f>$C32*$D$11</f>
        <v/>
      </c>
      <c r="O32">
        <f>$C32*$D$11</f>
        <v/>
      </c>
      <c r="P32">
        <f>SUM(D32:O32)</f>
        <v/>
      </c>
      <c r="Q32" t="n">
        <v>21000</v>
      </c>
      <c r="R32">
        <f>ROUND(Q32*1.205*P32,2)</f>
        <v/>
      </c>
    </row>
    <row r="33">
      <c r="A33" t="inlineStr">
        <is>
          <t>Cybersecurity / AI Act Specialist</t>
        </is>
      </c>
      <c r="B33" t="inlineStr">
        <is>
          <t>Z9</t>
        </is>
      </c>
      <c r="C33" t="n">
        <v>0.25</v>
      </c>
      <c r="D33">
        <f>$C33*$E$9</f>
        <v/>
      </c>
      <c r="E33">
        <f>$C33*$E$9</f>
        <v/>
      </c>
      <c r="F33">
        <f>$C33*$E$9</f>
        <v/>
      </c>
      <c r="G33">
        <f>$C33*$E$10</f>
        <v/>
      </c>
      <c r="H33">
        <f>$C33*$E$10</f>
        <v/>
      </c>
      <c r="I33">
        <f>$C33*$E$10</f>
        <v/>
      </c>
      <c r="J33">
        <f>$C33*$E$10</f>
        <v/>
      </c>
      <c r="K33">
        <f>$C33*$E$10</f>
        <v/>
      </c>
      <c r="L33">
        <f>$C33*$E$10</f>
        <v/>
      </c>
      <c r="M33">
        <f>$C33*$E$11</f>
        <v/>
      </c>
      <c r="N33">
        <f>$C33*$E$11</f>
        <v/>
      </c>
      <c r="O33">
        <f>$C33*$E$11</f>
        <v/>
      </c>
      <c r="P33">
        <f>SUM(D33:O33)</f>
        <v/>
      </c>
      <c r="Q33" t="n">
        <v>21000</v>
      </c>
      <c r="R33">
        <f>ROUND(Q31*1.205*C31*12,2)-R31-R32</f>
        <v/>
      </c>
    </row>
    <row r="34">
      <c r="A34" s="17" t="inlineStr">
        <is>
          <t>kontrola: suma miesięczna - etat (Cybersecurity / AI Act Specialist)</t>
        </is>
      </c>
      <c r="B34" s="17" t="inlineStr"/>
      <c r="C34" s="17" t="inlineStr"/>
      <c r="D34" s="17">
        <f>ROUND(D31+D32+D33-$C$31,6)</f>
        <v/>
      </c>
      <c r="E34" s="17">
        <f>ROUND(E31+E32+E33-$C$31,6)</f>
        <v/>
      </c>
      <c r="F34" s="17">
        <f>ROUND(F31+F32+F33-$C$31,6)</f>
        <v/>
      </c>
      <c r="G34" s="17">
        <f>ROUND(G31+G32+G33-$C$31,6)</f>
        <v/>
      </c>
      <c r="H34" s="17">
        <f>ROUND(H31+H32+H33-$C$31,6)</f>
        <v/>
      </c>
      <c r="I34" s="17">
        <f>ROUND(I31+I32+I33-$C$31,6)</f>
        <v/>
      </c>
      <c r="J34" s="17">
        <f>ROUND(J31+J32+J33-$C$31,6)</f>
        <v/>
      </c>
      <c r="K34" s="17">
        <f>ROUND(K31+K32+K33-$C$31,6)</f>
        <v/>
      </c>
      <c r="L34" s="17">
        <f>ROUND(L31+L32+L33-$C$31,6)</f>
        <v/>
      </c>
      <c r="M34" s="17">
        <f>ROUND(M31+M32+M33-$C$31,6)</f>
        <v/>
      </c>
      <c r="N34" s="17">
        <f>ROUND(N31+N32+N33-$C$31,6)</f>
        <v/>
      </c>
      <c r="O34" s="17">
        <f>ROUND(O31+O32+O33-$C$31,6)</f>
        <v/>
      </c>
      <c r="P34" s="17">
        <f>ROUND(P31+P32+P33-12*C31,6)</f>
        <v/>
      </c>
      <c r="Q34" s="17" t="inlineStr"/>
      <c r="R34" s="17">
        <f>R31+R32+R33</f>
        <v/>
      </c>
    </row>
    <row r="35">
      <c r="A35" t="inlineStr">
        <is>
          <t>IT Specialist</t>
        </is>
      </c>
      <c r="B35" t="inlineStr">
        <is>
          <t>Z6</t>
        </is>
      </c>
      <c r="C35" t="n">
        <v>1</v>
      </c>
      <c r="D35">
        <f>$C35*$C$12</f>
        <v/>
      </c>
      <c r="E35">
        <f>$C35*$C$12</f>
        <v/>
      </c>
      <c r="F35">
        <f>$C35*$C$12</f>
        <v/>
      </c>
      <c r="G35">
        <f>$C35*$C$13</f>
        <v/>
      </c>
      <c r="H35">
        <f>$C35*$C$13</f>
        <v/>
      </c>
      <c r="I35">
        <f>$C35*$C$13</f>
        <v/>
      </c>
      <c r="J35">
        <f>$C35*$C$13</f>
        <v/>
      </c>
      <c r="K35">
        <f>$C35*$C$13</f>
        <v/>
      </c>
      <c r="L35">
        <f>$C35*$C$13</f>
        <v/>
      </c>
      <c r="M35">
        <f>$C35*$C$14</f>
        <v/>
      </c>
      <c r="N35">
        <f>$C35*$C$14</f>
        <v/>
      </c>
      <c r="O35">
        <f>$C35*$C$14</f>
        <v/>
      </c>
      <c r="P35">
        <f>SUM(D35:O35)</f>
        <v/>
      </c>
      <c r="Q35" t="n">
        <v>19000</v>
      </c>
      <c r="R35">
        <f>ROUND(Q35*1.205*P35,2)</f>
        <v/>
      </c>
    </row>
    <row r="36">
      <c r="A36" t="inlineStr">
        <is>
          <t>IT Specialist</t>
        </is>
      </c>
      <c r="B36" t="inlineStr">
        <is>
          <t>Z7</t>
        </is>
      </c>
      <c r="C36" t="n">
        <v>1</v>
      </c>
      <c r="D36">
        <f>$C36*$D$12</f>
        <v/>
      </c>
      <c r="E36">
        <f>$C36*$D$12</f>
        <v/>
      </c>
      <c r="F36">
        <f>$C36*$D$12</f>
        <v/>
      </c>
      <c r="G36">
        <f>$C36*$D$13</f>
        <v/>
      </c>
      <c r="H36">
        <f>$C36*$D$13</f>
        <v/>
      </c>
      <c r="I36">
        <f>$C36*$D$13</f>
        <v/>
      </c>
      <c r="J36">
        <f>$C36*$D$13</f>
        <v/>
      </c>
      <c r="K36">
        <f>$C36*$D$13</f>
        <v/>
      </c>
      <c r="L36">
        <f>$C36*$D$13</f>
        <v/>
      </c>
      <c r="M36">
        <f>$C36*$D$14</f>
        <v/>
      </c>
      <c r="N36">
        <f>$C36*$D$14</f>
        <v/>
      </c>
      <c r="O36">
        <f>$C36*$D$14</f>
        <v/>
      </c>
      <c r="P36">
        <f>SUM(D36:O36)</f>
        <v/>
      </c>
      <c r="Q36" t="n">
        <v>19000</v>
      </c>
      <c r="R36">
        <f>ROUND(Q36*1.205*P36,2)</f>
        <v/>
      </c>
    </row>
    <row r="37">
      <c r="A37" t="inlineStr">
        <is>
          <t>IT Specialist</t>
        </is>
      </c>
      <c r="B37" t="inlineStr">
        <is>
          <t>Z9</t>
        </is>
      </c>
      <c r="C37" t="n">
        <v>1</v>
      </c>
      <c r="D37">
        <f>$C37*$E$12</f>
        <v/>
      </c>
      <c r="E37">
        <f>$C37*$E$12</f>
        <v/>
      </c>
      <c r="F37">
        <f>$C37*$E$12</f>
        <v/>
      </c>
      <c r="G37">
        <f>$C37*$E$13</f>
        <v/>
      </c>
      <c r="H37">
        <f>$C37*$E$13</f>
        <v/>
      </c>
      <c r="I37">
        <f>$C37*$E$13</f>
        <v/>
      </c>
      <c r="J37">
        <f>$C37*$E$13</f>
        <v/>
      </c>
      <c r="K37">
        <f>$C37*$E$13</f>
        <v/>
      </c>
      <c r="L37">
        <f>$C37*$E$13</f>
        <v/>
      </c>
      <c r="M37">
        <f>$C37*$E$14</f>
        <v/>
      </c>
      <c r="N37">
        <f>$C37*$E$14</f>
        <v/>
      </c>
      <c r="O37">
        <f>$C37*$E$14</f>
        <v/>
      </c>
      <c r="P37">
        <f>SUM(D37:O37)</f>
        <v/>
      </c>
      <c r="Q37" t="n">
        <v>19000</v>
      </c>
      <c r="R37">
        <f>ROUND(Q35*1.205*C35*12,2)-R35-R36</f>
        <v/>
      </c>
    </row>
    <row r="38">
      <c r="A38" s="17" t="inlineStr">
        <is>
          <t>kontrola: suma miesięczna - etat (IT Specialist)</t>
        </is>
      </c>
      <c r="B38" s="17" t="inlineStr"/>
      <c r="C38" s="17" t="inlineStr"/>
      <c r="D38" s="17">
        <f>ROUND(D35+D36+D37-$C$35,6)</f>
        <v/>
      </c>
      <c r="E38" s="17">
        <f>ROUND(E35+E36+E37-$C$35,6)</f>
        <v/>
      </c>
      <c r="F38" s="17">
        <f>ROUND(F35+F36+F37-$C$35,6)</f>
        <v/>
      </c>
      <c r="G38" s="17">
        <f>ROUND(G35+G36+G37-$C$35,6)</f>
        <v/>
      </c>
      <c r="H38" s="17">
        <f>ROUND(H35+H36+H37-$C$35,6)</f>
        <v/>
      </c>
      <c r="I38" s="17">
        <f>ROUND(I35+I36+I37-$C$35,6)</f>
        <v/>
      </c>
      <c r="J38" s="17">
        <f>ROUND(J35+J36+J37-$C$35,6)</f>
        <v/>
      </c>
      <c r="K38" s="17">
        <f>ROUND(K35+K36+K37-$C$35,6)</f>
        <v/>
      </c>
      <c r="L38" s="17">
        <f>ROUND(L35+L36+L37-$C$35,6)</f>
        <v/>
      </c>
      <c r="M38" s="17">
        <f>ROUND(M35+M36+M37-$C$35,6)</f>
        <v/>
      </c>
      <c r="N38" s="17">
        <f>ROUND(N35+N36+N37-$C$35,6)</f>
        <v/>
      </c>
      <c r="O38" s="17">
        <f>ROUND(O35+O36+O37-$C$35,6)</f>
        <v/>
      </c>
      <c r="P38" s="17">
        <f>ROUND(P35+P36+P37-12*C35,6)</f>
        <v/>
      </c>
      <c r="Q38" s="17" t="inlineStr"/>
      <c r="R38" s="17">
        <f>R35+R36+R37</f>
        <v/>
      </c>
    </row>
    <row r="39">
      <c r="A39" t="inlineStr">
        <is>
          <t>IoT Specialist</t>
        </is>
      </c>
      <c r="B39" t="inlineStr">
        <is>
          <t>Z6</t>
        </is>
      </c>
      <c r="C39" t="n">
        <v>0.5</v>
      </c>
      <c r="D39">
        <f>$C39*$C$15</f>
        <v/>
      </c>
      <c r="E39">
        <f>$C39*$C$15</f>
        <v/>
      </c>
      <c r="F39">
        <f>$C39*$C$15</f>
        <v/>
      </c>
      <c r="G39">
        <f>$C39*$C$16</f>
        <v/>
      </c>
      <c r="H39">
        <f>$C39*$C$16</f>
        <v/>
      </c>
      <c r="I39">
        <f>$C39*$C$16</f>
        <v/>
      </c>
      <c r="J39">
        <f>$C39*$C$16</f>
        <v/>
      </c>
      <c r="K39">
        <f>$C39*$C$16</f>
        <v/>
      </c>
      <c r="L39">
        <f>$C39*$C$16</f>
        <v/>
      </c>
      <c r="M39">
        <f>$C39*$C$17</f>
        <v/>
      </c>
      <c r="N39">
        <f>$C39*$C$17</f>
        <v/>
      </c>
      <c r="O39">
        <f>$C39*$C$17</f>
        <v/>
      </c>
      <c r="P39">
        <f>SUM(D39:O39)</f>
        <v/>
      </c>
      <c r="Q39" t="n">
        <v>15000</v>
      </c>
      <c r="R39">
        <f>ROUND(Q39*1.205*P39,2)</f>
        <v/>
      </c>
    </row>
    <row r="40">
      <c r="A40" t="inlineStr">
        <is>
          <t>IoT Specialist</t>
        </is>
      </c>
      <c r="B40" t="inlineStr">
        <is>
          <t>Z7</t>
        </is>
      </c>
      <c r="C40" t="n">
        <v>0.5</v>
      </c>
      <c r="D40">
        <f>$C40*$D$15</f>
        <v/>
      </c>
      <c r="E40">
        <f>$C40*$D$15</f>
        <v/>
      </c>
      <c r="F40">
        <f>$C40*$D$15</f>
        <v/>
      </c>
      <c r="G40">
        <f>$C40*$D$16</f>
        <v/>
      </c>
      <c r="H40">
        <f>$C40*$D$16</f>
        <v/>
      </c>
      <c r="I40">
        <f>$C40*$D$16</f>
        <v/>
      </c>
      <c r="J40">
        <f>$C40*$D$16</f>
        <v/>
      </c>
      <c r="K40">
        <f>$C40*$D$16</f>
        <v/>
      </c>
      <c r="L40">
        <f>$C40*$D$16</f>
        <v/>
      </c>
      <c r="M40">
        <f>$C40*$D$17</f>
        <v/>
      </c>
      <c r="N40">
        <f>$C40*$D$17</f>
        <v/>
      </c>
      <c r="O40">
        <f>$C40*$D$17</f>
        <v/>
      </c>
      <c r="P40">
        <f>SUM(D40:O40)</f>
        <v/>
      </c>
      <c r="Q40" t="n">
        <v>15000</v>
      </c>
      <c r="R40">
        <f>ROUND(Q40*1.205*P40,2)</f>
        <v/>
      </c>
    </row>
    <row r="41">
      <c r="A41" t="inlineStr">
        <is>
          <t>IoT Specialist</t>
        </is>
      </c>
      <c r="B41" t="inlineStr">
        <is>
          <t>Z9</t>
        </is>
      </c>
      <c r="C41" t="n">
        <v>0.5</v>
      </c>
      <c r="D41">
        <f>$C41*$E$15</f>
        <v/>
      </c>
      <c r="E41">
        <f>$C41*$E$15</f>
        <v/>
      </c>
      <c r="F41">
        <f>$C41*$E$15</f>
        <v/>
      </c>
      <c r="G41">
        <f>$C41*$E$16</f>
        <v/>
      </c>
      <c r="H41">
        <f>$C41*$E$16</f>
        <v/>
      </c>
      <c r="I41">
        <f>$C41*$E$16</f>
        <v/>
      </c>
      <c r="J41">
        <f>$C41*$E$16</f>
        <v/>
      </c>
      <c r="K41">
        <f>$C41*$E$16</f>
        <v/>
      </c>
      <c r="L41">
        <f>$C41*$E$16</f>
        <v/>
      </c>
      <c r="M41">
        <f>$C41*$E$17</f>
        <v/>
      </c>
      <c r="N41">
        <f>$C41*$E$17</f>
        <v/>
      </c>
      <c r="O41">
        <f>$C41*$E$17</f>
        <v/>
      </c>
      <c r="P41">
        <f>SUM(D41:O41)</f>
        <v/>
      </c>
      <c r="Q41" t="n">
        <v>15000</v>
      </c>
      <c r="R41">
        <f>ROUND(Q39*1.205*C39*12,2)-R39-R40</f>
        <v/>
      </c>
    </row>
    <row r="42">
      <c r="A42" s="17" t="inlineStr">
        <is>
          <t>kontrola: suma miesięczna - etat (IoT Specialist)</t>
        </is>
      </c>
      <c r="B42" s="17" t="inlineStr"/>
      <c r="C42" s="17" t="inlineStr"/>
      <c r="D42" s="17">
        <f>ROUND(D39+D40+D41-$C$39,6)</f>
        <v/>
      </c>
      <c r="E42" s="17">
        <f>ROUND(E39+E40+E41-$C$39,6)</f>
        <v/>
      </c>
      <c r="F42" s="17">
        <f>ROUND(F39+F40+F41-$C$39,6)</f>
        <v/>
      </c>
      <c r="G42" s="17">
        <f>ROUND(G39+G40+G41-$C$39,6)</f>
        <v/>
      </c>
      <c r="H42" s="17">
        <f>ROUND(H39+H40+H41-$C$39,6)</f>
        <v/>
      </c>
      <c r="I42" s="17">
        <f>ROUND(I39+I40+I41-$C$39,6)</f>
        <v/>
      </c>
      <c r="J42" s="17">
        <f>ROUND(J39+J40+J41-$C$39,6)</f>
        <v/>
      </c>
      <c r="K42" s="17">
        <f>ROUND(K39+K40+K41-$C$39,6)</f>
        <v/>
      </c>
      <c r="L42" s="17">
        <f>ROUND(L39+L40+L41-$C$39,6)</f>
        <v/>
      </c>
      <c r="M42" s="17">
        <f>ROUND(M39+M40+M41-$C$39,6)</f>
        <v/>
      </c>
      <c r="N42" s="17">
        <f>ROUND(N39+N40+N41-$C$39,6)</f>
        <v/>
      </c>
      <c r="O42" s="17">
        <f>ROUND(O39+O40+O41-$C$39,6)</f>
        <v/>
      </c>
      <c r="P42" s="17">
        <f>ROUND(P39+P40+P41-12*C39,6)</f>
        <v/>
      </c>
      <c r="Q42" s="17" t="inlineStr"/>
      <c r="R42" s="17">
        <f>R39+R40+R41</f>
        <v/>
      </c>
    </row>
    <row r="43">
      <c r="A43" t="inlineStr">
        <is>
          <t>Specjalista ds. logistyki TSL</t>
        </is>
      </c>
      <c r="B43" t="inlineStr">
        <is>
          <t>Z6</t>
        </is>
      </c>
      <c r="C43" t="n">
        <v>0.5</v>
      </c>
      <c r="D43">
        <f>$C43*$C$18</f>
        <v/>
      </c>
      <c r="E43">
        <f>$C43*$C$18</f>
        <v/>
      </c>
      <c r="F43">
        <f>$C43*$C$18</f>
        <v/>
      </c>
      <c r="G43">
        <f>$C43*$C$19</f>
        <v/>
      </c>
      <c r="H43">
        <f>$C43*$C$19</f>
        <v/>
      </c>
      <c r="I43">
        <f>$C43*$C$19</f>
        <v/>
      </c>
      <c r="J43">
        <f>$C43*$C$19</f>
        <v/>
      </c>
      <c r="K43">
        <f>$C43*$C$19</f>
        <v/>
      </c>
      <c r="L43">
        <f>$C43*$C$19</f>
        <v/>
      </c>
      <c r="M43">
        <f>$C43*$C$20</f>
        <v/>
      </c>
      <c r="N43">
        <f>$C43*$C$20</f>
        <v/>
      </c>
      <c r="O43">
        <f>$C43*$C$20</f>
        <v/>
      </c>
      <c r="P43">
        <f>SUM(D43:O43)</f>
        <v/>
      </c>
      <c r="Q43" t="n">
        <v>10000</v>
      </c>
      <c r="R43">
        <f>ROUND(Q43*1.205*P43,2)</f>
        <v/>
      </c>
    </row>
    <row r="44">
      <c r="A44" t="inlineStr">
        <is>
          <t>Specjalista ds. logistyki TSL</t>
        </is>
      </c>
      <c r="B44" t="inlineStr">
        <is>
          <t>Z7</t>
        </is>
      </c>
      <c r="C44" t="n">
        <v>0.5</v>
      </c>
      <c r="D44">
        <f>$C44*$D$18</f>
        <v/>
      </c>
      <c r="E44">
        <f>$C44*$D$18</f>
        <v/>
      </c>
      <c r="F44">
        <f>$C44*$D$18</f>
        <v/>
      </c>
      <c r="G44">
        <f>$C44*$D$19</f>
        <v/>
      </c>
      <c r="H44">
        <f>$C44*$D$19</f>
        <v/>
      </c>
      <c r="I44">
        <f>$C44*$D$19</f>
        <v/>
      </c>
      <c r="J44">
        <f>$C44*$D$19</f>
        <v/>
      </c>
      <c r="K44">
        <f>$C44*$D$19</f>
        <v/>
      </c>
      <c r="L44">
        <f>$C44*$D$19</f>
        <v/>
      </c>
      <c r="M44">
        <f>$C44*$D$20</f>
        <v/>
      </c>
      <c r="N44">
        <f>$C44*$D$20</f>
        <v/>
      </c>
      <c r="O44">
        <f>$C44*$D$20</f>
        <v/>
      </c>
      <c r="P44">
        <f>SUM(D44:O44)</f>
        <v/>
      </c>
      <c r="Q44" t="n">
        <v>10000</v>
      </c>
      <c r="R44">
        <f>ROUND(Q44*1.205*P44,2)</f>
        <v/>
      </c>
    </row>
    <row r="45">
      <c r="A45" t="inlineStr">
        <is>
          <t>Specjalista ds. logistyki TSL</t>
        </is>
      </c>
      <c r="B45" t="inlineStr">
        <is>
          <t>Z9</t>
        </is>
      </c>
      <c r="C45" t="n">
        <v>0.5</v>
      </c>
      <c r="D45">
        <f>$C45*$E$18</f>
        <v/>
      </c>
      <c r="E45">
        <f>$C45*$E$18</f>
        <v/>
      </c>
      <c r="F45">
        <f>$C45*$E$18</f>
        <v/>
      </c>
      <c r="G45">
        <f>$C45*$E$19</f>
        <v/>
      </c>
      <c r="H45">
        <f>$C45*$E$19</f>
        <v/>
      </c>
      <c r="I45">
        <f>$C45*$E$19</f>
        <v/>
      </c>
      <c r="J45">
        <f>$C45*$E$19</f>
        <v/>
      </c>
      <c r="K45">
        <f>$C45*$E$19</f>
        <v/>
      </c>
      <c r="L45">
        <f>$C45*$E$19</f>
        <v/>
      </c>
      <c r="M45">
        <f>$C45*$E$20</f>
        <v/>
      </c>
      <c r="N45">
        <f>$C45*$E$20</f>
        <v/>
      </c>
      <c r="O45">
        <f>$C45*$E$20</f>
        <v/>
      </c>
      <c r="P45">
        <f>SUM(D45:O45)</f>
        <v/>
      </c>
      <c r="Q45" t="n">
        <v>10000</v>
      </c>
      <c r="R45">
        <f>ROUND(Q43*1.205*C43*12,2)-R43-R44</f>
        <v/>
      </c>
    </row>
    <row r="46">
      <c r="A46" s="17" t="inlineStr">
        <is>
          <t>kontrola: suma miesięczna - etat (Specjalista ds. logistyki TSL)</t>
        </is>
      </c>
      <c r="B46" s="17" t="inlineStr"/>
      <c r="C46" s="17" t="inlineStr"/>
      <c r="D46" s="17">
        <f>ROUND(D43+D44+D45-$C$43,6)</f>
        <v/>
      </c>
      <c r="E46" s="17">
        <f>ROUND(E43+E44+E45-$C$43,6)</f>
        <v/>
      </c>
      <c r="F46" s="17">
        <f>ROUND(F43+F44+F45-$C$43,6)</f>
        <v/>
      </c>
      <c r="G46" s="17">
        <f>ROUND(G43+G44+G45-$C$43,6)</f>
        <v/>
      </c>
      <c r="H46" s="17">
        <f>ROUND(H43+H44+H45-$C$43,6)</f>
        <v/>
      </c>
      <c r="I46" s="17">
        <f>ROUND(I43+I44+I45-$C$43,6)</f>
        <v/>
      </c>
      <c r="J46" s="17">
        <f>ROUND(J43+J44+J45-$C$43,6)</f>
        <v/>
      </c>
      <c r="K46" s="17">
        <f>ROUND(K43+K44+K45-$C$43,6)</f>
        <v/>
      </c>
      <c r="L46" s="17">
        <f>ROUND(L43+L44+L45-$C$43,6)</f>
        <v/>
      </c>
      <c r="M46" s="17">
        <f>ROUND(M43+M44+M45-$C$43,6)</f>
        <v/>
      </c>
      <c r="N46" s="17">
        <f>ROUND(N43+N44+N45-$C$43,6)</f>
        <v/>
      </c>
      <c r="O46" s="17">
        <f>ROUND(O43+O44+O45-$C$43,6)</f>
        <v/>
      </c>
      <c r="P46" s="17">
        <f>ROUND(P43+P44+P45-12*C43,6)</f>
        <v/>
      </c>
      <c r="Q46" s="17" t="inlineStr"/>
      <c r="R46" s="17">
        <f>R43+R44+R45</f>
        <v/>
      </c>
    </row>
    <row r="47">
      <c r="A47" t="inlineStr">
        <is>
          <t>Backend/Full-Stack Developer</t>
        </is>
      </c>
      <c r="B47" t="inlineStr">
        <is>
          <t>Z6</t>
        </is>
      </c>
      <c r="C47" t="n">
        <v>1</v>
      </c>
      <c r="D47" t="n">
        <v>1</v>
      </c>
      <c r="E47" t="n">
        <v>1</v>
      </c>
      <c r="F47" t="n">
        <v>1</v>
      </c>
      <c r="G47" t="n">
        <v>1</v>
      </c>
      <c r="H47" t="n">
        <v>1</v>
      </c>
      <c r="I47" t="n">
        <v>1</v>
      </c>
      <c r="J47" t="n">
        <v>1</v>
      </c>
      <c r="K47" t="n">
        <v>1</v>
      </c>
      <c r="L47" t="n">
        <v>1</v>
      </c>
      <c r="M47" t="n">
        <v>0</v>
      </c>
      <c r="N47" t="n">
        <v>0</v>
      </c>
      <c r="O47" t="n">
        <v>0</v>
      </c>
      <c r="P47">
        <f>SUM(D47:O47)</f>
        <v/>
      </c>
      <c r="Q47" t="n">
        <v>18000</v>
      </c>
      <c r="R47">
        <f>ROUND(Q47*1.205*P47,2)</f>
        <v/>
      </c>
    </row>
    <row r="48">
      <c r="A48" t="inlineStr">
        <is>
          <t>Backend/Full-Stack Developer</t>
        </is>
      </c>
      <c r="B48" t="inlineStr">
        <is>
          <t>Z9</t>
        </is>
      </c>
      <c r="C48" t="n">
        <v>1</v>
      </c>
      <c r="D48" t="n">
        <v>0</v>
      </c>
      <c r="E48" t="n">
        <v>0</v>
      </c>
      <c r="F48" t="n">
        <v>0</v>
      </c>
      <c r="G48" t="n">
        <v>0</v>
      </c>
      <c r="H48" t="n">
        <v>0</v>
      </c>
      <c r="I48" t="n">
        <v>0</v>
      </c>
      <c r="J48" t="n">
        <v>0</v>
      </c>
      <c r="K48" t="n">
        <v>0</v>
      </c>
      <c r="L48" t="n">
        <v>0</v>
      </c>
      <c r="M48" t="n">
        <v>1</v>
      </c>
      <c r="N48" t="n">
        <v>1</v>
      </c>
      <c r="O48" t="n">
        <v>1</v>
      </c>
      <c r="P48">
        <f>SUM(D48:O48)</f>
        <v/>
      </c>
      <c r="Q48" t="n">
        <v>18000</v>
      </c>
      <c r="R48">
        <f>ROUND(Q48*1.205*P48,2)</f>
        <v/>
      </c>
    </row>
    <row r="49">
      <c r="A49" t="inlineStr">
        <is>
          <t>Razem personel Everest11 Z6</t>
        </is>
      </c>
      <c r="R49">
        <f>SUMIF(B23:B48,"Z6",R23:R48)</f>
        <v/>
      </c>
    </row>
    <row r="50">
      <c r="A50" t="inlineStr">
        <is>
          <t>Razem personel Everest11 Z7</t>
        </is>
      </c>
      <c r="R50">
        <f>SUMIF(B23:B48,"Z7",R23:R48)</f>
        <v/>
      </c>
    </row>
    <row r="51">
      <c r="A51" t="inlineStr">
        <is>
          <t>Razem personel Everest11 Z9</t>
        </is>
      </c>
      <c r="R51">
        <f>SUMIF(B23:B48,"Z9",R23:R48)</f>
        <v/>
      </c>
    </row>
    <row r="52">
      <c r="A52" t="inlineStr">
        <is>
          <t>Suma Z6+Z7+Z9</t>
        </is>
      </c>
      <c r="R52">
        <f>SUM(R49:R51)</f>
        <v/>
      </c>
    </row>
    <row r="53">
      <c r="A53" t="inlineStr">
        <is>
          <t>Stan dotychczasowy (6 stanowisk /3 + Backend Z6 12 mc)</t>
        </is>
      </c>
      <c r="R53">
        <f>959782.5+260280</f>
        <v/>
      </c>
    </row>
    <row r="54">
      <c r="A54" t="inlineStr">
        <is>
          <t>Różnica (powinna wynosić 0)</t>
        </is>
      </c>
      <c r="R54">
        <f>ROUND(R52-R53,2)</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44" customWidth="1" min="1" max="1"/>
    <col width="70" customWidth="1" min="2" max="2"/>
    <col width="36" customWidth="1" min="3" max="3"/>
    <col width="70" customWidth="1" min="4" max="4"/>
  </cols>
  <sheetData>
    <row r="1">
      <c r="A1" s="21" t="inlineStr">
        <is>
          <t>Dokument</t>
        </is>
      </c>
      <c r="B1" s="21" t="inlineStr">
        <is>
          <t>Zakres (uwagi, pola wniosku)</t>
        </is>
      </c>
      <c r="C1" s="21" t="inlineStr">
        <is>
          <t>Status</t>
        </is>
      </c>
      <c r="D1" s="21" t="inlineStr">
        <is>
          <t>Co jeszcze potwierdzić i kto</t>
        </is>
      </c>
    </row>
    <row r="2">
      <c r="A2" s="2" t="inlineStr">
        <is>
          <t>Opisy_zadan_z_kamieniami_milowymi.docx</t>
        </is>
      </c>
      <c r="B2" s="2" t="inlineStr">
        <is>
          <t>WP01-WP03: opisy zadań Z1-Z9, kamienie milowe, ryzyka, uzasadnienia kosztów i metoda szacowania personelu Everest11, podział etatów (D29)</t>
        </is>
      </c>
      <c r="C2" s="2" t="inlineStr">
        <is>
          <t>GOTOWY po potwierdzeniu 62 wartości (żółte)</t>
        </is>
      </c>
      <c r="D2" s="2" t="inlineStr">
        <is>
          <t>Dział techniczny: 62 wartości liczbowe (progi, liczności, czasy). Aneks C pliku.</t>
        </is>
      </c>
    </row>
    <row r="3">
      <c r="A3" s="2" t="inlineStr">
        <is>
          <t>Wskazniki_innowacyjnosci_1.2_i_1.4.docx</t>
        </is>
      </c>
      <c r="B3" s="2" t="inlineStr">
        <is>
          <t>WP04: wskaźniki 1.2 (W1-W5), tekst 1.4 i wskaźniki I1-I2, zmiany w opisie innowacji, produkty referencyjne</t>
        </is>
      </c>
      <c r="C3" s="2" t="inlineStr">
        <is>
          <t>GOTOWY po potwierdzeniu 6 parametrów (żółte)</t>
        </is>
      </c>
      <c r="D3" s="2" t="inlineStr">
        <is>
          <t>Dział techniczny: błąd przemieszczenia względnego 0,03 m i 0,05 m, baza AUC 0,70, baza mAP 0,40, zdarzenie inicjujące PoC, zgodność treści 90%.</t>
        </is>
      </c>
    </row>
    <row r="4">
      <c r="A4" s="2" t="inlineStr">
        <is>
          <t>Sekcja_1.3_i_ceny.docx</t>
        </is>
      </c>
      <c r="B4" s="2" t="inlineStr">
        <is>
          <t>WP05: pkt 1.3, pkt 2.3 (rynek docelowy, plan wprowadzenia), zmiany w 2.1, 2.4 i modelu (tabela 5.3), źródła</t>
        </is>
      </c>
      <c r="C4" s="2" t="inlineStr">
        <is>
          <t>GOTOWY (0 żółtych)</t>
        </is>
      </c>
      <c r="D4" s="2" t="inlineStr">
        <is>
          <t>Właścicielka: ręczne zmiany w 2.1, 2.4 i komentarzach modelu (N40-N50, N57-N58).</t>
        </is>
      </c>
    </row>
    <row r="5">
      <c r="A5" s="2" t="inlineStr">
        <is>
          <t>Sekcja_2.2_i_2.5_prawa_FTO_zasoby.docx</t>
        </is>
      </c>
      <c r="B5" s="2" t="inlineStr">
        <is>
          <t>WP10: pkt 2.2 (brak barier, stan techniki, prawa), pkt 2.5 (zasoby kadrowe, techniczne, pozostałe)</t>
        </is>
      </c>
      <c r="C5" s="2" t="inlineStr">
        <is>
          <t>GOTOWY (0 żółtych)</t>
        </is>
      </c>
      <c r="D5" s="2" t="inlineStr">
        <is>
          <t>Właścicielka: potwierdzenie, że badanie patentowe nie wykazało patentów EP/PL ograniczających wdrożenie (zdanie w 2.2); harmonogram przeniesienia praw z PRz (plan do 30.11.2029).</t>
        </is>
      </c>
    </row>
    <row r="6">
      <c r="A6" s="2" t="inlineStr">
        <is>
          <t>CargoDT_plan_pracy_i_rejestr_decyzji.xlsx</t>
        </is>
      </c>
      <c r="B6" s="2" t="inlineStr">
        <is>
          <t>Rejestr decyzji, niespójności, zadania, źródła, podział etatów</t>
        </is>
      </c>
      <c r="C6" s="2" t="inlineStr">
        <is>
          <t>Aktualizowany na bieżąco</t>
        </is>
      </c>
      <c r="D6" s="2" t="inlineStr">
        <is>
          <t>-</t>
        </is>
      </c>
    </row>
    <row r="7">
      <c r="A7" s="2" t="inlineStr">
        <is>
          <t>Sekcja_6.1_zespol_projektowy.docx</t>
        </is>
      </c>
      <c r="B7" s="2" t="inlineStr">
        <is>
          <t>WP06: sekcja 6.1 (K5-01 do K5-11); Hajduk: dopisano Z10</t>
        </is>
      </c>
      <c r="C7" s="2" t="inlineStr">
        <is>
          <t>GOTOWY (0 żółtych), założenia D37 do potwierdzenia</t>
        </is>
      </c>
      <c r="D7" s="2" t="inlineStr">
        <is>
          <t>Właścicielka: T23 (formy umów, etaty poza projektem, rola Natanek, oświadczenia).</t>
        </is>
      </c>
    </row>
    <row r="8">
      <c r="A8" s="2" t="inlineStr">
        <is>
          <t>Sekcja_6.2-6.4_zasoby_podwykonawca.docx</t>
        </is>
      </c>
      <c r="B8" s="2" t="inlineStr">
        <is>
          <t>WP06: sekcje 6.2, 6.3, 6.4 (K5-12 do K5-19)</t>
        </is>
      </c>
      <c r="C8" s="2" t="inlineStr">
        <is>
          <t>GOTOWY, 7 żółtych pól do uzupełnienia</t>
        </is>
      </c>
      <c r="D8" s="2" t="inlineStr">
        <is>
          <t>PRz i Everest11: T25, T26.</t>
        </is>
      </c>
    </row>
    <row r="9">
      <c r="A9" s="2" t="inlineStr">
        <is>
          <t>Sekcja_7_zasady_horyzontalne_6R.docx</t>
        </is>
      </c>
      <c r="B9" s="2" t="inlineStr">
        <is>
          <t>WP12: pkt 7.1 do 7.4, 8.1 PLRR051, 8.2 wskaźniki 6R (K10-01 do K13-06)</t>
        </is>
      </c>
      <c r="C9" s="2" t="inlineStr">
        <is>
          <t>GOTOWY (0 żółtych), zobowiązania do potwierdzenia</t>
        </is>
      </c>
      <c r="D9" s="2" t="inlineStr">
        <is>
          <t>Zarząd Everest11, PRz, dział techniczny: T27, T28, T29 (część 8 dokumentu).</t>
        </is>
      </c>
    </row>
    <row r="10">
      <c r="A10" s="2" t="inlineStr">
        <is>
          <t>Sekcja_3.2_internacjonalizacja_Z10_Z11.docx</t>
        </is>
      </c>
      <c r="B10" s="2" t="inlineStr">
        <is>
          <t>WP09: pkt 3.2, Z10, Z11, budżet internacjonalizacji, koszty uproszczone, wskaźnik przychodów poza RP (K3-23, K3-24, K3-59..66, K14-01)</t>
        </is>
      </c>
      <c r="C10" s="2" t="inlineStr">
        <is>
          <t>GOTOWY, 10 żółtych pól (oferta organizatora, kurs NBP), decyzje D40, D41</t>
        </is>
      </c>
      <c r="D10" s="2" t="inlineStr">
        <is>
          <t>Właścicielka, PRz, księgowość: T30, T31, T32.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2026-10-01T16:37:34Z</dcterms:created>
  <dcterms:modified xmlns:dcterms="http://purl.org/dc/terms/" xmlns:xsi="http://www.w3.org/2001/XMLSchema-instance" xsi:type="dcterms:W3CDTF">2026-10-02T12:55:49Z</dcterms:modified>
</cp:coreProperties>
</file>