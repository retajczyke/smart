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01.10.2026,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Zakłada istnienie komitetu sterującego (K5-05).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Komitet sterujący jako organ go/no-go (skład: kierownik zarządzający, kierownik B+R, przedstawiciel PRz)</t>
        </is>
      </c>
      <c r="C28" s="2" t="inlineStr">
        <is>
          <t>W opisach KM-Z1..Z9 wskazano komitet sterujący (K5-05). Trzeba potwierdzić, że istnieje w umowie konsorcjum, albo wpisać go do umowy. Alternatywa: decyzja kierownika zarządzającego po opinii kierownika B+R.</t>
        </is>
      </c>
      <c r="D28" s="11" t="inlineStr">
        <is>
          <t>DO POTWIERDZENIA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Propozycja gotowa (arkusz 10_Podział_etatów, formuły): podział etatów 6 stanowisk w fazach M19-M21, M22, M23-M25, M26-M27, M28-M30; suma miesięczna = etat, koszt łączny bez zmian (959 782,50 zł + Backend 260 280 zł). Nowe koszty: Z6 422 262,13 zł, Z7 314 896,63 zł, Z9 482 903,74 zł (razem 1 220 062,50 zł jak dotychczas). Wszystkie trzy zadania mają intensywność pomocy 60%, więc dofinansowanie bez zmian. Wymaga potwierdzenia przez zespół techniczny.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Tekst gotowy do kontroli: Poprawki_do_wklejenia_WP01-WP03.docx (K3-23/24 w WP09) Uwaga: ryzyka R1-R5, R9 trzeba po wersji 2 sprawdzić pod kątem spójności z progami no-go z kamieni.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7</v>
      </c>
      <c r="G5" s="4" t="n">
        <v>0</v>
      </c>
      <c r="H5" s="4" t="n">
        <v>0</v>
      </c>
      <c r="I5" s="4" t="n">
        <v>0</v>
      </c>
      <c r="J5" s="4" t="inlineStr">
        <is>
          <t>Tekst do wklejenia + podżądania (macierz pokrycia) - do wypełnienia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8</v>
      </c>
      <c r="G6" s="4" t="n">
        <v>0</v>
      </c>
      <c r="H6" s="4" t="n">
        <v>1</v>
      </c>
      <c r="I6" s="4" t="n">
        <v>0</v>
      </c>
      <c r="J6" s="4" t="inlineStr">
        <is>
          <t>Tekst do wklejenia + podżądania (macierz pokrycia) - do wypełnienia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Tekst do wklejenia + podżądania (macierz pokrycia) - do wypełnienia Uzasadnienia kosztu Everest11 (Z2, Z6, Z7, Z9, 28 pozycji) napisane: Opisy_zadan_z_kamieniami_milowymi.docx, część trzecia. Do zrobienia: metoda szacowania (D29), stawki PRz (K3-41, K3-42), raporty płacowe (K3-35), status zatrudnienia (K3-34).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do wklejenia + podżądania (macierz pokrycia) - do wypełnienia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do wklejenia + podżądania (macierz pokrycia) - do wypełnienia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do wklejenia + podżądania (macierz pokrycia) - do wypełnienia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Tekst do wklejenia + podżądania (macierz pokrycia) - do wypełnienia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Tekst do wklejenia + podżądania (macierz pokrycia) - do wypełnienia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do wklejenia + podżądania (macierz pokrycia) - do wypełnienia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komitetu sterującego i niezależnego nadzoru nad zadaniami PRz.</t>
        </is>
      </c>
      <c r="D23" s="2" t="inlineStr">
        <is>
          <t>Dopisać skład i rolę komitetu (kierownik zarządzający, kierownik B+R, przedstawiciel PRz),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OTWARTE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OTWARTE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OTWARTE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35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D29: podział etatów Everest11 w Z6, Z7, Z9 (propozycja). Komórki z miesiącami są edytowalne, sumy i koszty liczą się formułami. Wiersze kontrolne muszą dawać 0.</t>
        </is>
      </c>
    </row>
    <row r="2">
      <c r="A2" s="15" t="inlineStr">
        <is>
          <t>Stanowisko</t>
        </is>
      </c>
      <c r="B2" s="15" t="inlineStr">
        <is>
          <t>Zadanie</t>
        </is>
      </c>
      <c r="C2" s="15" t="inlineStr">
        <is>
          <t>Etat</t>
        </is>
      </c>
      <c r="D2" s="15" t="inlineStr">
        <is>
          <t>M19</t>
        </is>
      </c>
      <c r="E2" s="15" t="inlineStr">
        <is>
          <t>M20</t>
        </is>
      </c>
      <c r="F2" s="15" t="inlineStr">
        <is>
          <t>M21</t>
        </is>
      </c>
      <c r="G2" s="15" t="inlineStr">
        <is>
          <t>M22</t>
        </is>
      </c>
      <c r="H2" s="15" t="inlineStr">
        <is>
          <t>M23</t>
        </is>
      </c>
      <c r="I2" s="15" t="inlineStr">
        <is>
          <t>M24</t>
        </is>
      </c>
      <c r="J2" s="15" t="inlineStr">
        <is>
          <t>M25</t>
        </is>
      </c>
      <c r="K2" s="15" t="inlineStr">
        <is>
          <t>M26</t>
        </is>
      </c>
      <c r="L2" s="15" t="inlineStr">
        <is>
          <t>M27</t>
        </is>
      </c>
      <c r="M2" s="15" t="inlineStr">
        <is>
          <t>M28</t>
        </is>
      </c>
      <c r="N2" s="15" t="inlineStr">
        <is>
          <t>M29</t>
        </is>
      </c>
      <c r="O2" s="15" t="inlineStr">
        <is>
          <t>M30</t>
        </is>
      </c>
      <c r="P2" s="15" t="inlineStr">
        <is>
          <t>Etatomiesiące</t>
        </is>
      </c>
      <c r="Q2" s="15" t="inlineStr">
        <is>
          <t>Stawka brutto/mc</t>
        </is>
      </c>
      <c r="R2" s="15" t="inlineStr">
        <is>
          <t>Koszt zł</t>
        </is>
      </c>
    </row>
    <row r="3">
      <c r="A3" t="inlineStr">
        <is>
          <t>AI Lead</t>
        </is>
      </c>
      <c r="B3" t="inlineStr">
        <is>
          <t>Z6</t>
        </is>
      </c>
      <c r="C3" t="n">
        <v>0.75</v>
      </c>
      <c r="D3" t="n">
        <v>0.3</v>
      </c>
      <c r="E3" t="n">
        <v>0.3</v>
      </c>
      <c r="F3" t="n">
        <v>0.3</v>
      </c>
      <c r="G3" t="n">
        <v>0.3</v>
      </c>
      <c r="H3" t="n">
        <v>0.2</v>
      </c>
      <c r="I3" t="n">
        <v>0.2</v>
      </c>
      <c r="J3" t="n">
        <v>0.2</v>
      </c>
      <c r="K3" t="n">
        <v>0.15</v>
      </c>
      <c r="L3" t="n">
        <v>0.15</v>
      </c>
      <c r="M3" t="n">
        <v>0</v>
      </c>
      <c r="N3" t="n">
        <v>0</v>
      </c>
      <c r="O3" t="n">
        <v>0</v>
      </c>
      <c r="P3">
        <f>SUM(D3:O3)</f>
        <v/>
      </c>
      <c r="Q3" t="n">
        <v>23000</v>
      </c>
      <c r="R3">
        <f>ROUND(Q3*1.205*P3,2)</f>
        <v/>
      </c>
    </row>
    <row r="4">
      <c r="A4" t="inlineStr">
        <is>
          <t>AI Lead</t>
        </is>
      </c>
      <c r="B4" t="inlineStr">
        <is>
          <t>Z7</t>
        </is>
      </c>
      <c r="C4" t="n">
        <v>0.75</v>
      </c>
      <c r="D4" t="n">
        <v>0.45</v>
      </c>
      <c r="E4" t="n">
        <v>0.45</v>
      </c>
      <c r="F4" t="n">
        <v>0.45</v>
      </c>
      <c r="G4" t="n">
        <v>0.3</v>
      </c>
      <c r="H4" t="n">
        <v>0.3</v>
      </c>
      <c r="I4" t="n">
        <v>0.3</v>
      </c>
      <c r="J4" t="n">
        <v>0.3</v>
      </c>
      <c r="K4" t="n">
        <v>0.25</v>
      </c>
      <c r="L4" t="n">
        <v>0.25</v>
      </c>
      <c r="M4" t="n">
        <v>0</v>
      </c>
      <c r="N4" t="n">
        <v>0</v>
      </c>
      <c r="O4" t="n">
        <v>0</v>
      </c>
      <c r="P4">
        <f>SUM(D4:O4)</f>
        <v/>
      </c>
      <c r="Q4" t="n">
        <v>23000</v>
      </c>
      <c r="R4">
        <f>ROUND(Q4*1.205*P4,2)</f>
        <v/>
      </c>
    </row>
    <row r="5">
      <c r="A5" t="inlineStr">
        <is>
          <t>AI Lead</t>
        </is>
      </c>
      <c r="B5" t="inlineStr">
        <is>
          <t>Z9</t>
        </is>
      </c>
      <c r="C5" t="n">
        <v>0.75</v>
      </c>
      <c r="D5" t="n">
        <v>0</v>
      </c>
      <c r="E5" t="n">
        <v>0</v>
      </c>
      <c r="F5" t="n">
        <v>0</v>
      </c>
      <c r="G5" t="n">
        <v>0.15</v>
      </c>
      <c r="H5" t="n">
        <v>0.25</v>
      </c>
      <c r="I5" t="n">
        <v>0.25</v>
      </c>
      <c r="J5" t="n">
        <v>0.25</v>
      </c>
      <c r="K5" t="n">
        <v>0.35</v>
      </c>
      <c r="L5" t="n">
        <v>0.35</v>
      </c>
      <c r="M5" t="n">
        <v>0.75</v>
      </c>
      <c r="N5" t="n">
        <v>0.75</v>
      </c>
      <c r="O5" t="n">
        <v>0.75</v>
      </c>
      <c r="P5">
        <f>SUM(D5:O5)</f>
        <v/>
      </c>
      <c r="Q5" t="n">
        <v>23000</v>
      </c>
      <c r="R5">
        <f>ROUND(Q3*1.205*C3*12,2)-R3-R4</f>
        <v/>
      </c>
    </row>
    <row r="6">
      <c r="A6" s="17" t="inlineStr">
        <is>
          <t>kontrola: suma miesięczna - etat (AI Lead)</t>
        </is>
      </c>
      <c r="B6" s="17" t="inlineStr"/>
      <c r="C6" s="17" t="inlineStr"/>
      <c r="D6" s="17">
        <f>ROUND(D3+D4+D5-$C$3,6)</f>
        <v/>
      </c>
      <c r="E6" s="17">
        <f>ROUND(E3+E4+E5-$C$3,6)</f>
        <v/>
      </c>
      <c r="F6" s="17">
        <f>ROUND(F3+F4+F5-$C$3,6)</f>
        <v/>
      </c>
      <c r="G6" s="17">
        <f>ROUND(G3+G4+G5-$C$3,6)</f>
        <v/>
      </c>
      <c r="H6" s="17">
        <f>ROUND(H3+H4+H5-$C$3,6)</f>
        <v/>
      </c>
      <c r="I6" s="17">
        <f>ROUND(I3+I4+I5-$C$3,6)</f>
        <v/>
      </c>
      <c r="J6" s="17">
        <f>ROUND(J3+J4+J5-$C$3,6)</f>
        <v/>
      </c>
      <c r="K6" s="17">
        <f>ROUND(K3+K4+K5-$C$3,6)</f>
        <v/>
      </c>
      <c r="L6" s="17">
        <f>ROUND(L3+L4+L5-$C$3,6)</f>
        <v/>
      </c>
      <c r="M6" s="17">
        <f>ROUND(M3+M4+M5-$C$3,6)</f>
        <v/>
      </c>
      <c r="N6" s="17">
        <f>ROUND(N3+N4+N5-$C$3,6)</f>
        <v/>
      </c>
      <c r="O6" s="17">
        <f>ROUND(O3+O4+O5-$C$3,6)</f>
        <v/>
      </c>
      <c r="P6" s="17">
        <f>ROUND(P3+P4+P5-12*C3,6)</f>
        <v/>
      </c>
      <c r="Q6" s="17" t="inlineStr"/>
      <c r="R6" s="17">
        <f>R3+R4+R5</f>
        <v/>
      </c>
    </row>
    <row r="7">
      <c r="A7" t="inlineStr">
        <is>
          <t>AI Senior Engineer</t>
        </is>
      </c>
      <c r="B7" t="inlineStr">
        <is>
          <t>Z6</t>
        </is>
      </c>
      <c r="C7" t="n">
        <v>0.75</v>
      </c>
      <c r="D7" t="n">
        <v>0.15</v>
      </c>
      <c r="E7" t="n">
        <v>0.15</v>
      </c>
      <c r="F7" t="n">
        <v>0.15</v>
      </c>
      <c r="G7" t="n">
        <v>0.2</v>
      </c>
      <c r="H7" t="n">
        <v>0.3</v>
      </c>
      <c r="I7" t="n">
        <v>0.3</v>
      </c>
      <c r="J7" t="n">
        <v>0.3</v>
      </c>
      <c r="K7" t="n">
        <v>0.3</v>
      </c>
      <c r="L7" t="n">
        <v>0.3</v>
      </c>
      <c r="M7" t="n">
        <v>0</v>
      </c>
      <c r="N7" t="n">
        <v>0</v>
      </c>
      <c r="O7" t="n">
        <v>0</v>
      </c>
      <c r="P7">
        <f>SUM(D7:O7)</f>
        <v/>
      </c>
      <c r="Q7" t="n">
        <v>16500</v>
      </c>
      <c r="R7">
        <f>ROUND(Q7*1.205*P7,2)</f>
        <v/>
      </c>
    </row>
    <row r="8">
      <c r="A8" t="inlineStr">
        <is>
          <t>AI Senior Engineer</t>
        </is>
      </c>
      <c r="B8" t="inlineStr">
        <is>
          <t>Z7</t>
        </is>
      </c>
      <c r="C8" t="n">
        <v>0.75</v>
      </c>
      <c r="D8" t="n">
        <v>0.6</v>
      </c>
      <c r="E8" t="n">
        <v>0.6</v>
      </c>
      <c r="F8" t="n">
        <v>0.6</v>
      </c>
      <c r="G8" t="n">
        <v>0.45</v>
      </c>
      <c r="H8" t="n">
        <v>0.3</v>
      </c>
      <c r="I8" t="n">
        <v>0.3</v>
      </c>
      <c r="J8" t="n">
        <v>0.3</v>
      </c>
      <c r="K8" t="n">
        <v>0.2</v>
      </c>
      <c r="L8" t="n">
        <v>0.2</v>
      </c>
      <c r="M8" t="n">
        <v>0</v>
      </c>
      <c r="N8" t="n">
        <v>0</v>
      </c>
      <c r="O8" t="n">
        <v>0</v>
      </c>
      <c r="P8">
        <f>SUM(D8:O8)</f>
        <v/>
      </c>
      <c r="Q8" t="n">
        <v>16500</v>
      </c>
      <c r="R8">
        <f>ROUND(Q8*1.205*P8,2)</f>
        <v/>
      </c>
    </row>
    <row r="9">
      <c r="A9" t="inlineStr">
        <is>
          <t>AI Senior Engineer</t>
        </is>
      </c>
      <c r="B9" t="inlineStr">
        <is>
          <t>Z9</t>
        </is>
      </c>
      <c r="C9" t="n">
        <v>0.75</v>
      </c>
      <c r="D9" t="n">
        <v>0</v>
      </c>
      <c r="E9" t="n">
        <v>0</v>
      </c>
      <c r="F9" t="n">
        <v>0</v>
      </c>
      <c r="G9" t="n">
        <v>0.1</v>
      </c>
      <c r="H9" t="n">
        <v>0.15</v>
      </c>
      <c r="I9" t="n">
        <v>0.15</v>
      </c>
      <c r="J9" t="n">
        <v>0.15</v>
      </c>
      <c r="K9" t="n">
        <v>0.25</v>
      </c>
      <c r="L9" t="n">
        <v>0.25</v>
      </c>
      <c r="M9" t="n">
        <v>0.75</v>
      </c>
      <c r="N9" t="n">
        <v>0.75</v>
      </c>
      <c r="O9" t="n">
        <v>0.75</v>
      </c>
      <c r="P9">
        <f>SUM(D9:O9)</f>
        <v/>
      </c>
      <c r="Q9" t="n">
        <v>16500</v>
      </c>
      <c r="R9">
        <f>ROUND(Q7*1.205*C7*12,2)-R7-R8</f>
        <v/>
      </c>
    </row>
    <row r="10">
      <c r="A10" s="17" t="inlineStr">
        <is>
          <t>kontrola: suma miesięczna - etat (AI Senior Engineer)</t>
        </is>
      </c>
      <c r="B10" s="17" t="inlineStr"/>
      <c r="C10" s="17" t="inlineStr"/>
      <c r="D10" s="17">
        <f>ROUND(D7+D8+D9-$C$7,6)</f>
        <v/>
      </c>
      <c r="E10" s="17">
        <f>ROUND(E7+E8+E9-$C$7,6)</f>
        <v/>
      </c>
      <c r="F10" s="17">
        <f>ROUND(F7+F8+F9-$C$7,6)</f>
        <v/>
      </c>
      <c r="G10" s="17">
        <f>ROUND(G7+G8+G9-$C$7,6)</f>
        <v/>
      </c>
      <c r="H10" s="17">
        <f>ROUND(H7+H8+H9-$C$7,6)</f>
        <v/>
      </c>
      <c r="I10" s="17">
        <f>ROUND(I7+I8+I9-$C$7,6)</f>
        <v/>
      </c>
      <c r="J10" s="17">
        <f>ROUND(J7+J8+J9-$C$7,6)</f>
        <v/>
      </c>
      <c r="K10" s="17">
        <f>ROUND(K7+K8+K9-$C$7,6)</f>
        <v/>
      </c>
      <c r="L10" s="17">
        <f>ROUND(L7+L8+L9-$C$7,6)</f>
        <v/>
      </c>
      <c r="M10" s="17">
        <f>ROUND(M7+M8+M9-$C$7,6)</f>
        <v/>
      </c>
      <c r="N10" s="17">
        <f>ROUND(N7+N8+N9-$C$7,6)</f>
        <v/>
      </c>
      <c r="O10" s="17">
        <f>ROUND(O7+O8+O9-$C$7,6)</f>
        <v/>
      </c>
      <c r="P10" s="17">
        <f>ROUND(P7+P8+P9-12*C7,6)</f>
        <v/>
      </c>
      <c r="Q10" s="17" t="inlineStr"/>
      <c r="R10" s="17">
        <f>R7+R8+R9</f>
        <v/>
      </c>
    </row>
    <row r="11">
      <c r="A11" t="inlineStr">
        <is>
          <t>Cybersecurity / AI Act Specialist</t>
        </is>
      </c>
      <c r="B11" t="inlineStr">
        <is>
          <t>Z6</t>
        </is>
      </c>
      <c r="C11" t="n">
        <v>0.25</v>
      </c>
      <c r="D11" t="n">
        <v>0.15</v>
      </c>
      <c r="E11" t="n">
        <v>0.15</v>
      </c>
      <c r="F11" t="n">
        <v>0.15</v>
      </c>
      <c r="G11" t="n">
        <v>0.1</v>
      </c>
      <c r="H11" t="n">
        <v>0.05</v>
      </c>
      <c r="I11" t="n">
        <v>0.05</v>
      </c>
      <c r="J11" t="n">
        <v>0.05</v>
      </c>
      <c r="K11" t="n">
        <v>0.05</v>
      </c>
      <c r="L11" t="n">
        <v>0.05</v>
      </c>
      <c r="M11" t="n">
        <v>0</v>
      </c>
      <c r="N11" t="n">
        <v>0</v>
      </c>
      <c r="O11" t="n">
        <v>0</v>
      </c>
      <c r="P11">
        <f>SUM(D11:O11)</f>
        <v/>
      </c>
      <c r="Q11" t="n">
        <v>21000</v>
      </c>
      <c r="R11">
        <f>ROUND(Q11*1.205*P11,2)</f>
        <v/>
      </c>
    </row>
    <row r="12">
      <c r="A12" t="inlineStr">
        <is>
          <t>Cybersecurity / AI Act Specialist</t>
        </is>
      </c>
      <c r="B12" t="inlineStr">
        <is>
          <t>Z7</t>
        </is>
      </c>
      <c r="C12" t="n">
        <v>0.25</v>
      </c>
      <c r="D12" t="n">
        <v>0.1</v>
      </c>
      <c r="E12" t="n">
        <v>0.1</v>
      </c>
      <c r="F12" t="n">
        <v>0.1</v>
      </c>
      <c r="G12" t="n">
        <v>0.1</v>
      </c>
      <c r="H12" t="n">
        <v>0.1</v>
      </c>
      <c r="I12" t="n">
        <v>0.1</v>
      </c>
      <c r="J12" t="n">
        <v>0.1</v>
      </c>
      <c r="K12" t="n">
        <v>0.05</v>
      </c>
      <c r="L12" t="n">
        <v>0.05</v>
      </c>
      <c r="M12" t="n">
        <v>0</v>
      </c>
      <c r="N12" t="n">
        <v>0</v>
      </c>
      <c r="O12" t="n">
        <v>0</v>
      </c>
      <c r="P12">
        <f>SUM(D12:O12)</f>
        <v/>
      </c>
      <c r="Q12" t="n">
        <v>21000</v>
      </c>
      <c r="R12">
        <f>ROUND(Q12*1.205*P12,2)</f>
        <v/>
      </c>
    </row>
    <row r="13">
      <c r="A13" t="inlineStr">
        <is>
          <t>Cybersecurity / AI Act Specialist</t>
        </is>
      </c>
      <c r="B13" t="inlineStr">
        <is>
          <t>Z9</t>
        </is>
      </c>
      <c r="C13" t="n">
        <v>0.25</v>
      </c>
      <c r="D13" t="n">
        <v>0</v>
      </c>
      <c r="E13" t="n">
        <v>0</v>
      </c>
      <c r="F13" t="n">
        <v>0</v>
      </c>
      <c r="G13" t="n">
        <v>0.05</v>
      </c>
      <c r="H13" t="n">
        <v>0.1</v>
      </c>
      <c r="I13" t="n">
        <v>0.1</v>
      </c>
      <c r="J13" t="n">
        <v>0.1</v>
      </c>
      <c r="K13" t="n">
        <v>0.15</v>
      </c>
      <c r="L13" t="n">
        <v>0.15</v>
      </c>
      <c r="M13" t="n">
        <v>0.25</v>
      </c>
      <c r="N13" t="n">
        <v>0.25</v>
      </c>
      <c r="O13" t="n">
        <v>0.25</v>
      </c>
      <c r="P13">
        <f>SUM(D13:O13)</f>
        <v/>
      </c>
      <c r="Q13" t="n">
        <v>21000</v>
      </c>
      <c r="R13">
        <f>ROUND(Q11*1.205*C11*12,2)-R11-R12</f>
        <v/>
      </c>
    </row>
    <row r="14">
      <c r="A14" s="17" t="inlineStr">
        <is>
          <t>kontrola: suma miesięczna - etat (Cybersecurity / AI Act Specialist)</t>
        </is>
      </c>
      <c r="B14" s="17" t="inlineStr"/>
      <c r="C14" s="17" t="inlineStr"/>
      <c r="D14" s="17">
        <f>ROUND(D11+D12+D13-$C$11,6)</f>
        <v/>
      </c>
      <c r="E14" s="17">
        <f>ROUND(E11+E12+E13-$C$11,6)</f>
        <v/>
      </c>
      <c r="F14" s="17">
        <f>ROUND(F11+F12+F13-$C$11,6)</f>
        <v/>
      </c>
      <c r="G14" s="17">
        <f>ROUND(G11+G12+G13-$C$11,6)</f>
        <v/>
      </c>
      <c r="H14" s="17">
        <f>ROUND(H11+H12+H13-$C$11,6)</f>
        <v/>
      </c>
      <c r="I14" s="17">
        <f>ROUND(I11+I12+I13-$C$11,6)</f>
        <v/>
      </c>
      <c r="J14" s="17">
        <f>ROUND(J11+J12+J13-$C$11,6)</f>
        <v/>
      </c>
      <c r="K14" s="17">
        <f>ROUND(K11+K12+K13-$C$11,6)</f>
        <v/>
      </c>
      <c r="L14" s="17">
        <f>ROUND(L11+L12+L13-$C$11,6)</f>
        <v/>
      </c>
      <c r="M14" s="17">
        <f>ROUND(M11+M12+M13-$C$11,6)</f>
        <v/>
      </c>
      <c r="N14" s="17">
        <f>ROUND(N11+N12+N13-$C$11,6)</f>
        <v/>
      </c>
      <c r="O14" s="17">
        <f>ROUND(O11+O12+O13-$C$11,6)</f>
        <v/>
      </c>
      <c r="P14" s="17">
        <f>ROUND(P11+P12+P13-12*C11,6)</f>
        <v/>
      </c>
      <c r="Q14" s="17" t="inlineStr"/>
      <c r="R14" s="17">
        <f>R11+R12+R13</f>
        <v/>
      </c>
    </row>
    <row r="15">
      <c r="A15" t="inlineStr">
        <is>
          <t>IT Specialist</t>
        </is>
      </c>
      <c r="B15" t="inlineStr">
        <is>
          <t>Z6</t>
        </is>
      </c>
      <c r="C15" t="n">
        <v>1</v>
      </c>
      <c r="D15" t="n">
        <v>0.45</v>
      </c>
      <c r="E15" t="n">
        <v>0.45</v>
      </c>
      <c r="F15" t="n">
        <v>0.45</v>
      </c>
      <c r="G15" t="n">
        <v>0.4</v>
      </c>
      <c r="H15" t="n">
        <v>0.35</v>
      </c>
      <c r="I15" t="n">
        <v>0.35</v>
      </c>
      <c r="J15" t="n">
        <v>0.35</v>
      </c>
      <c r="K15" t="n">
        <v>0.3</v>
      </c>
      <c r="L15" t="n">
        <v>0.3</v>
      </c>
      <c r="M15" t="n">
        <v>0</v>
      </c>
      <c r="N15" t="n">
        <v>0</v>
      </c>
      <c r="O15" t="n">
        <v>0</v>
      </c>
      <c r="P15">
        <f>SUM(D15:O15)</f>
        <v/>
      </c>
      <c r="Q15" t="n">
        <v>19000</v>
      </c>
      <c r="R15">
        <f>ROUND(Q15*1.205*P15,2)</f>
        <v/>
      </c>
    </row>
    <row r="16">
      <c r="A16" t="inlineStr">
        <is>
          <t>IT Specialist</t>
        </is>
      </c>
      <c r="B16" t="inlineStr">
        <is>
          <t>Z7</t>
        </is>
      </c>
      <c r="C16" t="n">
        <v>1</v>
      </c>
      <c r="D16" t="n">
        <v>0.55</v>
      </c>
      <c r="E16" t="n">
        <v>0.55</v>
      </c>
      <c r="F16" t="n">
        <v>0.55</v>
      </c>
      <c r="G16" t="n">
        <v>0.45</v>
      </c>
      <c r="H16" t="n">
        <v>0.35</v>
      </c>
      <c r="I16" t="n">
        <v>0.35</v>
      </c>
      <c r="J16" t="n">
        <v>0.35</v>
      </c>
      <c r="K16" t="n">
        <v>0.15</v>
      </c>
      <c r="L16" t="n">
        <v>0.15</v>
      </c>
      <c r="M16" t="n">
        <v>0</v>
      </c>
      <c r="N16" t="n">
        <v>0</v>
      </c>
      <c r="O16" t="n">
        <v>0</v>
      </c>
      <c r="P16">
        <f>SUM(D16:O16)</f>
        <v/>
      </c>
      <c r="Q16" t="n">
        <v>19000</v>
      </c>
      <c r="R16">
        <f>ROUND(Q16*1.205*P16,2)</f>
        <v/>
      </c>
    </row>
    <row r="17">
      <c r="A17" t="inlineStr">
        <is>
          <t>IT Specialist</t>
        </is>
      </c>
      <c r="B17" t="inlineStr">
        <is>
          <t>Z9</t>
        </is>
      </c>
      <c r="C17" t="n">
        <v>1</v>
      </c>
      <c r="D17" t="n">
        <v>0</v>
      </c>
      <c r="E17" t="n">
        <v>0</v>
      </c>
      <c r="F17" t="n">
        <v>0</v>
      </c>
      <c r="G17" t="n">
        <v>0.15</v>
      </c>
      <c r="H17" t="n">
        <v>0.3</v>
      </c>
      <c r="I17" t="n">
        <v>0.3</v>
      </c>
      <c r="J17" t="n">
        <v>0.3</v>
      </c>
      <c r="K17" t="n">
        <v>0.55</v>
      </c>
      <c r="L17" t="n">
        <v>0.55</v>
      </c>
      <c r="M17" t="n">
        <v>1</v>
      </c>
      <c r="N17" t="n">
        <v>1</v>
      </c>
      <c r="O17" t="n">
        <v>1</v>
      </c>
      <c r="P17">
        <f>SUM(D17:O17)</f>
        <v/>
      </c>
      <c r="Q17" t="n">
        <v>19000</v>
      </c>
      <c r="R17">
        <f>ROUND(Q15*1.205*C15*12,2)-R15-R16</f>
        <v/>
      </c>
    </row>
    <row r="18">
      <c r="A18" s="17" t="inlineStr">
        <is>
          <t>kontrola: suma miesięczna - etat (IT Specialist)</t>
        </is>
      </c>
      <c r="B18" s="17" t="inlineStr"/>
      <c r="C18" s="17" t="inlineStr"/>
      <c r="D18" s="17">
        <f>ROUND(D15+D16+D17-$C$15,6)</f>
        <v/>
      </c>
      <c r="E18" s="17">
        <f>ROUND(E15+E16+E17-$C$15,6)</f>
        <v/>
      </c>
      <c r="F18" s="17">
        <f>ROUND(F15+F16+F17-$C$15,6)</f>
        <v/>
      </c>
      <c r="G18" s="17">
        <f>ROUND(G15+G16+G17-$C$15,6)</f>
        <v/>
      </c>
      <c r="H18" s="17">
        <f>ROUND(H15+H16+H17-$C$15,6)</f>
        <v/>
      </c>
      <c r="I18" s="17">
        <f>ROUND(I15+I16+I17-$C$15,6)</f>
        <v/>
      </c>
      <c r="J18" s="17">
        <f>ROUND(J15+J16+J17-$C$15,6)</f>
        <v/>
      </c>
      <c r="K18" s="17">
        <f>ROUND(K15+K16+K17-$C$15,6)</f>
        <v/>
      </c>
      <c r="L18" s="17">
        <f>ROUND(L15+L16+L17-$C$15,6)</f>
        <v/>
      </c>
      <c r="M18" s="17">
        <f>ROUND(M15+M16+M17-$C$15,6)</f>
        <v/>
      </c>
      <c r="N18" s="17">
        <f>ROUND(N15+N16+N17-$C$15,6)</f>
        <v/>
      </c>
      <c r="O18" s="17">
        <f>ROUND(O15+O16+O17-$C$15,6)</f>
        <v/>
      </c>
      <c r="P18" s="17">
        <f>ROUND(P15+P16+P17-12*C15,6)</f>
        <v/>
      </c>
      <c r="Q18" s="17" t="inlineStr"/>
      <c r="R18" s="17">
        <f>R15+R16+R17</f>
        <v/>
      </c>
    </row>
    <row r="19">
      <c r="A19" t="inlineStr">
        <is>
          <t>IoT Specialist</t>
        </is>
      </c>
      <c r="B19" t="inlineStr">
        <is>
          <t>Z6</t>
        </is>
      </c>
      <c r="C19" t="n">
        <v>0.5</v>
      </c>
      <c r="D19" t="n">
        <v>0.1</v>
      </c>
      <c r="E19" t="n">
        <v>0.1</v>
      </c>
      <c r="F19" t="n">
        <v>0.1</v>
      </c>
      <c r="G19" t="n">
        <v>0.1</v>
      </c>
      <c r="H19" t="n">
        <v>0.05</v>
      </c>
      <c r="I19" t="n">
        <v>0.05</v>
      </c>
      <c r="J19" t="n">
        <v>0.05</v>
      </c>
      <c r="K19" t="n">
        <v>0.05</v>
      </c>
      <c r="L19" t="n">
        <v>0.05</v>
      </c>
      <c r="M19" t="n">
        <v>0</v>
      </c>
      <c r="N19" t="n">
        <v>0</v>
      </c>
      <c r="O19" t="n">
        <v>0</v>
      </c>
      <c r="P19">
        <f>SUM(D19:O19)</f>
        <v/>
      </c>
      <c r="Q19" t="n">
        <v>15000</v>
      </c>
      <c r="R19">
        <f>ROUND(Q19*1.205*P19,2)</f>
        <v/>
      </c>
    </row>
    <row r="20">
      <c r="A20" t="inlineStr">
        <is>
          <t>IoT Specialist</t>
        </is>
      </c>
      <c r="B20" t="inlineStr">
        <is>
          <t>Z7</t>
        </is>
      </c>
      <c r="C20" t="n">
        <v>0.5</v>
      </c>
      <c r="D20" t="n">
        <v>0.4</v>
      </c>
      <c r="E20" t="n">
        <v>0.4</v>
      </c>
      <c r="F20" t="n">
        <v>0.4</v>
      </c>
      <c r="G20" t="n">
        <v>0.25</v>
      </c>
      <c r="H20" t="n">
        <v>0.2</v>
      </c>
      <c r="I20" t="n">
        <v>0.2</v>
      </c>
      <c r="J20" t="n">
        <v>0.2</v>
      </c>
      <c r="K20" t="n">
        <v>0.1</v>
      </c>
      <c r="L20" t="n">
        <v>0.1</v>
      </c>
      <c r="M20" t="n">
        <v>0</v>
      </c>
      <c r="N20" t="n">
        <v>0</v>
      </c>
      <c r="O20" t="n">
        <v>0</v>
      </c>
      <c r="P20">
        <f>SUM(D20:O20)</f>
        <v/>
      </c>
      <c r="Q20" t="n">
        <v>15000</v>
      </c>
      <c r="R20">
        <f>ROUND(Q20*1.205*P20,2)</f>
        <v/>
      </c>
    </row>
    <row r="21">
      <c r="A21" t="inlineStr">
        <is>
          <t>IoT Specialist</t>
        </is>
      </c>
      <c r="B21" t="inlineStr">
        <is>
          <t>Z9</t>
        </is>
      </c>
      <c r="C21" t="n">
        <v>0.5</v>
      </c>
      <c r="D21" t="n">
        <v>0</v>
      </c>
      <c r="E21" t="n">
        <v>0</v>
      </c>
      <c r="F21" t="n">
        <v>0</v>
      </c>
      <c r="G21" t="n">
        <v>0.15</v>
      </c>
      <c r="H21" t="n">
        <v>0.25</v>
      </c>
      <c r="I21" t="n">
        <v>0.25</v>
      </c>
      <c r="J21" t="n">
        <v>0.25</v>
      </c>
      <c r="K21" t="n">
        <v>0.35</v>
      </c>
      <c r="L21" t="n">
        <v>0.35</v>
      </c>
      <c r="M21" t="n">
        <v>0.5</v>
      </c>
      <c r="N21" t="n">
        <v>0.5</v>
      </c>
      <c r="O21" t="n">
        <v>0.5</v>
      </c>
      <c r="P21">
        <f>SUM(D21:O21)</f>
        <v/>
      </c>
      <c r="Q21" t="n">
        <v>15000</v>
      </c>
      <c r="R21">
        <f>ROUND(Q19*1.205*C19*12,2)-R19-R20</f>
        <v/>
      </c>
    </row>
    <row r="22">
      <c r="A22" s="17" t="inlineStr">
        <is>
          <t>kontrola: suma miesięczna - etat (IoT Specialist)</t>
        </is>
      </c>
      <c r="B22" s="17" t="inlineStr"/>
      <c r="C22" s="17" t="inlineStr"/>
      <c r="D22" s="17">
        <f>ROUND(D19+D20+D21-$C$19,6)</f>
        <v/>
      </c>
      <c r="E22" s="17">
        <f>ROUND(E19+E20+E21-$C$19,6)</f>
        <v/>
      </c>
      <c r="F22" s="17">
        <f>ROUND(F19+F20+F21-$C$19,6)</f>
        <v/>
      </c>
      <c r="G22" s="17">
        <f>ROUND(G19+G20+G21-$C$19,6)</f>
        <v/>
      </c>
      <c r="H22" s="17">
        <f>ROUND(H19+H20+H21-$C$19,6)</f>
        <v/>
      </c>
      <c r="I22" s="17">
        <f>ROUND(I19+I20+I21-$C$19,6)</f>
        <v/>
      </c>
      <c r="J22" s="17">
        <f>ROUND(J19+J20+J21-$C$19,6)</f>
        <v/>
      </c>
      <c r="K22" s="17">
        <f>ROUND(K19+K20+K21-$C$19,6)</f>
        <v/>
      </c>
      <c r="L22" s="17">
        <f>ROUND(L19+L20+L21-$C$19,6)</f>
        <v/>
      </c>
      <c r="M22" s="17">
        <f>ROUND(M19+M20+M21-$C$19,6)</f>
        <v/>
      </c>
      <c r="N22" s="17">
        <f>ROUND(N19+N20+N21-$C$19,6)</f>
        <v/>
      </c>
      <c r="O22" s="17">
        <f>ROUND(O19+O20+O21-$C$19,6)</f>
        <v/>
      </c>
      <c r="P22" s="17">
        <f>ROUND(P19+P20+P21-12*C19,6)</f>
        <v/>
      </c>
      <c r="Q22" s="17" t="inlineStr"/>
      <c r="R22" s="17">
        <f>R19+R20+R21</f>
        <v/>
      </c>
    </row>
    <row r="23">
      <c r="A23" t="inlineStr">
        <is>
          <t>Specjalista ds. logistyki TSL</t>
        </is>
      </c>
      <c r="B23" t="inlineStr">
        <is>
          <t>Z6</t>
        </is>
      </c>
      <c r="C23" t="n">
        <v>0.5</v>
      </c>
      <c r="D23" t="n">
        <v>0.15</v>
      </c>
      <c r="E23" t="n">
        <v>0.15</v>
      </c>
      <c r="F23" t="n">
        <v>0.15</v>
      </c>
      <c r="G23" t="n">
        <v>0.15</v>
      </c>
      <c r="H23" t="n">
        <v>0.15</v>
      </c>
      <c r="I23" t="n">
        <v>0.15</v>
      </c>
      <c r="J23" t="n">
        <v>0.15</v>
      </c>
      <c r="K23" t="n">
        <v>0.15</v>
      </c>
      <c r="L23" t="n">
        <v>0.15</v>
      </c>
      <c r="M23" t="n">
        <v>0</v>
      </c>
      <c r="N23" t="n">
        <v>0</v>
      </c>
      <c r="O23" t="n">
        <v>0</v>
      </c>
      <c r="P23">
        <f>SUM(D23:O23)</f>
        <v/>
      </c>
      <c r="Q23" t="n">
        <v>10000</v>
      </c>
      <c r="R23">
        <f>ROUND(Q23*1.205*P23,2)</f>
        <v/>
      </c>
    </row>
    <row r="24">
      <c r="A24" t="inlineStr">
        <is>
          <t>Specjalista ds. logistyki TSL</t>
        </is>
      </c>
      <c r="B24" t="inlineStr">
        <is>
          <t>Z7</t>
        </is>
      </c>
      <c r="C24" t="n">
        <v>0.5</v>
      </c>
      <c r="D24" t="n">
        <v>0.35</v>
      </c>
      <c r="E24" t="n">
        <v>0.35</v>
      </c>
      <c r="F24" t="n">
        <v>0.35</v>
      </c>
      <c r="G24" t="n">
        <v>0.2</v>
      </c>
      <c r="H24" t="n">
        <v>0.1</v>
      </c>
      <c r="I24" t="n">
        <v>0.1</v>
      </c>
      <c r="J24" t="n">
        <v>0.1</v>
      </c>
      <c r="K24" t="n">
        <v>0.05</v>
      </c>
      <c r="L24" t="n">
        <v>0.05</v>
      </c>
      <c r="M24" t="n">
        <v>0</v>
      </c>
      <c r="N24" t="n">
        <v>0</v>
      </c>
      <c r="O24" t="n">
        <v>0</v>
      </c>
      <c r="P24">
        <f>SUM(D24:O24)</f>
        <v/>
      </c>
      <c r="Q24" t="n">
        <v>10000</v>
      </c>
      <c r="R24">
        <f>ROUND(Q24*1.205*P24,2)</f>
        <v/>
      </c>
    </row>
    <row r="25">
      <c r="A25" t="inlineStr">
        <is>
          <t>Specjalista ds. logistyki TSL</t>
        </is>
      </c>
      <c r="B25" t="inlineStr">
        <is>
          <t>Z9</t>
        </is>
      </c>
      <c r="C25" t="n">
        <v>0.5</v>
      </c>
      <c r="D25" t="n">
        <v>0</v>
      </c>
      <c r="E25" t="n">
        <v>0</v>
      </c>
      <c r="F25" t="n">
        <v>0</v>
      </c>
      <c r="G25" t="n">
        <v>0.15</v>
      </c>
      <c r="H25" t="n">
        <v>0.25</v>
      </c>
      <c r="I25" t="n">
        <v>0.25</v>
      </c>
      <c r="J25" t="n">
        <v>0.25</v>
      </c>
      <c r="K25" t="n">
        <v>0.3</v>
      </c>
      <c r="L25" t="n">
        <v>0.3</v>
      </c>
      <c r="M25" t="n">
        <v>0.5</v>
      </c>
      <c r="N25" t="n">
        <v>0.5</v>
      </c>
      <c r="O25" t="n">
        <v>0.5</v>
      </c>
      <c r="P25">
        <f>SUM(D25:O25)</f>
        <v/>
      </c>
      <c r="Q25" t="n">
        <v>10000</v>
      </c>
      <c r="R25">
        <f>ROUND(Q23*1.205*C23*12,2)-R23-R24</f>
        <v/>
      </c>
    </row>
    <row r="26">
      <c r="A26" s="17" t="inlineStr">
        <is>
          <t>kontrola: suma miesięczna - etat (Specjalista ds. logistyki TSL)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Backend/Full-Stack Developer</t>
        </is>
      </c>
      <c r="B27" t="inlineStr">
        <is>
          <t>Z6</t>
        </is>
      </c>
      <c r="C27" t="n">
        <v>1</v>
      </c>
      <c r="D27" t="n">
        <v>1</v>
      </c>
      <c r="E27" t="n">
        <v>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>
        <f>SUM(D27:O27)</f>
        <v/>
      </c>
      <c r="Q27" t="n">
        <v>18000</v>
      </c>
      <c r="R27">
        <f>ROUND(Q27*1.205*P27,2)</f>
        <v/>
      </c>
    </row>
    <row r="28">
      <c r="A28" t="inlineStr">
        <is>
          <t>Backend/Full-Stack Developer</t>
        </is>
      </c>
      <c r="B28" t="inlineStr">
        <is>
          <t>Z9</t>
        </is>
      </c>
      <c r="C28" t="n">
        <v>1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1</v>
      </c>
      <c r="O28" t="n">
        <v>1</v>
      </c>
      <c r="P28">
        <f>SUM(D28:O28)</f>
        <v/>
      </c>
      <c r="Q28" t="n">
        <v>18000</v>
      </c>
      <c r="R28">
        <f>ROUND(Q28*1.205*P28,2)</f>
        <v/>
      </c>
    </row>
    <row r="30">
      <c r="A30" t="inlineStr">
        <is>
          <t>Razem według zadań</t>
        </is>
      </c>
      <c r="O30" t="inlineStr">
        <is>
          <t>Z6</t>
        </is>
      </c>
      <c r="R30">
        <f>SUMIF(B3:B28,"Z6",R3:R28)</f>
        <v/>
      </c>
    </row>
    <row r="31">
      <c r="O31" t="inlineStr">
        <is>
          <t>Z7</t>
        </is>
      </c>
      <c r="R31">
        <f>SUMIF(B3:B28,"Z7",R3:R28)</f>
        <v/>
      </c>
    </row>
    <row r="32">
      <c r="O32" t="inlineStr">
        <is>
          <t>Z9</t>
        </is>
      </c>
      <c r="R32">
        <f>SUMIF(B3:B28,"Z9",R3:R28)</f>
        <v/>
      </c>
    </row>
    <row r="33">
      <c r="A33" t="inlineStr">
        <is>
          <t>Suma Z6+Z7+Z9</t>
        </is>
      </c>
      <c r="R33">
        <f>SUM(R30:R32)</f>
        <v/>
      </c>
    </row>
    <row r="34">
      <c r="A34" t="inlineStr">
        <is>
          <t>Stan dotychczasowy (6 stanowisk /3 + Backend Z6 12 mc)</t>
        </is>
      </c>
      <c r="R34">
        <f>959782.5+260280</f>
        <v/>
      </c>
    </row>
    <row r="35">
      <c r="A35" t="inlineStr">
        <is>
          <t>Różnica (powinna wynosić 0)</t>
        </is>
      </c>
      <c r="R35">
        <f>ROUND(R33-R34,2)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2026-10-01T20:56:06Z</dcterms:modified>
</cp:coreProperties>
</file>