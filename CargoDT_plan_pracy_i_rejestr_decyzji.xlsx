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05.10.2026,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  <row r="15">
      <c r="A15" t="inlineStr">
        <is>
          <t>Min. 3 dostawców w metodzie szacowania</t>
        </is>
      </c>
      <c r="B15" t="inlineStr">
        <is>
          <t>Każdy koszt ma w metodzie co najmniej trzech dostawców lub źródeł cen z nazwy, a jeśli usługa ma jednego dostawcę z natury (organizator kongresu, opłaty urzędowe EPO), napisano to wprost. Ustalenie właścicielki, 02.10.2026.</t>
        </is>
      </c>
    </row>
    <row r="16">
      <c r="A16" t="inlineStr">
        <is>
          <t>Pliki zamknięte (D50)</t>
        </is>
      </c>
      <c r="B16" t="inlineStr">
        <is>
          <t>Korygujemy wyłącznie: Model_finansowy_CargoDT_Everest_II_kwartal_2026.xlsm, Sekcja_K6_sprawozdanie_2Q2026_model.docx i ten rejestr. Pliki Sekcja_1.3_i_ceny.docx, Poprawki_do_wklejenia_WP01-WP03.docx i Opisy_zadan_z_kamieniami_milowymi.docx są zamknięte: zmiany w nich opisuje wyłącznie Zmiany_do_wprowadzenia_w_plikach_zamknietych.docx.</t>
        </is>
      </c>
    </row>
    <row r="17">
      <c r="A17" t="inlineStr">
        <is>
          <t>Błędy własne</t>
        </is>
      </c>
      <c r="B17" t="inlineStr">
        <is>
          <t>Każdy błąd Claude znaleziony w trakcie pracy trafia do arkusza 8 z opisem korekty (np. E22 do E28).</t>
        </is>
      </c>
    </row>
    <row r="18">
      <c r="A18" t="inlineStr">
        <is>
          <t>Komentarze w modelu</t>
        </is>
      </c>
      <c r="B18" t="inlineStr">
        <is>
          <t>Pole Komentarz w arkuszach modelu ma limit 10 000 znaków (Instrukcja modelu). Liczby w komentarzach muszą zgadzać się z przeliczonym modelem; po każdej zmianie danych przeliczamy model kontrolnie.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 | 05.10: koszt 4 875 zł zostaje; propozycja podstawy kwoty (9 komponentów) i zespół komercjalizacji w dokumencie K6, część 8 (D53).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ZAMKNIĘTE (06.10.2026): źródła są w pliku CargoDT_LSI_do_wklejenia.docx: Eurostat road_eqs_semit 2023 (544,97 tys. naczep), GITD (43 280 licencji, 07.2026), PZPM (72%), Frost &amp; Sullivan (86%), TLP/SpotData (76 tys. firm), GUS (12 tys. spedytorów). SAM 200 tys. ma wyliczenie (ok. 337 tys. naczep, przyjęto 200 tys.). Zostaje do poprawy zdanie o CEE (N91).</t>
        </is>
      </c>
      <c r="D21" s="7" t="inlineStr">
        <is>
          <t>ZAMKNIĘTE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ZASTĄPIONA (06.10.2026): rozbieżności między anotatorami rozstrzyga AI Senior Engineer (autor specyfikacji anotacji) według binarnych kryteriów taksonomii z Z3; specjalista TSL dostarcza tylko protokoły inspekcji (zgodnie z plikiem LSI i uwagą K3-11). Wcześniejsza wersja: konsensus ze specjalistą TSL. Trzech anotatorów Everest11; PRz tylko odbiera dataset (zakaz wzajemnego zlecania zadań, Instrukcja i Przewodnik).</t>
        </is>
      </c>
      <c r="D22" s="12" t="inlineStr">
        <is>
          <t>ZASTĄPIONA (do potwierdzenia przez właścicielkę)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  <row r="44">
      <c r="A44" s="2" t="inlineStr">
        <is>
          <t>D43</t>
        </is>
      </c>
      <c r="B44" s="2" t="inlineStr">
        <is>
          <t>PRz Z8: godziny obniżone do stawek z Z1-Z5, budżet bez zmian</t>
        </is>
      </c>
      <c r="C44" s="2" t="inlineStr">
        <is>
          <t>Decyzja właścicielki: stawki godzinowe w Z8 mają być takie same jak w Z1, Z3, Z4, Z5 (x1,08 względem dotychczasowych liczb w Z8), a godziny są obniżone (np. główny specjalista 301 zamiast 325). Godziny Z8: 301, 301, 111, 102, 224, 185, 189, 185; suma Z8 113 076,00 zł (było 113 084,00); suma pozycji osobowych PRz 679 464,72 zł (było 679 472,72). Z1, Z3, Z4, Z5 bez zmian (zgodne z plikiem PRz).</t>
        </is>
      </c>
      <c r="D44" s="16" t="inlineStr">
        <is>
          <t>ZATWIERDZONA (właścicielka)</t>
        </is>
      </c>
      <c r="E44" s="2" t="inlineStr">
        <is>
          <t>Właścicielka, PRz</t>
        </is>
      </c>
      <c r="F44" s="2" t="inlineStr">
        <is>
          <t>K3-41, K3-42</t>
        </is>
      </c>
    </row>
    <row r="45">
      <c r="A45" s="2" t="inlineStr">
        <is>
          <t>D44</t>
        </is>
      </c>
      <c r="B45" s="2" t="inlineStr">
        <is>
          <t>Podwykonawstwo Z2/Z9: średnia z 3 ofert, rozdział zakresu, R8</t>
        </is>
      </c>
      <c r="C45" s="2" t="inlineStr">
        <is>
          <t>Z2 150 000 zł: montaż toru (M7-M8) i demontaż po kampanii (M18), 600 godz. x 250 zł (50 000 zł za pojazd). Z9 70 000 zł: montaż zestawów prototypowych (M22) i demontaż (M30), ok. 280 godz. x 250 zł (ok. 23 333 zł za pojazd). Kwoty to średnia 3 ofert (Cadway-Automotive, RLE VESOFTX, BEISSBARTH EQUIPMENT); rozkład godzin to kalkulacja Everest11 dobrana do ofert. Stawka 250 zł/h w zakresie 200-300 zł (kb.pl, Interia, cenauslug.pl; do sprawdzenia w przeglądarce). Wybór wykonawcy z zachowaniem zasady konkurencyjności. Nazwa Z9 wg N29. R8 przepisane. WERSJA OSTATECZNA: plik Sekcja_3.1_podwykonawstwo_i_stawki_PRz.docx z poprawkami właścicielki (usunięto zdanie „Podwykonawca nie wykona prac badawczych”, atrybucję godzin do IoT Specialist i odwołanie do pkt 6.4 w wyborze wykonawcy).</t>
        </is>
      </c>
      <c r="D45" s="16" t="inlineStr">
        <is>
          <t>ZATWIERDZONA (D08), szczegóły do potwierdzenia T37</t>
        </is>
      </c>
      <c r="E45" s="2" t="inlineStr">
        <is>
          <t>Właścicielka</t>
        </is>
      </c>
      <c r="F45" s="2" t="inlineStr">
        <is>
          <t>K3-43..47, K5-19</t>
        </is>
      </c>
    </row>
    <row r="46">
      <c r="A46" s="2" t="inlineStr">
        <is>
          <t>D45</t>
        </is>
      </c>
      <c r="B46" s="2" t="inlineStr">
        <is>
          <t>K6-07: dane za II kwartał 2026 w modelu Everest11 i prognoza dotychczasowej działalności z I półrocza x 2</t>
        </is>
      </c>
      <c r="C46" s="2" t="inlineStr">
        <is>
          <t>Do modelu wpisane: data sprawozdania 30.06.2026 (Założenia C14), bilans i RZiS (Sprawozdania finansowe, kol. F) oraz prognoza dotychczasowej działalności z wyniku I półrocza razy 2 (Przychody w. 27: 19 526,84; Koszty w. 15, 24, 43, 65). Wpływ: zysk netto łącznie 2026 996 -&gt; 962 tys. zł, środki na koniec 2026 2 648 -&gt; 2 564 tys. zł, wskaźniki bez istotnych zmian, opłacalność bez zmian. Dwie komórki (F82, F195) z zaokrągleniem o 0,11 i 0,02 tys. zł, by bilans się zgadzał.</t>
        </is>
      </c>
      <c r="D46" s="16" t="inlineStr">
        <is>
          <t>DO POTWIERDZENIA</t>
        </is>
      </c>
      <c r="E46" s="2" t="inlineStr">
        <is>
          <t>Właścicielka</t>
        </is>
      </c>
      <c r="F46" s="2" t="inlineStr">
        <is>
          <t>K6-07, K6-06, K6-09</t>
        </is>
      </c>
    </row>
    <row r="47">
      <c r="A47" s="2" t="inlineStr">
        <is>
          <t>D46</t>
        </is>
      </c>
      <c r="B47" s="2" t="inlineStr">
        <is>
          <t>Rotacje dotychczasowej działalności: poziom z I półrocza 2026 (należności 37 dni, zobowiązania 29 dni) zamiast średniej 2023-2025</t>
        </is>
      </c>
      <c r="C47" s="2" t="inlineStr">
        <is>
          <t>Model: średnia 2023-2025 (96-133 dni). Rzeczywiste: 59 dni (31.03.2026), 29 dni (30.06.2026). Wrażliwość: przy 60 dniach środki na koniec 2026 760 tys. zł, przy 29 dniach -793 tys. zł. Rekomendacja: wariant A i wyjaśnienie księgowej (T40), albo wariant B (60 dni).</t>
        </is>
      </c>
      <c r="D47" s="16" t="inlineStr">
        <is>
          <t>WPROWADZONA W MODELU (do potwierdzenia przez właścicielkę)</t>
        </is>
      </c>
      <c r="E47" s="2" t="inlineStr">
        <is>
          <t>Właścicielka, księgowa</t>
        </is>
      </c>
      <c r="F47" s="2" t="inlineStr">
        <is>
          <t>K6-04, K6-08</t>
        </is>
      </c>
    </row>
    <row r="48">
      <c r="A48" s="2" t="inlineStr">
        <is>
          <t>D47</t>
        </is>
      </c>
      <c r="B48" s="2" t="inlineStr">
        <is>
          <t>Zakupy od Natanek Logistics (ok. 95% usług obcych) opisujemy wprost; Natanek Logistics nie jest „niezależnym klientem”</t>
        </is>
      </c>
      <c r="C48" s="2" t="inlineStr">
        <is>
          <t>Decyzja właścicielki 05.10.2026: piszemy wprost o skali (ok. 13,4 mln zł w 2025, ok. 8,4 mln zł w I półroczu 2026). Zmiany: ryzyko R12 (Opisy zadań, Poprawki), opis Z9 (niezależność walidacji), pkt 1.3 (Natanek Logistics powiązany z Inwestorem), komentarz Sprawozdania w modelu.</t>
        </is>
      </c>
      <c r="D48" s="16" t="inlineStr">
        <is>
          <t>ZATWIERDZONA</t>
        </is>
      </c>
      <c r="E48" s="2" t="inlineStr">
        <is>
          <t>Właścicielka</t>
        </is>
      </c>
      <c r="F48" s="2" t="inlineStr">
        <is>
          <t>K3-32, K3-11, K6-16</t>
        </is>
      </c>
    </row>
    <row r="49">
      <c r="A49" s="2" t="inlineStr">
        <is>
          <t>D48</t>
        </is>
      </c>
      <c r="B49" s="2" t="inlineStr">
        <is>
          <t>Dotychczasowa działalność: jeden odbiorca (Amazon, umowa); usunięte „ponad 50 aktywnych kontrahentów”</t>
        </is>
      </c>
      <c r="C49" s="2" t="inlineStr">
        <is>
          <t>Decyzja właścicielki 05.10.2026: Amazon to jedyny aktywny odbiorca w 2026 (95% w 2025, 5% Nara Motors). Usunięte sformułowania o bazie 50+ w pkt 1.3 (3 miejsca), komentarzach modelu (Przychody, Koszty, Opłacalność) i planie zastępczym R11. Kanał sprzedaży CargoDT: trzej operatorzy z LOI na 50 naczep, sprzedaż bezpośrednia, 15 rozmów (III-V 2026).</t>
        </is>
      </c>
      <c r="D49" s="16" t="inlineStr">
        <is>
          <t>ZATWIERDZONA</t>
        </is>
      </c>
      <c r="E49" s="2" t="inlineStr">
        <is>
          <t>Właścicielka</t>
        </is>
      </c>
      <c r="F49" s="2" t="inlineStr">
        <is>
          <t>K2-01, K2-16, K6-05</t>
        </is>
      </c>
    </row>
    <row r="50">
      <c r="A50" s="2" t="inlineStr">
        <is>
          <t>D49</t>
        </is>
      </c>
      <c r="B50" s="2" t="inlineStr">
        <is>
          <t>K6-12: struktura udziałów po dokapitalizowaniu</t>
        </is>
      </c>
      <c r="C50" s="2" t="inlineStr">
        <is>
          <t>Jedyny wspólnik: Wojciech Chrzanowski (KRS: wpis 02.06.2025, 100 udziałów, 5 000 zł). Po przyznaniu dofinansowania wycena spółki, Z. Natanek obejmie udziały zgodnie z wyceną, nie więcej niż 20%. Przy wkładzie 1 253 358 zł 20% to wycena po podwyższeniu ok. 6,3 mln zł. Komentarz w arkuszu Finansowanie.</t>
        </is>
      </c>
      <c r="D50" s="16" t="inlineStr">
        <is>
          <t>ZATWIERDZONA</t>
        </is>
      </c>
      <c r="E50" s="2" t="inlineStr">
        <is>
          <t>Właścicielka</t>
        </is>
      </c>
      <c r="F50" s="2" t="inlineStr">
        <is>
          <t>K6-12</t>
        </is>
      </c>
    </row>
    <row r="51">
      <c r="A51" s="2" t="inlineStr">
        <is>
          <t>D50</t>
        </is>
      </c>
      <c r="B51" s="2" t="inlineStr">
        <is>
          <t>Zasada organizacyjna: korygujemy tylko model Everest11, dokument K6 i rejestr; pozostałe pliki są zamknięte</t>
        </is>
      </c>
      <c r="C51" s="2" t="inlineStr">
        <is>
          <t>Decyzja właścicielki 05.10.2026: Sekcja_1.3_i_ceny.docx, Poprawki_do_wklejenia_WP01-WP03.docx, Opisy_zadan_z_kamieniami_milowymi.docx nie są zmieniane. Wszystkie zmiany do nich opisuje odrębne zestawienie Zmiany_do_wprowadzenia_w_plikach_zamknietych.docx. Trzy pliki przywrócone do wersji sprzed zmian z 05.10.</t>
        </is>
      </c>
      <c r="D51" s="16" t="inlineStr">
        <is>
          <t>ZATWIERDZONA</t>
        </is>
      </c>
      <c r="E51" s="2" t="inlineStr">
        <is>
          <t>Właścicielka</t>
        </is>
      </c>
      <c r="F51" s="2" t="inlineStr">
        <is>
          <t>D47, D48, N83</t>
        </is>
      </c>
    </row>
    <row r="52">
      <c r="A52" s="2" t="inlineStr">
        <is>
          <t>D51</t>
        </is>
      </c>
      <c r="B52" s="2" t="inlineStr">
        <is>
          <t>K6-12: kapitał zakładowy rośnie tylko o wartość nominalną, wkład inwestora to głównie nadwyżka na kapitał zapasowy</t>
        </is>
      </c>
      <c r="C52" s="2" t="inlineStr">
        <is>
          <t>Zastępuje zdanie o wycenie 6,3 mln zł. Inwestor obejmuje wszystkie nowe udziały, dotychczasowy wspólnik niczego nie wnosi (25 udziałów po 50 zł = 1 250 zł nominalnie przy 20%). Wycena po przyznaniu dofinansowania określa liczbę udziałów i cenę emisyjną. Uwaga: przy wkładzie 1 253 358 zł i limicie 20% wycena po podwyższeniu musi wynieść co najmniej ok. 6,3 mln zł (przed ok. 5,0 mln zł).</t>
        </is>
      </c>
      <c r="D52" s="16" t="inlineStr">
        <is>
          <t>ZATWIERDZONA (tekst), ryzyko wyceny do świadomości właścicielki</t>
        </is>
      </c>
      <c r="E52" s="2" t="inlineStr">
        <is>
          <t>Właścicielka</t>
        </is>
      </c>
      <c r="F52" s="2" t="inlineStr">
        <is>
          <t>K6-12</t>
        </is>
      </c>
    </row>
    <row r="53">
      <c r="A53" s="2" t="inlineStr">
        <is>
          <t>D52</t>
        </is>
      </c>
      <c r="B53" s="2" t="inlineStr">
        <is>
          <t>K6-14: harmonogram płatności skorygowany (suma zaliczek 89,5% Everest11 i 89,63% konsorcjum)</t>
        </is>
      </c>
      <c r="C53" s="2" t="inlineStr">
        <is>
          <t>Wcześniejsza weryfikacja K6-14 była błędna (zaliczka liczona jako F razy H). Poprawnie suma zaliczek wynosiła 91,63% i 91,21% (limit 90%), refundacja końcowa 8,4% i 8,8%. Przesunięte 63 048,12 zł dofinansowania z II półrocza 2028 do II półrocza 2029 w obu arkuszach (Everest11 i Konsorcjum). Sumy bez zmian. Plik PRz ma 90,0% i 10,0%.</t>
        </is>
      </c>
      <c r="D53" s="16" t="inlineStr">
        <is>
          <t>WPROWADZONA W MODELU</t>
        </is>
      </c>
      <c r="E53" s="2" t="inlineStr">
        <is>
          <t>Claude</t>
        </is>
      </c>
      <c r="F53" s="2" t="inlineStr">
        <is>
          <t>K6-14</t>
        </is>
      </c>
    </row>
    <row r="54">
      <c r="A54" s="2" t="inlineStr">
        <is>
          <t>D53</t>
        </is>
      </c>
      <c r="B54" s="2" t="inlineStr">
        <is>
          <t>K2-13 i N58: koszt docelowy zestawu 4 875 zł (9 komponentów) i zespół komercjalizacji 1,5-4,5 etatu przy 19,2 tys. zł/etat</t>
        </is>
      </c>
      <c r="C54" s="2" t="inlineStr">
        <is>
          <t>Propozycja Claude na prośbę właścicielki („wiarygodnie i spójnie”). Tylko cena Jetson (399 USD, 1KU+) pochodzi z cennika; pozostałe ceny to założenia klasy OEM do potwierdzenia ofertami w Z7. Etaty wynikają dokładnie z kwot w modelu; widełki płac z Hays Salary Guide 2026 (13 000-19 000 zł brutto). Wrażliwość: koszt +1 000 zł obniża marżę brutto z 35% do 22%.</t>
        </is>
      </c>
      <c r="D54" s="16" t="inlineStr">
        <is>
          <t>DO ZATWIERDZENIA (dział techniczny, właścicielka)</t>
        </is>
      </c>
      <c r="E54" s="2" t="inlineStr">
        <is>
          <t>Dział techniczny, właścicielka</t>
        </is>
      </c>
      <c r="F54" s="2" t="inlineStr">
        <is>
          <t>K2-12, K2-13, N58</t>
        </is>
      </c>
    </row>
    <row r="55">
      <c r="A55" s="2" t="inlineStr">
        <is>
          <t>D54</t>
        </is>
      </c>
      <c r="B55" s="2" t="inlineStr">
        <is>
          <t>Korekta o 1 grosz w budżecie (wersja C wniosku)</t>
        </is>
      </c>
      <c r="C55" s="2" t="inlineStr">
        <is>
          <t>Dofinansowanie Everest11 w LSI 2 964 296,11 zł (konsorcjum 3 998 262,01 zł), wkład własny 1 253 357,99 zł ogółem i 1 172 420,21 zł kwalifikowalnie. Powód: LSI obcina dofinansowanie do pełnych groszy w pozycjach AI Senior Engineer Z9 i podwykonawstwo Z9. Model dopasowany: kolumna F w obu arkuszach Zaliczka-refundacja obcięta do groszy.</t>
        </is>
      </c>
      <c r="D55" s="16" t="inlineStr">
        <is>
          <t>WPROWADZONA W MODELU</t>
        </is>
      </c>
      <c r="E55" s="2" t="inlineStr">
        <is>
          <t>Właścicielka, Claude</t>
        </is>
      </c>
      <c r="F55" s="2" t="inlineStr">
        <is>
          <t>K6-12, K6-14</t>
        </is>
      </c>
    </row>
    <row r="56">
      <c r="A56" s="2" t="inlineStr">
        <is>
          <t>D55</t>
        </is>
      </c>
      <c r="B56" s="2" t="inlineStr">
        <is>
          <t>Szczegółowe komentarze do 11 arkuszy modelu (zarzut „zbyt ogólne”)</t>
        </is>
      </c>
      <c r="C56" s="2" t="inlineStr">
        <is>
          <t>Nowe teksty w Sekcja_K6, część 9 (limit 10 000 znaków, Instrukcja pkt 16), do wklejenia przez właścicielkę w komórki: Założenia B79, Sprawozdania B203, Przychody B255, Koszty B645, Środki trwałe B873, Rozliczenie dotacji B327, Kapitał pracujący B133, Finansowanie B179, Opłacalność B106, Ocena B444, Opłacalność - Konsorcjum B101. Zastępują komentarze z części 4.</t>
        </is>
      </c>
      <c r="D56" s="16" t="inlineStr">
        <is>
          <t>TEKST GOTOWY (do wklejenia w model)</t>
        </is>
      </c>
      <c r="E56" s="2" t="inlineStr">
        <is>
          <t>Właścicielka, Claude</t>
        </is>
      </c>
      <c r="F56" s="2" t="inlineStr">
        <is>
          <t>K6-01 do K6-17 (ogólność komentarzy)</t>
        </is>
      </c>
    </row>
    <row r="57">
      <c r="A57" s="2" t="inlineStr">
        <is>
          <t>D56</t>
        </is>
      </c>
      <c r="B57" s="2" t="inlineStr">
        <is>
          <t>Przegląd pliku CargoDT_LSI_do_wklejenia.docx (opisy po weryfikacji technicznej)</t>
        </is>
      </c>
      <c r="C57" s="2" t="inlineStr">
        <is>
          <t>Plik odpowiada na większość uwag technicznych (K1, K3 zadania i KM, R1 do R5, R9), progi spójne we wszystkich polach. Nie wolno go wklejać bez poprawek: 5 problemów wysokiej wagi (baza ponad 50 kontrahentów, R11 i R12 niezgodne z D47 i D48, brak pól K3-33 i K3-39, zamiany ZNAJDŹ nieistniejące w wersji C, K14-01). Szczegóły i teksty zamienne: Zmiany_do_wprowadzenia_w_plikach_zamknietych.docx, część 7.</t>
        </is>
      </c>
      <c r="D57" s="16" t="inlineStr">
        <is>
          <t>WYNIK GOTOWY (część 7), DECYZJE DO PODJĘCIA</t>
        </is>
      </c>
      <c r="E57" s="2" t="inlineStr">
        <is>
          <t>Właścicielka, dział techniczny, Claude</t>
        </is>
      </c>
      <c r="F57" s="2" t="inlineStr">
        <is>
          <t>K1-01 do K3-66, K5-12/13, K14-01</t>
        </is>
      </c>
    </row>
    <row r="58">
      <c r="A58" s="2" t="inlineStr">
        <is>
          <t>D57</t>
        </is>
      </c>
      <c r="B58" s="2" t="inlineStr">
        <is>
          <t>R10 kontra 2.2 i Z11: czy sprzedaż może ruszyć przed przeniesieniem praw PRz</t>
        </is>
      </c>
      <c r="C58" s="2" t="inlineStr">
        <is>
          <t>Propozycja Claude: sprzedaż po przeniesieniu (do 30.11.2029), pilotaż 11.2029 na podstawie umowy o wykonywaniu wspólnych praw (§ 11 ust. 5); usunąć z R10 zdanie „Brak przeniesienia nie wstrzymuje wdrożenia”.</t>
        </is>
      </c>
      <c r="D58" s="16" t="inlineStr">
        <is>
          <t>DO ZATWIERDZENIA</t>
        </is>
      </c>
      <c r="E58" s="2" t="inlineStr">
        <is>
          <t>Właścicielka (po konsultacji z PRz)</t>
        </is>
      </c>
      <c r="F58" s="2" t="inlineStr">
        <is>
          <t>K2-02, K3-25</t>
        </is>
      </c>
    </row>
    <row r="59">
      <c r="A59" s="2" t="inlineStr">
        <is>
          <t>D58</t>
        </is>
      </c>
      <c r="B59" s="2" t="inlineStr">
        <is>
          <t>K14-01: wskaźnik „Przychody ze sprzedaży poza RP” (wartość 0 zł w 2030 r.)</t>
        </is>
      </c>
      <c r="C59" s="2" t="inlineStr">
        <is>
          <t>ZASTĘPUJE wcześniejszą propozycję z 06.10 (pierwsza licencja CEE w 2030). Obowiązuje D40: wartość 0 zł w 2030 r., ryzyko komentarza eksperta zaakceptowane. Do zrobienia: wkleić pole 8.2 z Sekcja_3.2 część 6 i zamienić zdanie „wynikają z modelu od 2032-2033” na „przychodów poza RP nie zakładamy w prognozie”, bo model nie ma sprzedaży zagranicznej.</t>
        </is>
      </c>
      <c r="D59" s="16" t="inlineStr">
        <is>
          <t>ZAMKNIĘTA (D40), do wklejenia</t>
        </is>
      </c>
      <c r="E59" s="2" t="inlineStr">
        <is>
          <t>Właścicielka</t>
        </is>
      </c>
      <c r="F59" s="2" t="inlineStr">
        <is>
          <t>K14-01, K3-24, K2-05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ZROBIONE 05.10 (sprawozdanie II kw., księgowa, KRS, polityka rachunkowości); zob. T44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WYCOFANE (D48): brak bazy 50+ aktywnych kontrahentów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PROPOZYCJA GOTOWA (D53); czeka na dział techniczny (T46)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PROPOZYCJA GOTOWA (D53); czeka na dział techniczny (T46)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WYCOFANE (D48): brak bazy 50+ aktywnych kontrahentów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Zakupy Everest11 i PRz: potwierdzić ceny w 3 źródłach każdej pozycji amortyzacji (tabela w części 6 pliku Sekcja_3.1)</t>
        </is>
      </c>
      <c r="C34" s="4" t="inlineStr">
        <is>
          <t>W metodach wpisano po 3 dostawców; ceny zweryfikowane dla części składników, dla pozostałych (IMU, UPS supercap, LED, minikomputery PRz) do potwierdzenia.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potwierdzona (jednorazowy odpis kompletów do 10 000 zł); symbole KŚT w ewidencji, nie w polach LSI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ZROBIONE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D06 kamery; klasa dysku NVMe; pasmo i cena radaru; płyta nośna do Jetsona (ok. 1 000 zł na komplet); klasa switcha PoE+. Czekamy na odpowiedź.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WYSŁANE (właścicielka potwierdziła 02.10); czekamy na odpowiedzi</t>
        </is>
      </c>
    </row>
    <row r="37">
      <c r="A37" s="4" t="inlineStr">
        <is>
          <t>T36</t>
        </is>
      </c>
      <c r="B37" s="4" t="inlineStr">
        <is>
          <t>Dwie dodatkowe oferty rzecznika patentowego (poza JWP) na orzeczenie, dokumentację i zgłoszenie EPO</t>
        </is>
      </c>
      <c r="C37" s="4" t="inlineStr">
        <is>
          <t>Wymóg: min. 3 dostawców w metodzie szacowania (Instrukcja i uwaga właścicielki). Po ofertach dopiszę metodę w pozycjach 11-1 i 11-2.</t>
        </is>
      </c>
      <c r="D37" s="4" t="inlineStr">
        <is>
          <t>Właścicielka (Everest11)</t>
        </is>
      </c>
      <c r="E37" s="4" t="inlineStr">
        <is>
          <t>05.10</t>
        </is>
      </c>
      <c r="F37" s="4" t="inlineStr">
        <is>
          <t>K3-61, K3-66</t>
        </is>
      </c>
      <c r="G37" s="4" t="inlineStr">
        <is>
          <t>OTWARTE</t>
        </is>
      </c>
    </row>
    <row r="38">
      <c r="A38" s="4" t="inlineStr">
        <is>
          <t>T37</t>
        </is>
      </c>
      <c r="B38" s="4" t="inlineStr">
        <is>
          <t>Opcjonalnie: e-mail do 3 oferentów o rozbicie ofert na godziny i stawki; sprawdzić 3 źródła stawek (kb.pl, Interia, cenauslug.pl)</t>
        </is>
      </c>
      <c r="C38" s="4" t="inlineStr">
        <is>
          <t>Zob. część 9 dokumentu Sekcja_3.1_podwykonawstwo_i_stawki_PRz.docx. Od odpowiedzi zależy zdanie w opisie Z2 i nazwa pozycji Z2.</t>
        </is>
      </c>
      <c r="D38" s="4" t="inlineStr">
        <is>
          <t>Właścicielka (Everest11)</t>
        </is>
      </c>
      <c r="E38" s="4" t="inlineStr">
        <is>
          <t>05.10</t>
        </is>
      </c>
      <c r="F38" s="4" t="inlineStr">
        <is>
          <t>K3-43, K3-44, K3-45</t>
        </is>
      </c>
      <c r="G38" s="4" t="inlineStr">
        <is>
          <t>OTWARTE</t>
        </is>
      </c>
    </row>
    <row r="39">
      <c r="A39" s="4" t="inlineStr">
        <is>
          <t>T38</t>
        </is>
      </c>
      <c r="B39" s="4" t="inlineStr">
        <is>
          <t>PRz: godziny Z8 objęte oddelegowaniami; wyciąg z tabeli stawek Regulaminu (opcjonalnie)</t>
        </is>
      </c>
      <c r="C39" s="4" t="inlineStr">
        <is>
          <t>Zob. część 6.2 dokumentu Sekcja_3.1_podwykonawstwo_i_stawki_PRz.docx. Godziny Z8: 301, 301, 111, 102, 224, 185, 189, 185.</t>
        </is>
      </c>
      <c r="D39" s="4" t="inlineStr">
        <is>
          <t>PRz (przez Właścicielkę)</t>
        </is>
      </c>
      <c r="E39" s="4" t="inlineStr">
        <is>
          <t>05.10</t>
        </is>
      </c>
      <c r="F39" s="4" t="inlineStr">
        <is>
          <t>K3-41, K3-42</t>
        </is>
      </c>
      <c r="G39" s="4" t="inlineStr">
        <is>
          <t>OTWARTE</t>
        </is>
      </c>
    </row>
    <row r="40">
      <c r="A40" s="4" t="inlineStr">
        <is>
          <t>T39</t>
        </is>
      </c>
      <c r="B40" s="4" t="inlineStr">
        <is>
          <t>Księgowa Everest11: struktura wiekowa należności i zobowiązań na 30.06.2026 (do 30, 31-60, 61-90, &gt;90 dni), zaliczki i przedpłaty od odbiorców</t>
        </is>
      </c>
      <c r="C40" s="4" t="inlineStr">
        <is>
          <t>Bilans pokazuje zaliczki 0 i zapasy 0. Bez tych danych K6-08 nie jest w pełni zamknięte; nie wolno ich zgadywać.</t>
        </is>
      </c>
      <c r="D40" s="4" t="inlineStr">
        <is>
          <t>Właścicielka (Everest11)</t>
        </is>
      </c>
      <c r="E40" s="4" t="inlineStr">
        <is>
          <t>05.10</t>
        </is>
      </c>
      <c r="F40" s="4" t="inlineStr">
        <is>
          <t>K6-08</t>
        </is>
      </c>
      <c r="G40" s="4" t="inlineStr">
        <is>
          <t>ZROBIONE: całość sald do 30 dni, brak zaliczek i zapasów (05.10); do doprecyzowania T44</t>
        </is>
      </c>
    </row>
    <row r="41">
      <c r="A41" s="4" t="inlineStr">
        <is>
          <t>T40</t>
        </is>
      </c>
      <c r="B41" s="4" t="inlineStr">
        <is>
          <t>Księgowa Everest11: wyjaśnić spadek zobowiązań handlowych (7,5 mln zł 31.12.2025 -&gt; 1,4 mln zł 30.06.2026) i należności (4,9 -&gt; 2,0 mln zł)</t>
        </is>
      </c>
      <c r="C41" s="4" t="inlineStr">
        <is>
          <t>Podstawa wyboru wariantu A lub B w D46 i odpowiedzi na K6-04.</t>
        </is>
      </c>
      <c r="D41" s="4" t="inlineStr">
        <is>
          <t>Właścicielka (Everest11)</t>
        </is>
      </c>
      <c r="E41" s="4" t="inlineStr">
        <is>
          <t>05.10</t>
        </is>
      </c>
      <c r="F41" s="4" t="inlineStr">
        <is>
          <t>K6-04, D46</t>
        </is>
      </c>
      <c r="G41" s="4" t="inlineStr">
        <is>
          <t>ZROBIONE: regularne płatności, wcześniej przeterminowania, poziom 2026 utrzymany (05.10)</t>
        </is>
      </c>
    </row>
    <row r="42">
      <c r="A42" s="4" t="inlineStr">
        <is>
          <t>T41</t>
        </is>
      </c>
      <c r="B42" s="4" t="inlineStr">
        <is>
          <t>LSI: załączyć podpisane sprawozdania za II kwartał 2026 (bilans, RZiS na 30.06.2026), usunąć załączniki za I kwartał; wpisać zmiany w modelu wg dokumentu K6</t>
        </is>
      </c>
      <c r="C42" s="4" t="inlineStr">
        <is>
          <t>Zob. Sekcja_K6_sprawozdanie_2Q2026_model.docx, części 2 i 6. Pliki PDF od Everest11 podpisane 02.10.2026. Gotowy plik modelu: Model_finansowy_CargoDT_Everest_II_kwartal_2026.xlsm (zmiany z dokumentu K6 już wprowadzone, wariant A rotacji zobowiązań). | 05.10: właścicielka potwierdziła, że ma podpisane sprawozdania II kwartału, PIT Inwestora i zaświadczenie bankowe; pozostaje załączenie w LSI.</t>
        </is>
      </c>
      <c r="D42" s="4" t="inlineStr">
        <is>
          <t>Właścicielka</t>
        </is>
      </c>
      <c r="E42" s="4" t="inlineStr">
        <is>
          <t>06.10</t>
        </is>
      </c>
      <c r="F42" s="4" t="inlineStr">
        <is>
          <t>K6-07</t>
        </is>
      </c>
      <c r="G42" s="4" t="inlineStr">
        <is>
          <t>DOKUMENTY GOTOWE, do załączenia w LSI</t>
        </is>
      </c>
    </row>
    <row r="43">
      <c r="A43" s="4" t="inlineStr">
        <is>
          <t>T42</t>
        </is>
      </c>
      <c r="B43" s="4" t="inlineStr">
        <is>
          <t>Dopisek do maila do księgowej: stawka CIT (19% czy 9%), udział usług obcych od podmiotów powiązanych z Inwestorem (Z. Natanek) w 2025 i I poł. 2026 (K6-16)</t>
        </is>
      </c>
      <c r="C43" s="4" t="inlineStr">
        <is>
          <t>Zob. dokument K6, część 7.1.</t>
        </is>
      </c>
      <c r="D43" s="4" t="inlineStr">
        <is>
          <t>Właścicielka (księgowa)</t>
        </is>
      </c>
      <c r="E43" s="4" t="inlineStr">
        <is>
          <t>05.10</t>
        </is>
      </c>
      <c r="F43" s="4" t="inlineStr">
        <is>
          <t>K6-02, K6-16</t>
        </is>
      </c>
      <c r="G43" s="4" t="inlineStr">
        <is>
          <t>ZROBIONE: CIT 19%; ok. 95% zakupów usług od Natanek Logistics, ok. 5% inni dostawcy (05.10); kwoty do doprecyzowania T44</t>
        </is>
      </c>
    </row>
    <row r="44">
      <c r="A44" s="4" t="inlineStr">
        <is>
          <t>T43</t>
        </is>
      </c>
      <c r="B44" s="4" t="inlineStr">
        <is>
          <t>Dział techniczny i właścicielka: zatwierdzić tabele 8.1 i 8.2 z dokumentu K6 (koszt zestawu 4 875 zł i zespół komercjalizacji)</t>
        </is>
      </c>
      <c r="C44" s="4" t="inlineStr">
        <is>
          <t>Zob. dokument K6, część 7.2.</t>
        </is>
      </c>
      <c r="D44" s="4" t="inlineStr">
        <is>
          <t>Właścicielka</t>
        </is>
      </c>
      <c r="E44" s="4" t="inlineStr">
        <is>
          <t>05.10</t>
        </is>
      </c>
      <c r="F44" s="4" t="inlineStr">
        <is>
          <t>K6-12, K2-12, K2-13, N58, K6-10, K6-11</t>
        </is>
      </c>
      <c r="G44" s="4" t="inlineStr">
        <is>
          <t>OTWARTE</t>
        </is>
      </c>
    </row>
    <row r="45">
      <c r="A45" s="4" t="inlineStr">
        <is>
          <t>T44</t>
        </is>
      </c>
      <c r="B45" s="4" t="inlineStr">
        <is>
          <t>Opcjonalnie: kwoty (nie procenty) zakupów od Natanek Logistics w 2025 i I poł. 2026</t>
        </is>
      </c>
      <c r="C45" s="4" t="inlineStr">
        <is>
          <t>Zob. dokument K6, część 6. Przybliżenia w komentarzu: ok. 13,4 mln zł i ok. 8,4 mln zł.</t>
        </is>
      </c>
      <c r="D45" s="4" t="inlineStr">
        <is>
          <t>Właścicielka (księgowa)</t>
        </is>
      </c>
      <c r="E45" s="4" t="inlineStr">
        <is>
          <t>06.10</t>
        </is>
      </c>
      <c r="F45" s="4" t="inlineStr">
        <is>
          <t>K6-08, K6-16</t>
        </is>
      </c>
      <c r="G45" s="4" t="inlineStr">
        <is>
          <t>OTWARTE</t>
        </is>
      </c>
    </row>
    <row r="46">
      <c r="A46" s="4" t="inlineStr">
        <is>
          <t>T45</t>
        </is>
      </c>
      <c r="B46" s="4" t="inlineStr">
        <is>
          <t>Odpowiedzi właścicielki 05.10: kancelaria adwokacka potwierdzona (słowo „niezależnych” usunięte), brak pokrewieństwa z M. Chrzanowskim, dwaj pozostali operatorzy niepowiązani, umowa z Amazon objęta tajemnicą</t>
        </is>
      </c>
      <c r="C46" s="4" t="inlineStr">
        <is>
          <t>Zob. dokument K6, część 5.2.</t>
        </is>
      </c>
      <c r="D46" s="4" t="inlineStr">
        <is>
          <t>Właścicielka</t>
        </is>
      </c>
      <c r="E46" s="4" t="inlineStr">
        <is>
          <t>06.10</t>
        </is>
      </c>
      <c r="F46" s="4" t="inlineStr">
        <is>
          <t>K6-05, K6-16, K3-32, K2-01</t>
        </is>
      </c>
      <c r="G46" s="4" t="inlineStr">
        <is>
          <t>OTWARTE</t>
        </is>
      </c>
    </row>
    <row r="47">
      <c r="A47" s="4" t="inlineStr">
        <is>
          <t>T46</t>
        </is>
      </c>
      <c r="B47" s="4" t="inlineStr">
        <is>
          <t>Dział techniczny: ocena założeń cenowych komponentów zestawu retrofit (tabela 8.1 w dokumencie K6) i plan zapytań ofertowych w Z7</t>
        </is>
      </c>
      <c r="C47" s="4" t="inlineStr">
        <is>
          <t>Bez tego komentarz w modelu mówi tylko, że ceny to założenia do potwierdzenia.</t>
        </is>
      </c>
      <c r="D47" s="4" t="inlineStr">
        <is>
          <t>Właścicielka (dział techniczny)</t>
        </is>
      </c>
      <c r="E47" s="4" t="inlineStr">
        <is>
          <t>06.10</t>
        </is>
      </c>
      <c r="F47" s="4" t="inlineStr">
        <is>
          <t>K2-13, D53</t>
        </is>
      </c>
      <c r="G47" s="4" t="inlineStr">
        <is>
          <t>OTWARTE</t>
        </is>
      </c>
    </row>
    <row r="48">
      <c r="A48" s="4" t="inlineStr">
        <is>
          <t>T47</t>
        </is>
      </c>
      <c r="B48" s="4" t="inlineStr">
        <is>
          <t>PRz: sprawdzić własny arkusz Zaliczka-refundacja (90,0% zaliczek i 10,0% refundacji, na granicy limitu); opcjonalnie przesunąć ok. 1% do refundacji końcowej</t>
        </is>
      </c>
      <c r="C48" s="4" t="inlineStr">
        <is>
          <t>Plik modelu PRz nie jest edytowany przez Claude.</t>
        </is>
      </c>
      <c r="D48" s="4" t="inlineStr">
        <is>
          <t>PRz (przez właścicielkę)</t>
        </is>
      </c>
      <c r="E48" s="4" t="inlineStr">
        <is>
          <t>06.10</t>
        </is>
      </c>
      <c r="F48" s="4" t="inlineStr">
        <is>
          <t>K6-14</t>
        </is>
      </c>
      <c r="G48" s="4" t="inlineStr">
        <is>
          <t>OPCJONALNE</t>
        </is>
      </c>
    </row>
    <row r="49">
      <c r="A49" s="4" t="inlineStr">
        <is>
          <t>T48</t>
        </is>
      </c>
      <c r="B49" s="4" t="inlineStr">
        <is>
          <t>Wprowadzić zmiany z dokumentu Zmiany_do_wprowadzenia_w_plikach_zamknietych.docx w odpowiednich polach LSI (pkt 1.3, ryzyka R11 i R12, opis Z9, opis dokapitalizowania)</t>
        </is>
      </c>
      <c r="C49" s="4" t="inlineStr">
        <is>
          <t>Pliki źródłowe są zamknięte, zmiany tylko w LSI.</t>
        </is>
      </c>
      <c r="D49" s="4" t="inlineStr">
        <is>
          <t>Właścicielka</t>
        </is>
      </c>
      <c r="E49" s="4" t="inlineStr">
        <is>
          <t>06.10</t>
        </is>
      </c>
      <c r="F49" s="4" t="inlineStr">
        <is>
          <t>D47, D48, N83</t>
        </is>
      </c>
      <c r="G49" s="4" t="inlineStr">
        <is>
          <t>OTWARTE</t>
        </is>
      </c>
    </row>
    <row r="50">
      <c r="A50" s="4" t="inlineStr">
        <is>
          <t>T49</t>
        </is>
      </c>
      <c r="B50" s="4" t="inlineStr">
        <is>
          <t>Zgodność godzin anotatorów (3 x 10 mc x 168 h = 5 040 h) z szacunkiem nakładu w opisie Z2</t>
        </is>
      </c>
      <c r="C50" s="4" t="inlineStr">
        <is>
          <t>Opis Z2 podaje 2 750-3 000 h na anotację 15 000 klatek (11-12 min na klatkę), a reszta ma pokryć próbę zgodności, reanotację, pilotaż i kontrolę. Dział techniczny ma potwierdzić podział ok. 5 040 h, żeby wniosek nie pozostawił niewyjaśnionej różnicy (uwaga K3-39 i K5-03).</t>
        </is>
      </c>
      <c r="D50" s="4" t="inlineStr">
        <is>
          <t>Dział techniczny + Claude</t>
        </is>
      </c>
      <c r="E50" s="4" t="inlineStr">
        <is>
          <t>06.10</t>
        </is>
      </c>
      <c r="F50" s="4" t="inlineStr">
        <is>
          <t>K3-39, K5-03, N12</t>
        </is>
      </c>
      <c r="G50" s="4" t="inlineStr">
        <is>
          <t>OTWARTE</t>
        </is>
      </c>
    </row>
    <row r="51">
      <c r="A51" s="4" t="inlineStr">
        <is>
          <t>T50</t>
        </is>
      </c>
      <c r="B51" s="4" t="inlineStr">
        <is>
          <t>Włoch: wniosek opisuje go jako kierownika Zakładu PRz (K3-33); deklaracje dla Batsch, Nowak, Kusy, Król i potwierdzenie dla AI Lead</t>
        </is>
      </c>
      <c r="C51" s="4" t="inlineStr">
        <is>
          <t>Przewodnik 3.3.1 i 3.3.9: osoba zarządzająca, nadzorująca lub koordynująca u konsorcjanta jest rozliczana wyłącznie w kosztach pośrednich. Biografia Włocha w LSI mówi o funkcji kierownika Zakładu. Trzeba od PRz pisemnie: czy funkcję pełni. Wariant A: wyłączenie 81 793,80 zł (z narzutem 102 242,25 zł) z Personelu PRz; wariant B: korekta biografii tylko jeśli opis jest nieprawdziwy. Od właścicielki: potwierdzenie dla Jakuba Kosterny. Teksty: Zmiany_do_wprowadzenia, poz. 5.1-5.4.</t>
        </is>
      </c>
      <c r="D51" s="4" t="inlineStr">
        <is>
          <t>Właścicielka + PRz</t>
        </is>
      </c>
      <c r="E51" s="4" t="inlineStr">
        <is>
          <t>06.10</t>
        </is>
      </c>
      <c r="F51" s="4" t="inlineStr">
        <is>
          <t>K3-33, D19, T23, N86</t>
        </is>
      </c>
      <c r="G51" s="4" t="inlineStr">
        <is>
          <t>OTWARTE</t>
        </is>
      </c>
    </row>
    <row r="52">
      <c r="A52" s="4" t="inlineStr">
        <is>
          <t>T51</t>
        </is>
      </c>
      <c r="B52" s="4" t="inlineStr">
        <is>
          <t>Uzupełnić żółte pola w komentarzu Finansowanie i potwierdzić D53 oraz sprzedaż zestawów po 2034 r.</t>
        </is>
      </c>
      <c r="C52" s="4" t="inlineStr">
        <is>
          <t>Dane: data Warunkowej Umowy Inwestycyjnej, bank, data i kwota zaświadczenia, źródło sfinansowania nabycia praw PRz; sprawdzić w LSI, że umowa i zaświadczenie są załączone; decyzja o sprzedaży zestawów po 2034 r. (Sekcja_K6, 9.13).</t>
        </is>
      </c>
      <c r="D52" s="4" t="inlineStr">
        <is>
          <t>Właścicielka</t>
        </is>
      </c>
      <c r="E52" s="4" t="inlineStr">
        <is>
          <t>06.10</t>
        </is>
      </c>
      <c r="F52" s="4" t="inlineStr">
        <is>
          <t>D55, D53, K6-12</t>
        </is>
      </c>
      <c r="G52" s="4" t="inlineStr">
        <is>
          <t>OTWARTE</t>
        </is>
      </c>
    </row>
    <row r="53">
      <c r="A53" s="4" t="inlineStr">
        <is>
          <t>T52</t>
        </is>
      </c>
      <c r="B53" s="4" t="inlineStr">
        <is>
          <t>Pliki źródłowe a LSI: poprawić Sekcja_7_zasady_horyzontalne_6R, Sekcja_3.1_sprzet_i_amortyzacja, Sekcja_3.1_podwykonawstwo_i_stawki_PRz (cicha notyfikacja zamiast alarmu dźwiękowego, 30 miesięcy, stawki PRz) albo wkleić pola w całości z pliku LSI</t>
        </is>
      </c>
      <c r="C53" s="4" t="inlineStr">
        <is>
          <t>Zamiany ZNAJDŹ/ZAMIEŃ z części B pliku LSI nie znajdą tekstu w wersji C, bo tych plików jeszcze nie wklejono. Decyzja: poprawiamy pliki (wtedy Claude je przebuduje) albo wklejasz pola w całości z pliku LSI.</t>
        </is>
      </c>
      <c r="D53" s="4" t="inlineStr">
        <is>
          <t>Właścicielka (decyzja), Claude (poprawki)</t>
        </is>
      </c>
      <c r="E53" s="4" t="inlineStr">
        <is>
          <t>06.10</t>
        </is>
      </c>
      <c r="F53" s="4" t="inlineStr">
        <is>
          <t>N92, D49</t>
        </is>
      </c>
      <c r="G53" s="4" t="inlineStr">
        <is>
          <t>OTWARTE</t>
        </is>
      </c>
    </row>
    <row r="54">
      <c r="A54" s="4" t="inlineStr">
        <is>
          <t>T53</t>
        </is>
      </c>
      <c r="B54" s="4" t="inlineStr">
        <is>
          <t>Godziny reanotacji w Z8 (specjaliści danych PRz: 225 i 184 h) wystarczające do reanotacji klas po zmianie taksonomii 2.0? Dopisać wykonawcę reanotacji w Z8</t>
        </is>
      </c>
      <c r="C54" s="4" t="inlineStr">
        <is>
          <t>Anotatorzy Z2 kończą w M18, a reanotacja w M22 do M26.</t>
        </is>
      </c>
      <c r="D54" s="4" t="inlineStr">
        <is>
          <t>Dział techniczny + PRz</t>
        </is>
      </c>
      <c r="E54" s="4" t="inlineStr">
        <is>
          <t>06.10</t>
        </is>
      </c>
      <c r="F54" s="4" t="inlineStr">
        <is>
          <t>N97, K3-09</t>
        </is>
      </c>
      <c r="G54" s="4" t="inlineStr">
        <is>
          <t>OTWARTE</t>
        </is>
      </c>
    </row>
    <row r="55">
      <c r="A55" s="4" t="inlineStr">
        <is>
          <t>T54</t>
        </is>
      </c>
      <c r="B55" s="4" t="inlineStr">
        <is>
          <t>Potwierdzić fakty z pliku LSI bez dokumentów: umowa z Natanek od 03.2025, 5 ciągników i 3 pojazdy, ok. 60 m2 biura, PKD 62.10.B i 63.10.D i termin 31.03.2027, patent Delphi wygasa 2027, kurs NBP 5,0954 z 04.09.2026, rozmowy z ubezpieczycielem, 15 rozmów z klientami</t>
        </is>
      </c>
      <c r="C55" s="4" t="inlineStr">
        <is>
          <t>Zdania w pliku LSI nie mają w repozytorium dokumentu źródłowego; dopisać lub usunąć.</t>
        </is>
      </c>
      <c r="D55" s="4" t="inlineStr">
        <is>
          <t>Właścicielka</t>
        </is>
      </c>
      <c r="E55" s="4" t="inlineStr">
        <is>
          <t>06.10</t>
        </is>
      </c>
      <c r="F55" s="4" t="inlineStr">
        <is>
          <t>Zmiany 7.4</t>
        </is>
      </c>
      <c r="G55" s="4" t="inlineStr">
        <is>
          <t>OTWARTE</t>
        </is>
      </c>
    </row>
    <row r="56">
      <c r="A56" s="4" t="inlineStr">
        <is>
          <t>T55</t>
        </is>
      </c>
      <c r="B56" s="4" t="inlineStr">
        <is>
          <t>Wyciąg z TMS o strukturze kontrahentów (liczba z obrotem w 12 mies., przewoźnicy z flotą 5 do 50 naczep) albo ostateczne usunięcie „bazy ponad 50”</t>
        </is>
      </c>
      <c r="C56" s="4" t="inlineStr">
        <is>
          <t>Uwaga K2-01 wymaga struktury; bez wyciągu zostają teksty z Zmiany 1.1 do 1.4.</t>
        </is>
      </c>
      <c r="D56" s="4" t="inlineStr">
        <is>
          <t>Właścicielka</t>
        </is>
      </c>
      <c r="E56" s="4" t="inlineStr">
        <is>
          <t>06.10</t>
        </is>
      </c>
      <c r="F56" s="4" t="inlineStr">
        <is>
          <t>N88, D47, K2-01</t>
        </is>
      </c>
      <c r="G56" s="4" t="inlineStr">
        <is>
          <t>OTWARTE</t>
        </is>
      </c>
    </row>
    <row r="57">
      <c r="A57" s="4" t="inlineStr">
        <is>
          <t>T56</t>
        </is>
      </c>
      <c r="B57" s="4" t="inlineStr">
        <is>
          <t>Wkleić pola docelowe z Zmiany część 8: R11 (opis i zapobieganie), R12 (3.1 i 3.2 plus po jednym zdaniu), budżet 3.2.3 i 3.2.5 z Sekcja_3.2, pole 8.2 z poprawionym zdaniem</t>
        </is>
      </c>
      <c r="C57" s="4" t="inlineStr">
        <is>
          <t>Teksty gotowe w części 8 dokumentu „Zmiany”. Brakuje tylko dwóch ofert rzecznika dla 11-1 i 11-2 (T36) i decyzji o delegacie na kongres.</t>
        </is>
      </c>
      <c r="D57" s="4" t="inlineStr">
        <is>
          <t>Właścicielka</t>
        </is>
      </c>
      <c r="E57" s="4" t="inlineStr">
        <is>
          <t>06.10</t>
        </is>
      </c>
      <c r="F57" s="4" t="inlineStr">
        <is>
          <t>N89, N98, N101, N102</t>
        </is>
      </c>
      <c r="G57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 (stan 05.10)</t>
        </is>
      </c>
      <c r="G1" s="3" t="inlineStr">
        <is>
          <t>W trakcie (stan 05.10)</t>
        </is>
      </c>
      <c r="H1" s="3" t="inlineStr">
        <is>
          <t>Tekst gotowy, do weryf. (stan 05.10)</t>
        </is>
      </c>
      <c r="I1" s="3" t="inlineStr">
        <is>
          <t>Zweryf. (stan 05.10)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Opisy zadań: wersja 2 w pliku Opisy_zadan (zamknięty); godziny Z8 zaktualizowane; 62 żółte wartości czekają na dział techniczny (T11, T29, T35); zmiana opisu Z9 (D47) tylko w LSI wg zestawienia.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Kamienie milowe: wersja 2 w pliku Opisy_zadan (zamknięty); żółte progi: T11, T35.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Ryzyka: wersja 2 w plikach Opisy_zadan i Poprawki (zamknięte); R12 (K3-32) i plan zastępczy R11 do zmiany w LSI wg zestawienia (D47, D48); R8 (K3-46) w Sekcja_3.1_podwykonawstwo.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0</v>
      </c>
      <c r="G5" s="4" t="n">
        <v>0</v>
      </c>
      <c r="H5" s="4" t="n">
        <v>7</v>
      </c>
      <c r="I5" s="4" t="n">
        <v>0</v>
      </c>
      <c r="J5" s="4" t="inlineStr">
        <is>
          <t>Sekcja Wskazniki_innowacyjnosci_1.2_i_1.4.docx gotowa; 6 żółtych parametrów (T11), oferty dla I1 (T10), karty konkurencji (T12).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0</v>
      </c>
      <c r="G6" s="4" t="n">
        <v>0</v>
      </c>
      <c r="H6" s="4" t="n">
        <v>9</v>
      </c>
      <c r="I6" s="4" t="n">
        <v>0</v>
      </c>
      <c r="J6" s="4" t="inlineStr">
        <is>
          <t>Sekcja_1.3_i_ceny.docx gotowa (zamknięta); zmiany po D47 i D48 (usunięte „ponad 50 aktywnych kontrahentów”, powiązanie Natanek Logistics) tylko w LSI wg zestawienia; ceny: T10, T14, T19.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0</v>
      </c>
      <c r="G7" s="4" t="n">
        <v>0</v>
      </c>
      <c r="H7" s="4" t="n">
        <v>20</v>
      </c>
      <c r="I7" s="4" t="n">
        <v>1</v>
      </c>
      <c r="J7" s="4" t="inlineStr">
        <is>
          <t>Sekcja_6.1 gotowa (założenia D37: T23); Sekcja_6.2-6.4 z 7 żółtymi polami (T25, T26); K3-41 i K3-42 w Sekcja_3.1_podwykonawstwo_i_stawki_PRz.docx (stawki PRz, godziny Z8 zgodnie z D43).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0</v>
      </c>
      <c r="G8" s="4" t="n">
        <v>0</v>
      </c>
      <c r="H8" s="4" t="n">
        <v>4</v>
      </c>
      <c r="I8" s="4" t="n">
        <v>2</v>
      </c>
      <c r="J8" s="4" t="inlineStr">
        <is>
          <t>Sekcja_3.1_podwykonawstwo_i_stawki_PRz.docx: wersja ostateczna z poprawkami właścicielki; opcjonalnie T37.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Sekcja_3.1_sprzet_i_amortyzacja.docx gotowa (14 pozycji); czeka: T33 (ceny), T35 (dział techniczny).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Sekcja_3.2_internacjonalizacja_Z10_Z11.docx gotowa; czeka: T32, T36.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0</v>
      </c>
      <c r="G11" s="4" t="n">
        <v>0</v>
      </c>
      <c r="H11" s="4" t="n">
        <v>11</v>
      </c>
      <c r="I11" s="4" t="n">
        <v>0</v>
      </c>
      <c r="J11" s="4" t="inlineStr">
        <is>
          <t>Sekcja_2.2_i_2.5_prawa_FTO_zasoby.docx gotowa; potwierdzenia patentowe: T13.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Model Everest11 (plik z 05.10) i Sekcja_K6: K6-02, K6-04 do K6-08, K6-10 do K6-16 gotowe (K6-14 poprawione, K6-08 po odpowiedzi księgowej); K2-12, K2-13, N58 jako propozycja (D53, T46); K2-14 do K2-16 w Sekcja_1.3; załączniki: T41.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0</v>
      </c>
      <c r="G13" s="4" t="n">
        <v>0</v>
      </c>
      <c r="H13" s="4" t="n">
        <v>14</v>
      </c>
      <c r="I13" s="4" t="n">
        <v>0</v>
      </c>
      <c r="J13" s="4" t="inlineStr">
        <is>
          <t>Sekcja_7_zasady_horyzontalne_6R.docx gotowa; zobowiązania do potwierdzenia: T27-T29.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  <row r="15">
      <c r="A15" t="inlineStr">
        <is>
          <t>Metoda liczników (05.10.2026): „Nierozp.” = uwaga bez gotowego tekstu w żadnym pliku sekcji (sprawdzone po numerach uwag w sekcjach, w WP05 i WP11 także wg D35/D36, T16 i Sekcja_K6). „Tekst gotowy, do weryf.” = tekst jest przygotowany, ale nie wklejony do LSI (T09/T48) i nie sprawdzony przez właścicielkę. „Zweryf.” i „W trakcie” bez zmian względem Rejestru 01.10. Uwaga: K6-01, K6-03, K6-17 i K6-18 nie mają numeru w Sekcja_K6; do potwierdzenia w kolejnym przeglądzie.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05.10: sumy bez zmian (Z8 113 084,00; PRz osobowe 679 472,72; konsorcjum 3 998 262,02); kontrola końcowa po ostatnich zmianach OTWARTA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W TOKU: model Everest11 zaktualizowany 05.10 (dane II kw., komentarze, harmonogram), przeliczony kontrolnie; pozostaje wklejenie do LSI i model PRz (T47)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  <row r="16">
      <c r="A16" s="4" t="inlineStr">
        <is>
          <t>C15</t>
        </is>
      </c>
      <c r="B16" s="4" t="inlineStr">
        <is>
          <t>Harmonogram płatności (arkusze Zaliczka-refundacja): pierwsza zaliczka co najmniej 5%, transza nie więcej niż 40%, suma zaliczek nie więcej niż 90% dofinansowania</t>
        </is>
      </c>
      <c r="C16" s="4" t="inlineStr">
        <is>
          <t>Claude</t>
        </is>
      </c>
      <c r="D16" s="4" t="inlineStr">
        <is>
          <t>po każdej zmianie kosztów</t>
        </is>
      </c>
      <c r="E16" s="4" t="inlineStr">
        <is>
          <t>ZROBIONE 05.10 dla Everest11 (89,5%) i konsorcjum (89,63%); PRz 90,0% (T47)</t>
        </is>
      </c>
    </row>
    <row r="17">
      <c r="A17" s="4" t="inlineStr">
        <is>
          <t>C16</t>
        </is>
      </c>
      <c r="B17" s="4" t="inlineStr">
        <is>
          <t>Zgodność wniosku (wersja C) z modelem: sumy pozycji, Z6/Z7/Z9 wg D30, Z8 = 113 084,00 zł, wkład własny, limity zaliczek</t>
        </is>
      </c>
      <c r="C17" s="4" t="inlineStr">
        <is>
          <t>Claude</t>
        </is>
      </c>
      <c r="D17" s="4" t="inlineStr">
        <is>
          <t>po każdej zmianie budżetu w LSI</t>
        </is>
      </c>
      <c r="E17" s="4" t="inlineStr">
        <is>
          <t>ZROBIONE 05.10: sumy 5 285 591,00 / 5 170 682,22 / 3 998 262,01 zgodne; w modelu poprawione 18 komórek (F, H, I), limity K6-14 spełnione (89,50% i 89,63%); poprawiony komentarz Opłacalność - Konsorcjum (3 998 262 zł, PRz 1 033 966 zł).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  <row r="23">
      <c r="A23" s="2" t="inlineStr">
        <is>
          <t>E22</t>
        </is>
      </c>
      <c r="B23" s="2" t="inlineStr">
        <is>
          <t>K6-14: wcześniejsza weryfikacja harmonogramu płatności była błędna (zaliczka liczona jako dofinansowanie razy kolumna H zamiast samej kwoty z kolumny F); suma zaliczek wynosiła 91,6% i 91,2% wobec limitu 90%.</t>
        </is>
      </c>
      <c r="C23" s="2" t="inlineStr">
        <is>
          <t>Poprawione w modelu (D52, N85); refundacja końcowa 10,5% i 10,4%.</t>
        </is>
      </c>
    </row>
    <row r="24">
      <c r="A24" s="2" t="inlineStr">
        <is>
          <t>E23</t>
        </is>
      </c>
      <c r="B24" s="2" t="inlineStr">
        <is>
          <t>Pierwszy eksport modelu (05.10) zastąpił cały komentarz w arkuszu Przychody jednym akapitem i usunął trzy akapity „PROJEKT”.</t>
        </is>
      </c>
      <c r="C24" s="2" t="inlineStr">
        <is>
          <t>Poprawione tego samego dnia; komentarz ma wszystkie akapity.</t>
        </is>
      </c>
    </row>
    <row r="25">
      <c r="A25" s="2" t="inlineStr">
        <is>
          <t>E24</t>
        </is>
      </c>
      <c r="B25" s="2" t="inlineStr">
        <is>
          <t>PRz Z8: zmieniłam stawki i godziny bez danych PRz i rozszerzyłam zmianę na osiem stanowisk (właścicielka nie zatwierdziła).</t>
        </is>
      </c>
      <c r="C25" s="2" t="inlineStr">
        <is>
          <t>Cofnięte; godziny Z8 poprawione zgodnie z decyzją właścicielki przy sumie bez zmian (D43).</t>
        </is>
      </c>
    </row>
    <row r="26">
      <c r="A26" s="2" t="inlineStr">
        <is>
          <t>E25</t>
        </is>
      </c>
      <c r="B26" s="2" t="inlineStr">
        <is>
          <t>Komentarz Finansowanie: zdanie o wycenie spółki ok. 6,3 mln zł mogło sugerować podwyższenie kapitału do tej kwoty.</t>
        </is>
      </c>
      <c r="C26" s="2" t="inlineStr">
        <is>
          <t>Zastąpione opisem mechanizmu (nominalna część i nadwyżka na kapitał zapasowy), D51.</t>
        </is>
      </c>
    </row>
    <row r="27">
      <c r="A27" s="2" t="inlineStr">
        <is>
          <t>E26</t>
        </is>
      </c>
      <c r="B27" s="2" t="inlineStr">
        <is>
          <t>R12: napisałam, że Natanek Logistics jest „jednym z trzech niezależnych klientów”, co jest sprzeczne z danymi księgowej (powiązany z Inwestorem, ok. 95% zakupów usług).</t>
        </is>
      </c>
      <c r="C27" s="2" t="inlineStr">
        <is>
          <t>Poprawione w zestawieniu zmian do LSI (D47).</t>
        </is>
      </c>
    </row>
    <row r="28">
      <c r="A28" s="2" t="inlineStr">
        <is>
          <t>E27</t>
        </is>
      </c>
      <c r="B28" s="2" t="inlineStr">
        <is>
          <t>Komentarz Ocena kondycji podawał środki pieniężne „2 618 tys. zł w 2026 do 16 679 tys. zł w 2039”, czego model nie potwierdzał.</t>
        </is>
      </c>
      <c r="C28" s="2" t="inlineStr">
        <is>
          <t>Poprawione liczbami z przeliczonego modelu (N79).</t>
        </is>
      </c>
    </row>
    <row r="29">
      <c r="A29" s="2" t="inlineStr">
        <is>
          <t>E28</t>
        </is>
      </c>
      <c r="B29" s="2" t="inlineStr">
        <is>
          <t>Zmieniłam pliki Sekcja_1.3_i_ceny.docx, Poprawki_do_wklejenia_WP01-WP03.docx i Opisy_zadan_z_kamieniami_milowymi.docx, które były już przetworzone.</t>
        </is>
      </c>
      <c r="C29" s="2" t="inlineStr">
        <is>
          <t>Przywrócone do wersji sprzed zmian; zmiany tylko w osobnym zestawieniu (D50).</t>
        </is>
      </c>
    </row>
    <row r="30">
      <c r="A30" s="2" t="inlineStr">
        <is>
          <t>E29</t>
        </is>
      </c>
      <c r="B30" s="2" t="inlineStr">
        <is>
          <t>Liczniki w 3_Pakiety_pól (nierozpoczęte WP06 11, WP10 11, WP12 14 i inne) pochodziły z Rejestru z 01.10 i nie były przeliczone po przygotowaniu sekcji 6.1, 2.2/2.5, 6.2-6.4 i 7, więc pokazywały nierozpoczęte uwagi, do których teksty już istniały.</t>
        </is>
      </c>
      <c r="C30" s="2" t="inlineStr">
        <is>
          <t>Przeliczone 05.10: nierozpoczęte 0 we wszystkich pakietach, reszta jako „tekst gotowy, do weryf.”; metoda w komórce A15.</t>
        </is>
      </c>
    </row>
    <row r="31">
      <c r="A31" s="2" t="inlineStr">
        <is>
          <t>E30</t>
        </is>
      </c>
      <c r="B31" s="2" t="inlineStr">
        <is>
          <t>W poprzedniej odpowiedzi napisałam, że funkcji Włocha na uczelni nie znam i że wskaże je PRz, a wniosek (wersja B) wprost opisuje go jako kierownika Zakładu Modelowania Matematycznego. Nie sprawdziłam biografii w wniosku. Zdanie z poz. 5.2 („nie pełni funkcji na uczelni”) byłoby w jego przypadku nieprawdziwe.</t>
        </is>
      </c>
      <c r="C31" s="2" t="inlineStr">
        <is>
          <t>Poz. 5.2 ograniczona do czterech osób, dla Włocha dodana poz. 5.4 z wariantami; N86, T50.</t>
        </is>
      </c>
    </row>
    <row r="32">
      <c r="A32" s="2" t="inlineStr">
        <is>
          <t>E31</t>
        </is>
      </c>
      <c r="B32" s="2" t="inlineStr">
        <is>
          <t>W obecnych komentarzach modelu były błędy: czas trwania projektu 18 miesięcy zamiast 30 (Założenia), VAT ok. 83,7 tys. zł zamiast 80 937,78 zł (Finansowanie), najwyższe zadłużenie projektu w 2030 r. zamiast ok. 100% w 2026-2027 i 76% w 2031 r. (Ocena), zdanie o „optymalizacji podatkowej” bez potwierdzenia i liczby bez źródła (odpływ klientów 5-12%, 12 tys. spedytorów).</t>
        </is>
      </c>
      <c r="C32" s="2" t="inlineStr">
        <is>
          <t>Poprawione w nowych tekstach (Sekcja_K6, część 9); modelu nie zmieniałam, komentarze wklei właścicielka.</t>
        </is>
      </c>
    </row>
    <row r="33">
      <c r="A33" s="2" t="inlineStr">
        <is>
          <t>E32</t>
        </is>
      </c>
      <c r="B33" s="2" t="inlineStr">
        <is>
          <t>W moich wcześniejszych tekstach i w komentarzu modelu (B255 Przychody) data wejścia eFTI to 21.08.2025. Poprawna data: 9 lipca 2027 r. (organy muszą przyjmować informacje w formacie eFTI).</t>
        </is>
      </c>
      <c r="C33" s="2" t="inlineStr">
        <is>
          <t>Poprawione we wszystkich moich tekstach (Sekcja_K6 część 9, model_texts). Komentarz B255 w modelu nadal ma starą datę: zastąpić tekstem z Sekcja_K6 część 9.</t>
        </is>
      </c>
    </row>
    <row r="34">
      <c r="A34" s="2" t="inlineStr">
        <is>
          <t>E33</t>
        </is>
      </c>
      <c r="B34" s="2" t="inlineStr">
        <is>
          <t>Pozycja 3.4 w Zmiany (uzasadnienie kosztu Anotatorów) mówiła, że specjalista TSL zatwierdza etykietę referencyjną. Plik LSI i uwaga K3-11 wskazują, że TSL nie powinien rozstrzygać (dyrektor operacyjny Natanek).</t>
        </is>
      </c>
      <c r="C34" s="2" t="inlineStr">
        <is>
          <t>Poprawione 06.10: rozbieżności rozstrzyga AI Senior Engineer, TSL tylko protokoły inspekcji (D21 zastąpiona).</t>
        </is>
      </c>
    </row>
    <row r="35">
      <c r="A35" s="2" t="inlineStr">
        <is>
          <t>E34</t>
        </is>
      </c>
      <c r="B35" s="2" t="inlineStr">
        <is>
          <t>06.10 napisałam, że model „nie zakłada sprzedaży zagranicznej” i że K14-01 jest otwarta (D58: pierwsza licencja CEE w 2030). To było niepełne: K14-01 rozwiązuje D40 i Sekcja_3.2 część 6 (0 zł w 2030), a modelu nie da się jednoznacznie określić, bo nie rozdziela przychodów na kraje; Sekcja_3.2 (CEE w modelu od 2032-2033) i komentarz Przychody (bez sprzedaży zagranicznej) są ze sobą sprzeczne.</t>
        </is>
      </c>
      <c r="C35" s="2" t="inlineStr">
        <is>
          <t>Poprawione w Zmiany 7.3 poz. 4 i 11, D58 zastąpiona, N91 i N98 przepisane; do ustalenia jedno zdanie o CEE (Zmiany 8.5).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TEKST GOTOWY (Wskazniki_innowacyjnosci_1.2_i_1.4.docx), 6 żółtych parametrów: T11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TEKST GOTOWY (Wskazniki_innowacyjnosci_1.2_i_1.4.docx), 6 żółtych parametrów: T11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TEKST GOTOWY (Wskazniki_innowacyjnosci_1.2_i_1.4.docx), 6 żółtych parametrów: T11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TEKST GOTOWY (Wskazniki_innowacyjnosci_1.2_i_1.4.docx), 6 żółtych parametrów: T11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TEKST GOTOWY (Wskazniki_innowacyjnosci_1.2_i_1.4.docx), 6 żółtych parametrów: T11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TEKST GOTOWY (Wskazniki_innowacyjnosci_1.2_i_1.4.docx), 6 żółtych parametrów: T11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TEKST GOTOWY (Wskazniki_innowacyjnosci_1.2_i_1.4.docx), 6 żółtych parametrów: T11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TEKST GOTOWY w Opisach zadań (zamknięte), 62 żółte wartości: T11, T35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TEKST GOTOWY w Opisach zadań (zamknięte), 62 żółte wartości: T11, T35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TEKST GOTOWY (Sekcja_6.1 i 3.1.2), założenia D37: T23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TEKST GOTOWY: pozycja 3.4 w Zmiany_do_wprowadzenia_w_plikach_zamknietych.docx (forma zatrudnienia, nadzór jakości, relacja do Z3, B+R a obróbka). Otwarte: zgodność 5 040 h z szacunkiem nakładu (T49)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TEKST GOTOWY (Sekcja_6.1 i 3.1.2), założenia D37: T23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TEKST GOTOWY (Sekcja_6.1 i 3.1.2), założenia D37: T23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TEKST GOTOWY (Sekcja_6.1 i 3.1.2), założenia D37: T23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TEKST GOTOWY (Sekcja_6.1 i 3.1.2), założenia D37: T23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TEKST GOTOWY (Sekcja_6.1 i 3.1.2), założenia D37: T23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TEKST GOTOWY (Sekcja_6.1 i 3.1.2), założenia D37: T23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TEKST GOTOWY (Sekcja_6.1 i 3.1.2), założenia D37: T23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TEKST GOTOWY (Sekcja_6.1 i 3.1.2), założenia D37: T23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TEKST GOTOWY (Sekcja_6.1 i 3.1.2), założenia D37: T23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TEKST GOTOWY (Sekcja_6.1 i 3.1.2), założenia D37: T23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TEKST GOTOWY (Sekcja_6.2-6.4), żółte pola: T25, T26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TEKST GOTOWY, do wklejenia w LSI (T09)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TEKST GOTOWY, do wklejenia w LSI (T09)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TEKST GOTOWY, do wklejenia w LSI (T09)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TEKST GOTOWY (Sekcja_6.1 i 3.1.2), założenia D37: T23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TEKST GOTOWY, do wklejenia w LSI (T09)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TEKST GOTOWY, do wklejenia w LSI (T09)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TEKST GOTOWY (Sekcja_6.1 i 3.1.2), założenia D37: T23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TEKST GOTOWY (Wskazniki_innowacyjnosci_1.2_i_1.4.docx), 6 żółtych parametrów: T11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TEKST GOTOWY (Wskazniki_innowacyjnosci_1.2_i_1.4.docx), 6 żółtych parametrów: T11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TEKST GOTOWY (Wskazniki_innowacyjnosci_1.2_i_1.4.docx), 6 żółtych parametrów: T11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TEKST GOTOWY w Opisach zadań (zamknięte), 62 żółte wartości: T11, T35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TEKST GOTOWY (Sekcja_7_zasady_horyzontalne_6R.docx), zobowiązania: T27-T29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TEKST GOTOWY (Sekcja_1.3_i_ceny.docx, zamknięty); dalsze zmiany wg Zmiany_do_wprowadzenia (D47, D48)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DO SPRAWDZENIA (T13)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OTWARTE: oferty cenowe dla I1 (T10)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TEKST GOTOWY (Sekcja_1.3_i_ceny.docx, zamknięty); dalsze zmiany wg Zmiany_do_wprowadzenia (D47, D48)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TEKST GOTOWY (Sekcja_1.3_i_ceny.docx, zamknięty); dalsze zmiany wg Zmiany_do_wprowadzenia (D47, D48)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TEKST GOTOWY (Sekcja_1.3_i_ceny.docx, zamknięty); dalsze zmiany wg Zmiany_do_wprowadzenia (D47, D48)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TEKST GOTOWY (Sekcja_1.3_i_ceny.docx, zamknięty); dalsze zmiany wg Zmiany_do_wprowadzenia (D47, D48)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ZROBIONE w modelu (Model_finansowy_CargoDT_Everest_II_kwartal_2026.xlsm, Przychody B255): trzej operatorzy z LOI na 50 naczep, 31,8%, eFTI od 21.08.2025 dobrowolne dla przewoźników, limit CMR 8 489-21 222 zł zamiast 5 500 zł i ROI, bez ekspansji CEE.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TEKST GOTOWY (Sekcja_1.3_i_ceny.docx, zamknięty); dalsze zmiany wg Zmiany_do_wprowadzenia (D47, D48)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NIE DOTYCZY (prezentacja z panelu, bez zmian we wniosku)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TEKST GOTOWY (Sekcja_1.3_i_ceny.docx, zamknięty); dalsze zmiany wg Zmiany_do_wprowadzenia (D47, D48)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TEKST GOTOWY (Sekcja_1.3_i_ceny.docx, zamknięty); dalsze zmiany wg Zmiany_do_wprowadzenia (D47, D48)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TEKST GOTOWY (Sekcja_1.3_i_ceny.docx, zamknięty); dalsze zmiany wg Zmiany_do_wprowadzenia (D47, D48)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TEKST GOTOWY (Sekcja_1.3_i_ceny.docx, zamknięty); dalsze zmiany wg Zmiany_do_wprowadzenia (D47, D48)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 (T13)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TEKST GOTOWY (Sekcja_2.2_i_2.5), potwierdzenia: T13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TEKST GOTOWY (Sekcja_2.2_i_2.5), potwierdzenia: T13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OTWARTE: odpowiedź działu technicznego (T35)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TEKST GOTOWY (Wskazniki_innowacyjnosci_1.2_i_1.4.docx), 6 żółtych parametrów: T11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TEKST GOTOWY (Sekcja_2.2_i_2.5), potwierdzenia: T13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PROPOZYCJA (D53): zespół komercjalizacji 1,5; 2,0; 2,5; 3,5; 4,5 etatu przy 19,2 tys. zł/etat (komentarz w arkuszu Koszty operacyjne). Do zatwierdzenia.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TEKST GOTOWY (Sekcja_6.1 i 3.1.2), założenia D37: T23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TEKST GOTOWY (Sekcja_6.1 i 3.1.2), założenia D37: T23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TEKST GOTOWY (Sekcja_6.1 i 3.1.2), założenia D37: T23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TEKST GOTOWY (Sekcja_6.2-6.4), żółte pola: T25, T26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TEKST GOTOWY, do wklejenia w LSI (T09)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TEKST GOTOWY (Sekcja_7_zasady_horyzontalne_6R.docx), zobowiązania: T27-T29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TEKST GOTOWY (Sekcja_7_zasady_horyzontalne_6R.docx), zobowiązania: T27-T29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TEKST GOTOWY (Sekcja_7_zasady_horyzontalne_6R.docx), zobowiązania: T27-T29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TEKST GOTOWY w Opisach zadań (zamknięte), 62 żółte wartości: T11, T35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TEKST GOTOWY (Sekcja_3.2_internacjonalizacja_Z10_Z11.docx), T32, T36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TEKST GOTOWY (Sekcja_3.2_internacjonalizacja_Z10_Z11.docx), T32, T36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TEKST GOTOWY (Sekcja_3.2_internacjonalizacja_Z10_Z11.docx), T32, T36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TEKST GOTOWY (Sekcja_3.2_internacjonalizacja_Z10_Z11.docx), T32, T36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TEKST GOTOWY (Sekcja_3.1_sprzet_i_amortyzacja.docx), ceny: T33, T35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TEKST GOTOWY (Sekcja_7_zasady_horyzontalne_6R.docx), zobowiązania: T27-T29</t>
        </is>
      </c>
    </row>
    <row r="75">
      <c r="A75" s="2" t="inlineStr">
        <is>
          <t>N74</t>
        </is>
      </c>
      <c r="B75" s="2" t="inlineStr">
        <is>
          <t>3.1.2 podwykonawstwo Z2, Z9 (nazwa, uzasadnienie, metoda)</t>
        </is>
      </c>
      <c r="C75" s="2" t="inlineStr">
        <is>
          <t>Brak kalkulacji i ofert; „odbiór techniczny” w metodzie Z2; Z9 „finalnych, zwalidowanych”.</t>
        </is>
      </c>
      <c r="D75" s="2" t="inlineStr">
        <is>
          <t>Wkleić pola z Sekcja_3.1_podwykonawstwo_i_stawki_PRz.docx (części 2 i 3): Z2 obejmuje montaż i demontaż po kampanii, rozkład godzin.</t>
        </is>
      </c>
      <c r="E75" s="2" t="inlineStr">
        <is>
          <t>K3-43..47; N26, N29; D08, D44</t>
        </is>
      </c>
      <c r="F75" s="2" t="inlineStr">
        <is>
          <t>WYSOKI</t>
        </is>
      </c>
      <c r="G75" s="2" t="inlineStr">
        <is>
          <t>TEKST GOTOWY, do wklejenia w LSI (T09)</t>
        </is>
      </c>
    </row>
    <row r="76">
      <c r="A76" s="2" t="inlineStr">
        <is>
          <t>N75</t>
        </is>
      </c>
      <c r="B76" s="2" t="inlineStr">
        <is>
          <t>5. Analiza ryzyka R8</t>
        </is>
      </c>
      <c r="C76" s="2" t="inlineStr">
        <is>
          <t>Anotacja jako podwykonawstwo; brak podziału montaż Z2/Z9.</t>
        </is>
      </c>
      <c r="D76" s="2" t="inlineStr">
        <is>
          <t>Wkleić nazwę, opis i zapobieganie R8 (część 5 dokumentu).</t>
        </is>
      </c>
      <c r="E76" s="2" t="inlineStr">
        <is>
          <t>K3-46; N24</t>
        </is>
      </c>
      <c r="F76" s="2" t="inlineStr">
        <is>
          <t>WYSOKI</t>
        </is>
      </c>
      <c r="G76" s="2" t="inlineStr">
        <is>
          <t>TEKST GOTOWY, do wklejenia w LSI (T09)</t>
        </is>
      </c>
    </row>
    <row r="77">
      <c r="A77" s="2" t="inlineStr">
        <is>
          <t>N76</t>
        </is>
      </c>
      <c r="B77" s="2" t="inlineStr">
        <is>
          <t>3.1.2 PRz: 40 pozycji wynagrodzeń; Z8 stawki i godziny; Z4 nazwa kosztu</t>
        </is>
      </c>
      <c r="C77" s="2" t="inlineStr">
        <is>
          <t>Brak dodatku miesięcznego i stopnia/tytułu w metodzie, prefiks „Z4 (prace rozwojowe) ·” w nazwie; godziny Z8 liczone według stawek o 8% niższych niż w Z1-Z5.</t>
        </is>
      </c>
      <c r="D77" s="2" t="inlineStr">
        <is>
          <t>Wkleić nazwy, kwoty (Z8) i metody szacowania (części 6.2, 6.4). Suma Z8 i PRz bez zmian.</t>
        </is>
      </c>
      <c r="E77" s="2" t="inlineStr">
        <is>
          <t>K3-41, K3-42; D43</t>
        </is>
      </c>
      <c r="F77" s="2" t="inlineStr">
        <is>
          <t>WYSOKI</t>
        </is>
      </c>
      <c r="G77" s="2" t="inlineStr">
        <is>
          <t>TEKST GOTOWY (Sekcja_3.1_podwykonawstwo_i_stawki_PRz.docx, wersja ostateczna)</t>
        </is>
      </c>
    </row>
    <row r="78">
      <c r="A78" s="2" t="inlineStr">
        <is>
          <t>N77</t>
        </is>
      </c>
      <c r="B78" s="2" t="inlineStr">
        <is>
          <t>3.1.1 opis Z8 (godziny PRz) i tabela godzin osób w Opisach zadań</t>
        </is>
      </c>
      <c r="C78" s="2" t="inlineStr">
        <is>
          <t>Godziny Z8: 325/325/120/110/242/200/204/200; „Montaż i demontaż sensorów wykona podwykonawca” w Z2.</t>
        </is>
      </c>
      <c r="D78" s="2" t="inlineStr">
        <is>
          <t>Po odblokowaniu Opisów zadań: godziny Z8 301/301/111/102/224/185/189/185; zdanie Z2 wg odpowiedzi T37.</t>
        </is>
      </c>
      <c r="E78" s="2" t="inlineStr">
        <is>
          <t>K3-42, K3-45; D43, T37</t>
        </is>
      </c>
      <c r="F78" s="2" t="inlineStr">
        <is>
          <t>ŚREDNI</t>
        </is>
      </c>
      <c r="G78" s="2" t="inlineStr">
        <is>
          <t>ZROBIONE w Opisach zadań (godziny Z8); zdanie Z2 bez zmian</t>
        </is>
      </c>
    </row>
    <row r="79">
      <c r="A79" s="2" t="inlineStr">
        <is>
          <t>N78</t>
        </is>
      </c>
      <c r="B79" s="2" t="inlineStr">
        <is>
          <t>Model Everest11: Założenia C14, Sprawozdania kol. F (22 komórki), Przychody w. 27, Koszty w. 15, 24, 43, 65 (K:X); komentarze w arkuszach Sprawozdania, Przychody, Koszty (B645), Kapitał pracujący</t>
        </is>
      </c>
      <c r="C79" s="2" t="inlineStr">
        <is>
          <t>Dane za I kwartał 2026 i prognoza „I kwartał x 4”.</t>
        </is>
      </c>
      <c r="D79" s="2" t="inlineStr">
        <is>
          <t>Wprowadzić dane za II kwartał i prognozę „I półrocze x 2” wg Sekcja_K6_sprawozdanie_2Q2026_model.docx, części 2 i 4.</t>
        </is>
      </c>
      <c r="E79" s="2" t="inlineStr">
        <is>
          <t>K6-07, K6-06, K6-09; D45</t>
        </is>
      </c>
      <c r="F79" s="2" t="inlineStr">
        <is>
          <t>WYSOKI</t>
        </is>
      </c>
      <c r="G79" s="2" t="inlineStr">
        <is>
          <t>ZROBIONE w modelu (plik z 05.10); do wklejenia w LSI</t>
        </is>
      </c>
    </row>
    <row r="80">
      <c r="A80" s="2" t="inlineStr">
        <is>
          <t>N79</t>
        </is>
      </c>
      <c r="B80" s="2" t="inlineStr">
        <is>
          <t>Model Everest11, arkusz Ocena kondycji finansowej, komentarz B444</t>
        </is>
      </c>
      <c r="C80" s="2" t="inlineStr">
        <is>
          <t>Środki pieniężne „od 2 618 tys. zł w 2026 r. do 16 679 tys. zł w 2039 r.”, których model nie potwierdzał (przed zmianą 2 648 i 31 195 tys. zł); brak zdania o rentowności (K6-13); opis kontrolek bez wiersza 124.</t>
        </is>
      </c>
      <c r="D80" s="2" t="inlineStr">
        <is>
          <t>Wklejony nowy komentarz (liczby z przeliczonego modelu: 2 564 i 30 650 tys. zł) wraz ze zdaniem o rentowności i uzupełnionym opisem kontrolek.</t>
        </is>
      </c>
      <c r="E80" s="2" t="inlineStr">
        <is>
          <t>K6-13; D45</t>
        </is>
      </c>
      <c r="F80" s="2" t="inlineStr">
        <is>
          <t>WYSOKI</t>
        </is>
      </c>
      <c r="G80" s="2" t="inlineStr">
        <is>
          <t>ZROBIONE w pliku modelu</t>
        </is>
      </c>
    </row>
    <row r="81">
      <c r="A81" s="2" t="inlineStr">
        <is>
          <t>N80</t>
        </is>
      </c>
      <c r="B81" s="2" t="inlineStr">
        <is>
          <t>Model Everest11, arkusz Założenia, komentarz B79 (K6-02)</t>
        </is>
      </c>
      <c r="C81" s="2" t="inlineStr">
        <is>
          <t>Brak uzasadnienia stawki CIT i pustych stawek amortyzacji i oprocentowania.</t>
        </is>
      </c>
      <c r="D81" s="2" t="inlineStr">
        <is>
          <t>Dopisane zdania: CIT 19% (przychód 2025 powyżej 2 mln EUR), brak środków trwałych i kredytów w działalności dotychczasowej. Stawka CIT do potwierdzenia przez księgową (T42).</t>
        </is>
      </c>
      <c r="E81" s="2" t="inlineStr">
        <is>
          <t>K6-02</t>
        </is>
      </c>
      <c r="F81" s="2" t="inlineStr">
        <is>
          <t>ŚREDNI</t>
        </is>
      </c>
      <c r="G81" s="2" t="inlineStr">
        <is>
          <t>ZROBIONE w pliku modelu, do potwierdzenia</t>
        </is>
      </c>
    </row>
    <row r="82">
      <c r="A82" s="2" t="inlineStr">
        <is>
          <t>N81</t>
        </is>
      </c>
      <c r="B82" s="2" t="inlineStr">
        <is>
          <t>Koncentracja sprzedaży (Amazon 95% w 2025, 100% w 2026) vs „ponad 50 aktywnych kontrahentów” (pkt 1.3, 2.1, Przychody, Koszty)</t>
        </is>
      </c>
      <c r="C82" s="2" t="inlineStr">
        <is>
          <t>„Rozszerzenie istniejącej relacji handlowej z ponad 50 aktywnymi kontrahentami spedycyjnymi Everest11”.</t>
        </is>
      </c>
      <c r="D82" s="2" t="inlineStr">
        <is>
          <t>ZROBIONE: usunięte „ponad 50 aktywnych kontrahentów” w pkt 1.3, komentarzach modelu i planie zastępczym R11; dopisany jeden odbiorca (Amazon) w komentarzu Przychody.</t>
        </is>
      </c>
      <c r="E82" s="2" t="inlineStr">
        <is>
          <t>K6-05, K2-01; T45</t>
        </is>
      </c>
      <c r="F82" s="2" t="inlineStr">
        <is>
          <t>WYSOKI</t>
        </is>
      </c>
      <c r="G82" s="2" t="inlineStr">
        <is>
          <t>OTWARTE</t>
        </is>
      </c>
    </row>
    <row r="83">
      <c r="A83" s="2" t="inlineStr">
        <is>
          <t>N82</t>
        </is>
      </c>
      <c r="B83" s="2" t="inlineStr">
        <is>
          <t>Ryzyko cen transferowych (K3-32) i niezależność walidacji (K3-11) vs ok. 95% zakupów usług od Natanek Logistics</t>
        </is>
      </c>
      <c r="C83" s="2" t="inlineStr">
        <is>
          <t>Opis ryzyka mówi ogólnie o współpracy z firmami przyszłego Inwestora.</t>
        </is>
      </c>
      <c r="D83" s="2" t="inlineStr">
        <is>
          <t>ZROBIONE: R12 przepisane (skala 95%, Natanek Logistics powiązany z Inwestorem i głównym dostawcą), zdanie w opisie Z9, informacja w pkt 1.3. Do potwierdzenia przez właścicielkę: sformułowania zobowiązań w R12 (kwartalny monitoring udziału, alternatywni przewoźnicy).</t>
        </is>
      </c>
      <c r="E83" s="2" t="inlineStr">
        <is>
          <t>K3-32, K6-16; T45</t>
        </is>
      </c>
      <c r="F83" s="2" t="inlineStr">
        <is>
          <t>WYSOKI</t>
        </is>
      </c>
      <c r="G83" s="2" t="inlineStr">
        <is>
          <t>OTWARTE</t>
        </is>
      </c>
    </row>
    <row r="84">
      <c r="A84" s="2" t="inlineStr">
        <is>
          <t>N83</t>
        </is>
      </c>
      <c r="B84" s="2" t="inlineStr">
        <is>
          <t>Opisy zadań i Poprawki do wklejenia: R12 (ryzyko), R11 (plan zastępczy), Z9 (niezależność), pkt 1.3 po D47-D48</t>
        </is>
      </c>
      <c r="C84" s="2" t="inlineStr">
        <is>
          <t>„Jeden z trzech niezależnych klientów”, „ponad 50 aktywnych kontrahentów”.</t>
        </is>
      </c>
      <c r="D84" s="2" t="inlineStr">
        <is>
          <t>DO WPROWADZENIA W LSI wg zestawienia Zmiany_do_wprowadzenia_w_plikach_zamknietych.docx (pliki Sekcja_1.3, Poprawki, Opisy są zamknięte i przywrócone do wersji sprzed 05.10).</t>
        </is>
      </c>
      <c r="E84" s="2" t="inlineStr">
        <is>
          <t>D47, D48</t>
        </is>
      </c>
      <c r="F84" s="2" t="inlineStr">
        <is>
          <t>WYSOKI</t>
        </is>
      </c>
      <c r="G84" s="2" t="inlineStr">
        <is>
          <t>ZROBIONE</t>
        </is>
      </c>
    </row>
    <row r="85">
      <c r="A85" s="2" t="inlineStr">
        <is>
          <t>N84</t>
        </is>
      </c>
      <c r="B85" s="2" t="inlineStr">
        <is>
          <t>Możliwe powiązanie: Wojciech Chrzanowski (jedyny wspólnik i prezes) – kancelaria adwokacka dostawcy usług prawnych – Maciej Chrzanowski (kierownik zarządzający)</t>
        </is>
      </c>
      <c r="C85" s="2" t="inlineStr">
        <is>
          <t>Księgowa wymienia „Wojciech Chrzanowski Kancelaria Adwokacka” wśród dostawców; KRS: Wojciech Chrzanowski jedyny wspólnik i prezes.</t>
        </is>
      </c>
      <c r="D85" s="2" t="inlineStr">
        <is>
          <t>ZAMKNIĘTE: kancelaria potwierdzona, brak pokrewieństwa z Maciejem Chrzanowskim (zbieg nazwisk). Pozostaje usunięte słowo „niezależnych” przy dostawcach.</t>
        </is>
      </c>
      <c r="E85" s="2" t="inlineStr">
        <is>
          <t>Odpis KRS 05.10.2026; T45</t>
        </is>
      </c>
      <c r="F85" s="2" t="inlineStr">
        <is>
          <t>WYSOKI</t>
        </is>
      </c>
      <c r="G85" s="2" t="inlineStr">
        <is>
          <t>OTWARTE</t>
        </is>
      </c>
    </row>
    <row r="86">
      <c r="A86" s="2" t="inlineStr">
        <is>
          <t>N85</t>
        </is>
      </c>
      <c r="B86" s="2" t="inlineStr">
        <is>
          <t>Model Everest11, arkusze Zaliczka-refundacja i Zaliczka-refundacja Konsorcjum (K6-14)</t>
        </is>
      </c>
      <c r="C86" s="2" t="inlineStr">
        <is>
          <t>Suma zaliczek 91,63% (Everest11) i 91,21% (konsorcjum) wobec limitu 90%; refundacja końcowa 8,4% i 8,8%.</t>
        </is>
      </c>
      <c r="D86" s="2" t="inlineStr">
        <is>
          <t>Przesunięte 63 048,12 zł dofinansowania z II półrocza 2028 do II półrocza 2029; suma zaliczek 89,5% i 89,63%.</t>
        </is>
      </c>
      <c r="E86" s="2" t="inlineStr">
        <is>
          <t>K6-14; D52</t>
        </is>
      </c>
      <c r="F86" s="2" t="inlineStr">
        <is>
          <t>KRYTYCZNY</t>
        </is>
      </c>
      <c r="G86" s="2" t="inlineStr">
        <is>
          <t>ZROBIONE w modelu</t>
        </is>
      </c>
    </row>
    <row r="87">
      <c r="A87" s="2" t="inlineStr">
        <is>
          <t>N86</t>
        </is>
      </c>
      <c r="B87" s="2" t="inlineStr">
        <is>
          <t>6.1 / biografia PRz w LSI: Andrzej Włoch</t>
        </is>
      </c>
      <c r="C87" s="2" t="inlineStr">
        <is>
          <t>Biografia z wniosku: „profesor uczelni, kierownik Zakładu Modelowania Matematycznego PRz”; wynagrodzenie 81 793,80 zł w kategorii Personel projektu (Z1, Z3, Z4, Z5, Z8).</t>
        </is>
      </c>
      <c r="D87" s="2" t="inlineStr">
        <is>
          <t>Przewodnik 3.3.1 i 3.3.9: funkcja zarządcza u konsorcjanta wyłącza z Personelu projektu, koszt tylko w kosztach pośrednich. Wymaga odpowiedzi PRz i decyzji wariant A/B (Zmiany_do_wprowadzenia, poz. 5.4).</t>
        </is>
      </c>
      <c r="E87" s="2" t="inlineStr">
        <is>
          <t>K3-33; T50</t>
        </is>
      </c>
      <c r="F87" s="2" t="inlineStr">
        <is>
          <t>WYSOKI</t>
        </is>
      </c>
      <c r="G87" s="2" t="inlineStr">
        <is>
          <t>OTWARTE</t>
        </is>
      </c>
    </row>
    <row r="88">
      <c r="A88" s="2" t="inlineStr">
        <is>
          <t>N87</t>
        </is>
      </c>
      <c r="B88" s="2" t="inlineStr">
        <is>
          <t>Wniosek wersja C, opis opłacalności i zdolności finansowej (część VI/„Opłacalność wdrożenia”)</t>
        </is>
      </c>
      <c r="C88" s="2" t="inlineStr">
        <is>
          <t>Tekst nadal zawiera: „środki pieniężne pozostają dodatnie… minimum ok. 2,6 mln zł” (model po danych za II kw.: ok. 0,6 mln zł w 2026 r.), „istniejącej bazie ponad 50 kontrahentów TSL Everest11”, „wiążące zobowiązanie inwestora” (w LSI wpisano „warunkowe”).</t>
        </is>
      </c>
      <c r="D88" s="2" t="inlineStr">
        <is>
          <t>Zamienić 2,6 mln na ok. 0,6 mln zł (minimum w 2026 r.), usunąć „ponad 50 kontrahentów” (D48) i ujednolicić „warunkowe zobowiązanie inwestora”. Teksty w LSI, plik zamknięty. Dodatkowo IRR ok. 26% we wniosku vs model 20% (2034) i 40,5% (2039).</t>
        </is>
      </c>
      <c r="E88" s="2" t="inlineStr">
        <is>
          <t>D46, D48, K6-12</t>
        </is>
      </c>
      <c r="F88" s="2" t="inlineStr">
        <is>
          <t>ŚREDNI</t>
        </is>
      </c>
      <c r="G88" s="2" t="inlineStr">
        <is>
          <t>OTWARTE</t>
        </is>
      </c>
    </row>
    <row r="89">
      <c r="A89" s="2" t="inlineStr">
        <is>
          <t>N88</t>
        </is>
      </c>
      <c r="B89" s="2" t="inlineStr">
        <is>
          <t>1.3 część VI; 2.3 Rynek docelowy i Plan wprowadzenia (etap 1, Strategia); R11 plan zastępczy (plik LSI 06.10)</t>
        </is>
      </c>
      <c r="C89" s="2" t="inlineStr">
        <is>
          <t>„baza ponad 50 aktywnych kontrahentów”, „z bazy klientów”, „aktywnych kontrahentów Everest11”</t>
        </is>
      </c>
      <c r="D89" s="2" t="inlineStr">
        <is>
          <t>Zamienić według Zmiany 1.1 do 1.4 i 2.3 (sprzedaż bezpośrednia do operatorów, 15 rozmów, trzy listy intencyjne). Sprzedaż Everest11: 95% Amazon i 5% Nara Motors w 2025, 100% Amazon w I poł. 2026</t>
        </is>
      </c>
      <c r="E89" s="2" t="inlineStr">
        <is>
          <t>Zmiany 7.3 poz. 1; K2-01; D47</t>
        </is>
      </c>
      <c r="F89" s="2" t="inlineStr">
        <is>
          <t>WYSOKI</t>
        </is>
      </c>
      <c r="G89" s="2" t="inlineStr">
        <is>
          <t>OTWARTE</t>
        </is>
      </c>
    </row>
    <row r="90">
      <c r="A90" s="2" t="inlineStr">
        <is>
          <t>N89</t>
        </is>
      </c>
      <c r="B90" s="2" t="inlineStr">
        <is>
          <t>R11 i R12 oraz Z9 w pliku LSI</t>
        </is>
      </c>
      <c r="C90" s="2" t="inlineStr">
        <is>
          <t>R12 bez ujawnienia ok. 95% zakupów usług od Natanek Logistics; „formalnie ustalamy, czy powiązane”; R11 „żaden podmiot nie jest jednocześnie partnerem testowym i odbiorcą”; brak dopisku Z9</t>
        </is>
      </c>
      <c r="D90" s="2" t="inlineStr">
        <is>
          <t>Wkleić teksty ze Zmiany 3.1, 3.2, 2.3 i dopisek 3.3; zdanie o dywersyfikacji w R11 jak w Zmiany 7.3 poz. 2</t>
        </is>
      </c>
      <c r="E90" s="2" t="inlineStr">
        <is>
          <t>Zmiany 7.3 poz. 2; K3-31, K3-32, K3-11; D47, D48</t>
        </is>
      </c>
      <c r="F90" s="2" t="inlineStr">
        <is>
          <t>WYSOKI</t>
        </is>
      </c>
      <c r="G90" s="2" t="inlineStr">
        <is>
          <t>OTWARTE</t>
        </is>
      </c>
    </row>
    <row r="91">
      <c r="A91" s="2" t="inlineStr">
        <is>
          <t>N90</t>
        </is>
      </c>
      <c r="B91" s="2" t="inlineStr">
        <is>
          <t>Plik LSI: brak pól dla K3-33 i K3-39; zbiorcza zamiana „zakres stanowiska” w 28 polach</t>
        </is>
      </c>
      <c r="C91" s="2" t="inlineStr">
        <is>
          <t>Zbiorcza deklaracja braku funkcji zarządczych bez potwierdzenia osób; pusty nawias przy specjaliście modelowania PRz (Włoch)</t>
        </is>
      </c>
      <c r="D91" s="2" t="inlineStr">
        <is>
          <t>Dodać Zmiany 3.4 i 5.1 do 5.4; deklarację zostawić po potwierdzeniu dla każdej osoby (T50); rozstrzygnąć wariant A albo B dla Włocha</t>
        </is>
      </c>
      <c r="E91" s="2" t="inlineStr">
        <is>
          <t>Zmiany 7.3 poz. 3; K3-33, K3-39; T50</t>
        </is>
      </c>
      <c r="F91" s="2" t="inlineStr">
        <is>
          <t>WYSOKI</t>
        </is>
      </c>
      <c r="G91" s="2" t="inlineStr">
        <is>
          <t>OTWARTE</t>
        </is>
      </c>
    </row>
    <row r="92">
      <c r="A92" s="2" t="inlineStr">
        <is>
          <t>N91</t>
        </is>
      </c>
      <c r="B92" s="2" t="inlineStr">
        <is>
          <t>1.3 część I; 2.3 etap 4 i Segmenty; 2.4 SAM; 3.2.1 (plik LSI)</t>
        </is>
      </c>
      <c r="C92" s="2" t="inlineStr">
        <is>
          <t>Pojazdy w CEE „obniżają udział w polskim SAM poniżej 0,50%” kontra 0,50% SAM w Polsce kontra komentarz modelu (bez sprzedaży zagranicznej) kontra Sekcja_3.2 i D40 (CEE od 2032-2033 w modelu)</t>
        </is>
      </c>
      <c r="D92" s="2" t="inlineStr">
        <is>
          <t>Ujednolicić: 1 000 pojazdów w 2034 r. to sprzedaż w Polsce (0,50% SAM, 0,18% TAM), sprzedaży w CEE nie zakładamy</t>
        </is>
      </c>
      <c r="E92" s="2" t="inlineStr">
        <is>
          <t>Zmiany 7.3 poz. 4; K2-05; K14-01</t>
        </is>
      </c>
      <c r="F92" s="2" t="inlineStr">
        <is>
          <t>ŚREDNI</t>
        </is>
      </c>
      <c r="G92" s="2" t="inlineStr">
        <is>
          <t>OTWARTE</t>
        </is>
      </c>
    </row>
    <row r="93">
      <c r="A93" s="2" t="inlineStr">
        <is>
          <t>N92</t>
        </is>
      </c>
      <c r="B93" s="2" t="inlineStr">
        <is>
          <t>Plik LSI, część B (7.1, 7.3, 7.4, 3.1.3, 3.1.2 stawki PRz, 2.4, 2.1)</t>
        </is>
      </c>
      <c r="C93" s="2" t="inlineStr">
        <is>
          <t>Zdania ZNAJDŹ nie istnieją w wersji C; pochodzą z naszych plików Sekcja_7, Sekcja_3.1_*; w repozytorium wciąż „alarm dźwiękowy w kabinie”</t>
        </is>
      </c>
      <c r="D93" s="2" t="inlineStr">
        <is>
          <t>Poprawić pliki źródłowe albo wkleić pola w całości; po wklejeniu sprawdzić stare zdania (5 500 do 23 000 zł, 3 000 do 15 000 zł, „alerty dźwiękowe” w Z9)</t>
        </is>
      </c>
      <c r="E93" s="2" t="inlineStr">
        <is>
          <t>Zmiany 7.3 poz. 5; T52</t>
        </is>
      </c>
      <c r="F93" s="2" t="inlineStr">
        <is>
          <t>WYSOKI</t>
        </is>
      </c>
      <c r="G93" s="2" t="inlineStr">
        <is>
          <t>OTWARTE</t>
        </is>
      </c>
    </row>
    <row r="94">
      <c r="A94" s="2" t="inlineStr">
        <is>
          <t>N93</t>
        </is>
      </c>
      <c r="B94" s="2" t="inlineStr">
        <is>
          <t>R10 mitygacja kontra 2.2, Z11, 2.3 etap 0</t>
        </is>
      </c>
      <c r="C94" s="2" t="inlineStr">
        <is>
          <t>„Brak przeniesienia nie wstrzymuje wdrożenia” kontra „Do czasu przeniesienia Everest11 nie będzie sprzedawać”; pilotaż 11.2029 przed przeniesieniem 30.11.2029</t>
        </is>
      </c>
      <c r="D94" s="2" t="inlineStr">
        <is>
          <t>Wybrać jedną wersję (D57) i ujednolicić R10, 2.2, Z11</t>
        </is>
      </c>
      <c r="E94" s="2" t="inlineStr">
        <is>
          <t>Zmiany 7.3 poz. 6; K2-02; D57</t>
        </is>
      </c>
      <c r="F94" s="2" t="inlineStr">
        <is>
          <t>ŚREDNI</t>
        </is>
      </c>
      <c r="G94" s="2" t="inlineStr">
        <is>
          <t>OTWARTE</t>
        </is>
      </c>
    </row>
    <row r="95">
      <c r="A95" s="2" t="inlineStr">
        <is>
          <t>N94</t>
        </is>
      </c>
      <c r="B95" s="2" t="inlineStr">
        <is>
          <t>1.3 część IV i 2.4 reklamacja (plik LSI)</t>
        </is>
      </c>
      <c r="C95" s="2" t="inlineStr">
        <is>
          <t>„ok. czterokrotnie droższy”: 349/49 daje 7,1, 349/87 daje 4,0; „jedno roszczenie pokrywa koszt systemu” przy dolnej granicy 8 489 zł wobec 11 688 zł w pierwszym roku</t>
        </is>
      </c>
      <c r="D95" s="2" t="inlineStr">
        <is>
          <t>Wspólne sformułowanie z oboma porównaniami (87 zł UE i 49 zł PL); zdanie o zwrocie tylko dla roszczeń powyżej 11 688 zł</t>
        </is>
      </c>
      <c r="E95" s="2" t="inlineStr">
        <is>
          <t>Zmiany 7.3 poz. 7; K2-15</t>
        </is>
      </c>
      <c r="F95" s="2" t="inlineStr">
        <is>
          <t>ŚREDNI</t>
        </is>
      </c>
      <c r="G95" s="2" t="inlineStr">
        <is>
          <t>OTWARTE</t>
        </is>
      </c>
    </row>
    <row r="96">
      <c r="A96" s="2" t="inlineStr">
        <is>
          <t>N95</t>
        </is>
      </c>
      <c r="B96" s="2" t="inlineStr">
        <is>
          <t>Z2, Z9, 6.3 (plik LSI)</t>
        </is>
      </c>
      <c r="C96" s="2" t="inlineStr">
        <is>
          <t>Hajduk (dyrektor operacyjny Natanek) prowadzi inspekcje ground truth, a Natanek „nie ma dostępu do zbioru”; brak zdania o poufności wobec Natanek i MJA Partners</t>
        </is>
      </c>
      <c r="D96" s="2" t="inlineStr">
        <is>
          <t>Dopisać w 6.3 zdanie o dostępie Hajduka wyłącznie jako pracownika Everest11; potwierdzić fakty</t>
        </is>
      </c>
      <c r="E96" s="2" t="inlineStr">
        <is>
          <t>Zmiany 7.3 poz. 8; K3-11, K5-07; T51</t>
        </is>
      </c>
      <c r="F96" s="2" t="inlineStr">
        <is>
          <t>ŚREDNI</t>
        </is>
      </c>
      <c r="G96" s="2" t="inlineStr">
        <is>
          <t>OTWARTE</t>
        </is>
      </c>
    </row>
    <row r="97">
      <c r="A97" s="2" t="inlineStr">
        <is>
          <t>N96</t>
        </is>
      </c>
      <c r="B97" s="2" t="inlineStr">
        <is>
          <t>Z11 (M29) i Z9 (M30) (plik LSI)</t>
        </is>
      </c>
      <c r="C97" s="2" t="inlineStr">
        <is>
          <t>Raport techniczny Z9 jako „wejście do Z11”, a Z11 kończy się w M29</t>
        </is>
      </c>
      <c r="D97" s="2" t="inlineStr">
        <is>
          <t>Wejściem do Z11 są wyniki Fazy B do M29; okno korekt w M30 nie zmienia zgłoszenia</t>
        </is>
      </c>
      <c r="E97" s="2" t="inlineStr">
        <is>
          <t>Zmiany 7.3 poz. 9; K3-09, K3-22</t>
        </is>
      </c>
      <c r="F97" s="2" t="inlineStr">
        <is>
          <t>ŚREDNI</t>
        </is>
      </c>
      <c r="G97" s="2" t="inlineStr">
        <is>
          <t>OTWARTE</t>
        </is>
      </c>
    </row>
    <row r="98">
      <c r="A98" s="2" t="inlineStr">
        <is>
          <t>N97</t>
        </is>
      </c>
      <c r="B98" s="2" t="inlineStr">
        <is>
          <t>Z8 i Z9 (plik LSI)</t>
        </is>
      </c>
      <c r="C98" s="2" t="inlineStr">
        <is>
          <t>Reanotacja klas w M22 do M26, a anotatorzy Z2 kończą w M18; nie wskazano wykonawcy</t>
        </is>
      </c>
      <c r="D98" s="2" t="inlineStr">
        <is>
          <t>Dopisać, że reanotację wykonują specjaliści danych PRz w godzinach Z8; sprawdzić wystarczalność godzin (T53)</t>
        </is>
      </c>
      <c r="E98" s="2" t="inlineStr">
        <is>
          <t>Zmiany 7.3 poz. 10; K3-09, K3-12</t>
        </is>
      </c>
      <c r="F98" s="2" t="inlineStr">
        <is>
          <t>ŚREDNI</t>
        </is>
      </c>
      <c r="G98" s="2" t="inlineStr">
        <is>
          <t>OTWARTE</t>
        </is>
      </c>
    </row>
    <row r="99">
      <c r="A99" s="2" t="inlineStr">
        <is>
          <t>N98</t>
        </is>
      </c>
      <c r="B99" s="2" t="inlineStr">
        <is>
          <t>3.2.1 i wskaźnik 8.2 „Przychody poza RP” (plik LSI)</t>
        </is>
      </c>
      <c r="C99" s="2" t="inlineStr">
        <is>
          <t>Pole 8.2 w wersji C ma jeszcze 489 300 zł; Sekcja_3.2 część 6 mówi, że przychody poza RP wynikają z modelu od 2032-2033, a model tego nie zawiera</t>
        </is>
      </c>
      <c r="D99" s="2" t="inlineStr">
        <is>
          <t>Wkleić 8.2 z Sekcja_3.2 (0 zł, 2030, D40), zdanie o modelu zamienić na „nie zakładamy w prognozie”</t>
        </is>
      </c>
      <c r="E99" s="2" t="inlineStr">
        <is>
          <t>Zmiany 7.3 poz. 11; K14-01; D40</t>
        </is>
      </c>
      <c r="F99" s="2" t="inlineStr">
        <is>
          <t>ŚREDNI</t>
        </is>
      </c>
      <c r="G99" s="2" t="inlineStr">
        <is>
          <t>OTWARTE (do wklejenia)</t>
        </is>
      </c>
    </row>
    <row r="100">
      <c r="A100" s="2" t="inlineStr">
        <is>
          <t>N99</t>
        </is>
      </c>
      <c r="B100" s="2" t="inlineStr">
        <is>
          <t>Z10, 3.2.1, 3.2.3 (plik LSI i wersja C)</t>
        </is>
      </c>
      <c r="C100" s="2" t="inlineStr">
        <is>
          <t>Wydarzenie „misja gospodarcza do CEE (np. Czechy/Rumunia)” w budżecie, a w tekście misja do Czech; 2,15% kosztów B+R do przeliczenia; podróż osoby z kosztów pośrednich</t>
        </is>
      </c>
      <c r="D100" s="2" t="inlineStr">
        <is>
          <t>Ujednolicić nazwę, przeliczyć udział, sprawdzić 5.3.3 w Przewodniku</t>
        </is>
      </c>
      <c r="E100" s="2" t="inlineStr">
        <is>
          <t>Zmiany 7.3 poz. 12; K3-24, K3-65</t>
        </is>
      </c>
      <c r="F100" s="2" t="inlineStr">
        <is>
          <t>NISKI</t>
        </is>
      </c>
      <c r="G100" s="2" t="inlineStr">
        <is>
          <t>OTWARTE</t>
        </is>
      </c>
    </row>
    <row r="101">
      <c r="A101" s="2" t="inlineStr">
        <is>
          <t>N100</t>
        </is>
      </c>
      <c r="B101" s="2" t="inlineStr">
        <is>
          <t>Z1, Z3, Z5, Z7 (plik LSI)</t>
        </is>
      </c>
      <c r="C101" s="2" t="inlineStr">
        <is>
          <t>Gwiazdki „ToF*”, „kamery*”, „Z1*” bez objaśnienia (oznaczenie zależności od D06)</t>
        </is>
      </c>
      <c r="D101" s="2" t="inlineStr">
        <is>
          <t>Usunąć gwiazdki po D06 i D53; do tego czasu nie wklejać pól</t>
        </is>
      </c>
      <c r="E101" s="2" t="inlineStr">
        <is>
          <t>Zmiany 7.3 poz. 13; D06, D53, K3-55</t>
        </is>
      </c>
      <c r="F101" s="2" t="inlineStr">
        <is>
          <t>NISKI</t>
        </is>
      </c>
      <c r="G101" s="2" t="inlineStr">
        <is>
          <t>OTWARTE</t>
        </is>
      </c>
    </row>
    <row r="102">
      <c r="A102" s="2" t="inlineStr">
        <is>
          <t>N101</t>
        </is>
      </c>
      <c r="B102" s="2" t="inlineStr">
        <is>
          <t>Sekcja_3.2: pozycja 10-4 (uzasadnienie), nazwa wydarzenia misji w tabeli 3.2.1 wersji C, opis delegatów Z10</t>
        </is>
      </c>
      <c r="C102" s="2" t="inlineStr">
        <is>
          <t>10-4 powołuje „Przewodnik 5.3.4” (powinno być 5.3.3); misja „np. Czechy/Rumunia” wobec Czech w tekście; „obie osoby zatrudnione w Everest11”, a kierownik zarządzający jest na zleceniu i w kosztach pośrednich</t>
        </is>
      </c>
      <c r="D102" s="2" t="inlineStr">
        <is>
          <t>Zamienić na 5.3.3; nazwa „misja gospodarcza do Czech”; sprawdzić w Przewodniku wymóg zatrudnienia delegata i ewentualnie wskazać pracownika</t>
        </is>
      </c>
      <c r="E102" s="2" t="inlineStr">
        <is>
          <t>Zmiany 8.5; K3-24, K3-65</t>
        </is>
      </c>
      <c r="F102" s="2" t="inlineStr">
        <is>
          <t>NISKI</t>
        </is>
      </c>
      <c r="G102" s="2" t="inlineStr">
        <is>
          <t>OTWARTE</t>
        </is>
      </c>
    </row>
    <row r="103">
      <c r="A103" s="2" t="inlineStr">
        <is>
          <t>N102</t>
        </is>
      </c>
      <c r="B103" s="2" t="inlineStr">
        <is>
          <t>R11 plan zastępczy (plik LSI, Opisy_zadan) i 6.2 Flota testowa</t>
        </is>
      </c>
      <c r="C103" s="2" t="inlineStr">
        <is>
          <t>Opisy_zadan miały czwarty element: pojazdy w najmie Everest11 (5 do 20); plik LSI go pomija, a 6.2 opisuje flotę jako udostępnioną przez Natanek Logistics</t>
        </is>
      </c>
      <c r="D103" s="2" t="inlineStr">
        <is>
          <t>Potwierdzić, czy aneks do umów najmu (T02) powstaje; jeśli tak, dopisać element; jeśli nie, zostawić trzy</t>
        </is>
      </c>
      <c r="E103" s="2" t="inlineStr">
        <is>
          <t>Zmiany 8.2; T02</t>
        </is>
      </c>
      <c r="F103" s="2" t="inlineStr">
        <is>
          <t>NISKI</t>
        </is>
      </c>
      <c r="G103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 | Godziny Z8 PRz zaktualizowane (N77). | ZAMKNIĘTY (D50): zmiany wyłącznie wg Zmiany_do_wprowadzenia_w_plikach_zamknietych.docx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 | ZAMKNIĘTY (D50): zmiany wyłącznie wg Zmiany_do_wprowadzenia_w_plikach_zamknietych.docx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  <row r="12">
      <c r="A12" s="2" t="inlineStr">
        <is>
          <t>Sekcja_3.1_podwykonawstwo_i_stawki_PRz.docx</t>
        </is>
      </c>
      <c r="B12" s="2" t="inlineStr">
        <is>
          <t>WP07 i część WP06: podwykonawstwo Z2/Z9 (K3-43..47), R8, stawki wynagrodzeń PRz 40 pozycji (K3-41, K3-42)</t>
        </is>
      </c>
      <c r="C12" s="2" t="inlineStr">
        <is>
          <t>WERSJA OSTATECZNA (poprawki właścicielki), czas przyszły, 0 żółtych</t>
        </is>
      </c>
      <c r="D12" s="2" t="inlineStr">
        <is>
          <t>Opcjonalnie T37.</t>
        </is>
      </c>
    </row>
    <row r="13">
      <c r="A13" s="2" t="inlineStr">
        <is>
          <t>Sekcja_K6_sprawozdanie_2Q2026_model.docx</t>
        </is>
      </c>
      <c r="B13" s="2" t="inlineStr">
        <is>
          <t>WP11 (część K6): dane za II kwartał 2026 w modelu Everest11, prognoza, wpływ na wyniki, komentarze, wariant rotacji zobowiązań</t>
        </is>
      </c>
      <c r="C13" s="2" t="inlineStr">
        <is>
          <t>GOTOWY: części 2 (zmiany w modelu, w tym 2.4 rotacje i 2.5 harmonogram płatności), 3, 4 (komentarze), 5-7, 8 (propozycje D53)</t>
        </is>
      </c>
      <c r="D13" s="2" t="inlineStr">
        <is>
          <t>Właścicielka: D46 (rotacje), D53 (zatwierdzenie propozycji); dział techniczny: T46; załączniki: T41.</t>
        </is>
      </c>
    </row>
    <row r="14">
      <c r="A14" s="2" t="inlineStr">
        <is>
          <t>Model_finansowy_CargoDT_Everest_II_kwartal_2026.xlsm</t>
        </is>
      </c>
      <c r="B14" s="2" t="inlineStr">
        <is>
          <t>WP11: model Everest11 z danymi za II kwartał 2026, prognozą I półrocze x2, rotacjami z I półrocza (po odpowiedzi księgowej) i poprawionymi komentarzami (Sprawozdania, Przychody, Koszty, Kapitał pracujący, Ocena kondycji, Założenia); przeliczony kontrolnie (57 581 liczb zgodnych) | 05.10: komentarze po D47-D49 (Przychody, Koszty, Opłacalność, Finansowanie, Kapitał pracujący) | 05.10 wieczór: harmonogram płatności skorygowany (K6-14), dopisek Koszty (K2-13, N58), tekst K6-12 bez 6,3 mln zł, zdanie o tajemnicy umowy z Amazon</t>
        </is>
      </c>
      <c r="C14" s="2" t="inlineStr">
        <is>
          <t>GOTOWY; D46 wprowadzona (do potwierdzenia); po otwarciu w Excelu zapisać plik</t>
        </is>
      </c>
      <c r="D14" s="2" t="inlineStr">
        <is>
          <t>Właścicielka: D46; Excel: otworzyć, zapisać, sprawdzić kontrolki.</t>
        </is>
      </c>
    </row>
    <row r="15">
      <c r="A15" s="2" t="inlineStr">
        <is>
          <t>Zmiany_do_wprowadzenia_w_plikach_zamknietych.docx</t>
        </is>
      </c>
      <c r="B15" s="2" t="inlineStr">
        <is>
          <t>Zestawienie zmian w Sekcja_1.3, Poprawki (R11, R12), Opisy zadań (R12, Z9) i w polach LSI po odpowiedziach księgowej, odpisie KRS i decyzjach D47-D49</t>
        </is>
      </c>
      <c r="C15" s="2" t="inlineStr">
        <is>
          <t>GOTOWY</t>
        </is>
      </c>
      <c r="D15" s="2" t="inlineStr">
        <is>
          <t>Właścicielka: T48</t>
        </is>
      </c>
    </row>
    <row r="16">
      <c r="A16" s="2" t="inlineStr">
        <is>
          <t>Poprawki_do_wklejenia_WP01-WP03.docx</t>
        </is>
      </c>
      <c r="B16" s="2" t="inlineStr">
        <is>
          <t>WP01-WP03: poprawki do pól 3.1.1, kamieni milowych i ryzyk (w tym R11, R12)</t>
        </is>
      </c>
      <c r="C16" s="2" t="inlineStr">
        <is>
          <t>ZAMKNIĘTY (D50)</t>
        </is>
      </c>
      <c r="D16" s="2" t="inlineStr">
        <is>
          <t>Zmiany wyłącznie wg Zmiany_do_wprowadzenia_w_plikach_zamknietych.docx.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2026-10-06T10:38:56Z</dcterms:modified>
</cp:coreProperties>
</file>