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dsumowanie" sheetId="1" state="visible" r:id="rId3"/>
    <sheet name="Założenia" sheetId="2" state="visible" r:id="rId4"/>
    <sheet name="Harmonogram płatności" sheetId="3" state="visible" r:id="rId5"/>
    <sheet name="Cashflow" sheetId="4" state="visible" r:id="rId6"/>
    <sheet name="HP – wzór PAR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<sst xmlns="http://schemas.openxmlformats.org/spreadsheetml/2006/main" count="265" uniqueCount="201">
  <si>
    <t xml:space="preserve">Cashflow projektu SZMO – podsumowanie</t>
  </si>
  <si>
    <t xml:space="preserve">Opracowano na podstawie wniosku FEPW.01.01-IP.01-0825/26 (Smart-ELIT sp. z o.o., FEPW 2021–2027, Platformy startowe). Dane w PLN.</t>
  </si>
  <si>
    <t xml:space="preserve">Kluczowe wielkości</t>
  </si>
  <si>
    <t xml:space="preserve">Wartość</t>
  </si>
  <si>
    <t xml:space="preserve">Uwagi</t>
  </si>
  <si>
    <t xml:space="preserve">Wydatki ogółem (brutto)</t>
  </si>
  <si>
    <t xml:space="preserve">Wniosek: 724 626,50</t>
  </si>
  <si>
    <t xml:space="preserve">Wydatki kwalifikowalne</t>
  </si>
  <si>
    <t xml:space="preserve">Wniosek: 705 741,21</t>
  </si>
  <si>
    <t xml:space="preserve">VAT niekwalifikowalny</t>
  </si>
  <si>
    <t xml:space="preserve">Wniosek: 18 885,29 (zakupy materiałów i zapory)</t>
  </si>
  <si>
    <t xml:space="preserve">Dofinansowanie (85% kwalifikowalnych)</t>
  </si>
  <si>
    <t xml:space="preserve">Wniosek: 599 880,03</t>
  </si>
  <si>
    <t xml:space="preserve">Wkład własny wniesiony – pożyczki wspólników</t>
  </si>
  <si>
    <t xml:space="preserve">Limit z wniosku: 124 746,47</t>
  </si>
  <si>
    <t xml:space="preserve">Wykorzystanie limitu pożyczki</t>
  </si>
  <si>
    <t xml:space="preserve">Minimalne saldo końcowe miesiąca (w okresie projektu)</t>
  </si>
  <si>
    <t xml:space="preserve">Szczyt przejściowego zapotrzebowania na gotówkę – scen. 1 (zaliczki)</t>
  </si>
  <si>
    <t xml:space="preserve">Bez pożyczki; ile musi wyłożyć wnioskodawca, zanim wpłynie dofinansowanie</t>
  </si>
  <si>
    <t xml:space="preserve">Szczyt przejściowego zapotrzebowania na gotówkę – scen. 2 (refundacja)</t>
  </si>
  <si>
    <t xml:space="preserve">Jeśli &gt; limit pożyczki, potrzebne dodatkowe finansowanie pomostowe</t>
  </si>
  <si>
    <t xml:space="preserve">Szczyt przejściowego zapotrzebowania na gotówkę – scen. 3 (wg umowy: zaliczka 40% + 15% na koniec)</t>
  </si>
  <si>
    <t xml:space="preserve">Wariant zgodny z zapisami umowy o dofinansowanie</t>
  </si>
  <si>
    <t xml:space="preserve">Niedobór finansowania w wybranym scenariuszu</t>
  </si>
  <si>
    <t xml:space="preserve">0 = limit pożyczki wystarcza</t>
  </si>
  <si>
    <t xml:space="preserve">Miesiąc największego zapotrzebowania – scen. 1</t>
  </si>
  <si>
    <t xml:space="preserve">Miesiąc największego zapotrzebowania – scen. 3</t>
  </si>
  <si>
    <t xml:space="preserve">Miesiąc największego zapotrzebowania – scen. 2</t>
  </si>
  <si>
    <t xml:space="preserve">Kontrola zgodności z wnioskiem</t>
  </si>
  <si>
    <t xml:space="preserve">Pozycja</t>
  </si>
  <si>
    <t xml:space="preserve">Model</t>
  </si>
  <si>
    <t xml:space="preserve">Wniosek</t>
  </si>
  <si>
    <t xml:space="preserve">Różnica</t>
  </si>
  <si>
    <t xml:space="preserve">Status</t>
  </si>
  <si>
    <t xml:space="preserve">Wynagrodzenia personelu (razem)</t>
  </si>
  <si>
    <t xml:space="preserve">Zadanie 1 – wydatki ogółem</t>
  </si>
  <si>
    <t xml:space="preserve">Zadanie 2 – wydatki ogółem</t>
  </si>
  <si>
    <t xml:space="preserve">Zadanie 3 – wydatki ogółem</t>
  </si>
  <si>
    <t xml:space="preserve">Koszty pośrednie</t>
  </si>
  <si>
    <t xml:space="preserve">Wydatki ogółem</t>
  </si>
  <si>
    <t xml:space="preserve">Dofinansowanie</t>
  </si>
  <si>
    <t xml:space="preserve">Wkład własny (pożyczka) – wymagany</t>
  </si>
  <si>
    <t xml:space="preserve">Założenia modelu cashflow – projekt SZMO (FEPW.01.01-IP.01-0825/26)</t>
  </si>
  <si>
    <t xml:space="preserve">Smart-ELIT sp. z o.o. · okres realizacji 01.09.2026–31.08.2027 · kolor niebieski = dane wejściowe (z wniosku lub założenie), czarny = formuły</t>
  </si>
  <si>
    <t xml:space="preserve">Scen. 1: zaliczka na początku kwartału = 85% kosztów kwalif. kolejnych 3 mies. | Scen. 2: refundacja 85% kosztów kwartału z opóźnieniem | Scen. 3: 1. zaliczka = max % z B11, kolejne zaliczki kwartalnie wg potrzeb (niewykorzystana zaliczka ≤ B11, łącznie ≤ 100% − B12), reszta po wniosku końcowym.</t>
  </si>
  <si>
    <t xml:space="preserve">Parametry scenariusza 3 (zaliczki wg umowy)</t>
  </si>
  <si>
    <t xml:space="preserve">Stopa dofinansowania</t>
  </si>
  <si>
    <t xml:space="preserve">Wniosek – podsumowanie wydatków</t>
  </si>
  <si>
    <t xml:space="preserve">Miesiąc wypłaty 1. zaliczki (nr mies.: 1 = wrz 2026, 3 = lis 2026)</t>
  </si>
  <si>
    <t xml:space="preserve">Stawka kosztów pośrednich (od wynagrodzeń kwalifik.)</t>
  </si>
  <si>
    <t xml:space="preserve">Wniosek – koszty uproszczone (ryczałt 15%)</t>
  </si>
  <si>
    <t xml:space="preserve">Kolejna zaliczka po wydatkowaniu min. % wypłaconych narastająco</t>
  </si>
  <si>
    <t xml:space="preserve">Limit pożyczek właścicielskich (wkład własny, PLN)</t>
  </si>
  <si>
    <t xml:space="preserve">Wniosek – źródła finansowania (pożyczka, przedwstępne umowy)</t>
  </si>
  <si>
    <t xml:space="preserve">Opóźnienie rozliczenia wydatków przed kolejną zaliczką (mies.)</t>
  </si>
  <si>
    <t xml:space="preserve">Saldo początkowe gotówki (PLN)</t>
  </si>
  <si>
    <t xml:space="preserve">ZAŁOŻENIE – brak danych we wniosku</t>
  </si>
  <si>
    <t xml:space="preserve">Wydatkowanie liczone jako 85% × wydatki kwalifikowalne narastająco od początku projektu (w tym wrz–paź 2026).</t>
  </si>
  <si>
    <t xml:space="preserve">Minimalne saldo gotówki / bufor (PLN)</t>
  </si>
  <si>
    <t xml:space="preserve">ZAŁOŻENIE – zmień, jeśli chcesz utrzymywać rezerwę</t>
  </si>
  <si>
    <t xml:space="preserve">Scenariusz wpływu dofinansowania (1 / 2 / 3)</t>
  </si>
  <si>
    <t xml:space="preserve">1 = zaliczki kwartalne; 2 = refundacja kwartalna; 3 = wg umowy (zaliczka max 40%, 15% przy wniosku końcowym)</t>
  </si>
  <si>
    <t xml:space="preserve">Opóźnienie wypłaty refundacji / płatności końcowej (mies.)</t>
  </si>
  <si>
    <t xml:space="preserve">ZAŁOŻENIE – dot. scenariuszy 2 i 3 (od końca kwartału / od końca projektu)</t>
  </si>
  <si>
    <t xml:space="preserve">Maksymalna pojedyncza zaliczka (% dofinansowania) – scen. 3</t>
  </si>
  <si>
    <t xml:space="preserve">UMOWA O DOFINANSOWANIE: zaliczka maks. 40% dofinansowania</t>
  </si>
  <si>
    <t xml:space="preserve">Płatność końcowa w formie refundacji (% dofinansowania) – scen. 3</t>
  </si>
  <si>
    <t xml:space="preserve">UMOWA O DOFINANSOWANIE: 15% wypłacane przy wniosku o płatność końcową</t>
  </si>
  <si>
    <t xml:space="preserve">Zakupy i przychody – harmonogram płatności</t>
  </si>
  <si>
    <t xml:space="preserve">Netto (kwalifikowalne)</t>
  </si>
  <si>
    <t xml:space="preserve">Brutto (wydatek ogółem)</t>
  </si>
  <si>
    <t xml:space="preserve">wrz 2026</t>
  </si>
  <si>
    <t xml:space="preserve">paź 2026</t>
  </si>
  <si>
    <t xml:space="preserve">lis 2026</t>
  </si>
  <si>
    <t xml:space="preserve">gru 2026</t>
  </si>
  <si>
    <t xml:space="preserve">sty 2027</t>
  </si>
  <si>
    <t xml:space="preserve">lut 2027</t>
  </si>
  <si>
    <t xml:space="preserve">mar 2027</t>
  </si>
  <si>
    <t xml:space="preserve">kwi 2027</t>
  </si>
  <si>
    <t xml:space="preserve">maj 2027</t>
  </si>
  <si>
    <t xml:space="preserve">cze 2027</t>
  </si>
  <si>
    <t xml:space="preserve">lip 2027</t>
  </si>
  <si>
    <t xml:space="preserve">sie 2027</t>
  </si>
  <si>
    <t xml:space="preserve">Suma udziałów</t>
  </si>
  <si>
    <t xml:space="preserve">Materiały do budowy modułów (Zadanie 1)</t>
  </si>
  <si>
    <t xml:space="preserve">Zapora sieciowa NGFW (Zadanie 2)</t>
  </si>
  <si>
    <t xml:space="preserve">Przychody ze sprzedaży (wpływ brutto, PLN)</t>
  </si>
  <si>
    <t xml:space="preserve">Wniosek nie zawiera prognozy przychodów w okresie projektu (pierwsza sprzedaż/pilotaż do 31.08.2027) – domyślnie 0. Terminy płatności zakupów to założenie (zamówienie po rozstrzygnięciu naboru).</t>
  </si>
  <si>
    <t xml:space="preserve">Zaangażowanie personelu (etaty w miesiącu) i stawki – wg uzasadnień wydatków we wniosku</t>
  </si>
  <si>
    <t xml:space="preserve">Zadanie</t>
  </si>
  <si>
    <t xml:space="preserve">Osoba / rola</t>
  </si>
  <si>
    <t xml:space="preserve">Koszt 1 etatu (brutto brutto, PLN)</t>
  </si>
  <si>
    <t xml:space="preserve">Etatomiesiące</t>
  </si>
  <si>
    <t xml:space="preserve">Koszt wyliczony</t>
  </si>
  <si>
    <t xml:space="preserve">Wg wniosku</t>
  </si>
  <si>
    <t xml:space="preserve">Lider projektu (T. Dzik)</t>
  </si>
  <si>
    <t xml:space="preserve">Ekspert ds. automatyki i pomiarów / Architekt IT (P. Naszkowski)</t>
  </si>
  <si>
    <t xml:space="preserve">Ekspert ds. energoelektroniki (Ł. Fabijański)</t>
  </si>
  <si>
    <t xml:space="preserve">Ekspert ds. projektowania mechanicznego (A. Prokopiuk)</t>
  </si>
  <si>
    <t xml:space="preserve">Inżynier elektronik, monter (T. Sobieszuk)</t>
  </si>
  <si>
    <t xml:space="preserve">Programista front-end (P. Gawarecki)</t>
  </si>
  <si>
    <t xml:space="preserve">Programista back-end (D. Szczepański)</t>
  </si>
  <si>
    <t xml:space="preserve">Programista nisko-poziomowy (K. Potępa)</t>
  </si>
  <si>
    <t xml:space="preserve">RAZEM</t>
  </si>
  <si>
    <t xml:space="preserve">Wynagrodzenia przyjęto jako koszt całkowity pracodawcy („brutto brutto”) i zakładamy wypłatę w miesiącu poniesienia kosztu (podejście ostrożne dla płynności; w praktyce część – ZUS/PIT – płatna do 20. dnia następnego miesiąca).</t>
  </si>
  <si>
    <t xml:space="preserve">Harmonogram płatności dofinansowania – wg zapisów umowy</t>
  </si>
  <si>
    <t xml:space="preserve">Zaliczka maks. 40% dofinansowania; kolejna zaliczka dopiero po wydatkowaniu 70% wypłaconych dotąd zaliczek (narastająco); 15% dofinansowania wypłacane w formie refundacji po wniosku o płatność końcową (opóźnienie – Założenia!B10). Arkusz zawsze pokazuje scenariusz 3, niezależnie od wyboru w Założeniach.</t>
  </si>
  <si>
    <t xml:space="preserve">Dofinansowanie ogółem (PLN)</t>
  </si>
  <si>
    <t xml:space="preserve">Maksymalna zaliczka (PLN)</t>
  </si>
  <si>
    <t xml:space="preserve">Płatność końcowa – 15% (PLN)</t>
  </si>
  <si>
    <t xml:space="preserve">Lp.</t>
  </si>
  <si>
    <t xml:space="preserve">Płatność</t>
  </si>
  <si>
    <t xml:space="preserve">Termin (miesiąc)</t>
  </si>
  <si>
    <t xml:space="preserve">Kwota (PLN)</t>
  </si>
  <si>
    <t xml:space="preserve">% dofinansowania</t>
  </si>
  <si>
    <t xml:space="preserve">Narastająco (PLN)</t>
  </si>
  <si>
    <t xml:space="preserve">Narastająco %</t>
  </si>
  <si>
    <t xml:space="preserve">Niewykorzystana zaliczka po wypłacie (PLN)</t>
  </si>
  <si>
    <t xml:space="preserve">Wydatkowano z wcześniej wypłaconych (%)</t>
  </si>
  <si>
    <t xml:space="preserve">Zaliczka nr 1</t>
  </si>
  <si>
    <t xml:space="preserve">n/d</t>
  </si>
  <si>
    <t xml:space="preserve">Maksymalna zaliczka (40% dofinansowania), wypłata na początku miesiąca</t>
  </si>
  <si>
    <t xml:space="preserve">Zaliczka nr 2</t>
  </si>
  <si>
    <t xml:space="preserve">Po wydatkowaniu min. 70% wypłaconych dotąd zaliczek – kwota wg limitu 40%</t>
  </si>
  <si>
    <t xml:space="preserve">Zaliczka nr 3</t>
  </si>
  <si>
    <t xml:space="preserve">Domknięcie limitu 85% (zaliczki + refundacje przed wnioskiem końcowym) po wydatkowaniu 70%</t>
  </si>
  <si>
    <t xml:space="preserve">Zaliczka nr 4</t>
  </si>
  <si>
    <t xml:space="preserve">Nie występuje (limit 85% wykorzystany)</t>
  </si>
  <si>
    <t xml:space="preserve">Płatność końcowa (refundacja po wniosku o płatność końcową)</t>
  </si>
  <si>
    <t xml:space="preserve">Wniosek końcowy po 31.08.2027; wypłata poza okresem realizacji projektu</t>
  </si>
  <si>
    <t xml:space="preserve">Kontrola zapisów umowy</t>
  </si>
  <si>
    <t xml:space="preserve">Suma płatności = dofinansowanie</t>
  </si>
  <si>
    <t xml:space="preserve">Największa pojedyncza zaliczka ≤ 40% dofinansowania</t>
  </si>
  <si>
    <t xml:space="preserve">Płatność końcowa ≥ 15% dofinansowania</t>
  </si>
  <si>
    <t xml:space="preserve">Wypłaty przed wnioskiem końcowym ≤ 85% dofinansowania</t>
  </si>
  <si>
    <t xml:space="preserve">Kolejna zaliczka po wydatkowaniu ≥ 70% wypłaconych dotąd (najniższe wydatkowanie)</t>
  </si>
  <si>
    <t xml:space="preserve">Cashflow projektu SZMO – miesięcznie (PLN)</t>
  </si>
  <si>
    <t xml:space="preserve">Po projekcie (od wrz 2027)</t>
  </si>
  <si>
    <t xml:space="preserve">Razem</t>
  </si>
  <si>
    <t xml:space="preserve">Nr miesiąca</t>
  </si>
  <si>
    <t xml:space="preserve">WYDATKI (wypływy gotówki, brutto)</t>
  </si>
  <si>
    <t xml:space="preserve">Wynagrodzenia – Zadanie 1</t>
  </si>
  <si>
    <t xml:space="preserve">Wynagrodzenia – Zadanie 2</t>
  </si>
  <si>
    <t xml:space="preserve">Wynagrodzenia – Zadanie 3</t>
  </si>
  <si>
    <t xml:space="preserve">Wynagrodzenia razem</t>
  </si>
  <si>
    <t xml:space="preserve">Materiały do budowy modułów (brutto)</t>
  </si>
  <si>
    <t xml:space="preserve">Zapora sieciowa NGFW (brutto)</t>
  </si>
  <si>
    <t xml:space="preserve">Koszty pośrednie (ryczałt 15%)</t>
  </si>
  <si>
    <t xml:space="preserve">WYDATKI RAZEM</t>
  </si>
  <si>
    <t xml:space="preserve">w tym wydatki kwalifikowalne</t>
  </si>
  <si>
    <t xml:space="preserve">w tym VAT (niekwalifikowalny – wnioskodawca nie odzyskuje VAT)</t>
  </si>
  <si>
    <t xml:space="preserve">WPŁYWY</t>
  </si>
  <si>
    <t xml:space="preserve">Dofinansowanie (wg wybranego scenariusza)</t>
  </si>
  <si>
    <t xml:space="preserve">Przychody ze sprzedaży</t>
  </si>
  <si>
    <t xml:space="preserve">Pożyczka właścicielska (wkład własny) – uruchamiana przy niedoborze</t>
  </si>
  <si>
    <t xml:space="preserve">WPŁYWY RAZEM</t>
  </si>
  <si>
    <t xml:space="preserve">SALDO GOTÓWKI</t>
  </si>
  <si>
    <t xml:space="preserve">Saldo początkowe</t>
  </si>
  <si>
    <t xml:space="preserve">Przepływ netto w miesiącu</t>
  </si>
  <si>
    <t xml:space="preserve">Saldo końcowe</t>
  </si>
  <si>
    <t xml:space="preserve">Niedobór względem bufora (limit pożyczki wyczerpany)</t>
  </si>
  <si>
    <t xml:space="preserve">Pożyczka – wykorzystanie narastająco</t>
  </si>
  <si>
    <t xml:space="preserve">OBLICZENIA POMOCNICZE – porównanie scenariuszy dofinansowania</t>
  </si>
  <si>
    <t xml:space="preserve">Zaliczki (scenariusz 1) – wpływ</t>
  </si>
  <si>
    <t xml:space="preserve">Refundacja (scenariusz 2) – wpływ</t>
  </si>
  <si>
    <t xml:space="preserve">Skumulowany przepływ netto BEZ pożyczki – scen. 1</t>
  </si>
  <si>
    <t xml:space="preserve">Skumulowany przepływ netto BEZ pożyczki – scen. 2</t>
  </si>
  <si>
    <t xml:space="preserve">Wg umowy (scenariusz 3) – wpływ: zaliczki + płatność końcowa</t>
  </si>
  <si>
    <t xml:space="preserve">Skumulowany przepływ netto BEZ pożyczki – scen. 3</t>
  </si>
  <si>
    <t xml:space="preserve">Niewykorzystana zaliczka po wypłacie (scen. 3)</t>
  </si>
  <si>
    <t xml:space="preserve">Wydatki kwalifikowalne narastająco</t>
  </si>
  <si>
    <t xml:space="preserve">Wpłaty dofinansowania narastająco (scen. 3)</t>
  </si>
  <si>
    <t xml:space="preserve">Niewykorzystana zaliczka na początek miesiąca (scen. 3)</t>
  </si>
  <si>
    <t xml:space="preserve">Nr zaliczki (scen. 3)</t>
  </si>
  <si>
    <t xml:space="preserve">Dofinansowanie ogółem (zaokrąglone)</t>
  </si>
  <si>
    <t xml:space="preserve">Pożyczka właścicielska jest uruchamiana automatycznie tylko do poziomu niedoboru gotówki (do limitu z Założeń); spłata pożyczek wspólnikom nie jest w modelu (brak informacji we wniosku). Kolumna „Po projekcie” to wpływy po 31.08.2027 (np. rozliczenie ostatniej transzy).</t>
  </si>
  <si>
    <t xml:space="preserve">Dane do Harmonogramu nr 1 (wzór PARP) – wartości z modelu, scenariusz 3</t>
  </si>
  <si>
    <t xml:space="preserve">Numer Projektu</t>
  </si>
  <si>
    <t xml:space="preserve">Nazwa realizatora</t>
  </si>
  <si>
    <t xml:space="preserve">Rok</t>
  </si>
  <si>
    <t xml:space="preserve">Kwartał</t>
  </si>
  <si>
    <t xml:space="preserve">Miesiąc</t>
  </si>
  <si>
    <t xml:space="preserve">Dofinansowanie - zaliczka</t>
  </si>
  <si>
    <t xml:space="preserve">Dofinansowanie - refundacja</t>
  </si>
  <si>
    <t xml:space="preserve">FEPW.01.01-IP.01-0825/26</t>
  </si>
  <si>
    <t xml:space="preserve">SMART-ELIT SP. Z O.O.</t>
  </si>
  <si>
    <t xml:space="preserve">listopad</t>
  </si>
  <si>
    <t xml:space="preserve">grudzień</t>
  </si>
  <si>
    <t xml:space="preserve">styczeń</t>
  </si>
  <si>
    <t xml:space="preserve">luty</t>
  </si>
  <si>
    <t xml:space="preserve">marzec</t>
  </si>
  <si>
    <t xml:space="preserve">kwiecień</t>
  </si>
  <si>
    <t xml:space="preserve">maj</t>
  </si>
  <si>
    <t xml:space="preserve">czerwiec</t>
  </si>
  <si>
    <t xml:space="preserve">lipiec</t>
  </si>
  <si>
    <t xml:space="preserve">sierpień</t>
  </si>
  <si>
    <t xml:space="preserve">wrzesień</t>
  </si>
  <si>
    <t xml:space="preserve">październik</t>
  </si>
  <si>
    <t xml:space="preserve">Kontrola: wydatki kwalifikowalne</t>
  </si>
  <si>
    <t xml:space="preserve">Kontrola: zaliczki + refundacja = dofinansowanie</t>
  </si>
  <si>
    <t xml:space="preserve">Wzór PARP zaczyna się od listopada 2026 – wydatki z wrz–paź 2026 ujęto w wierszu „listopad”. Płatność końcowa w „wrzesień/październik 2027” zależy od Założenia!B10 (1 lub 2). Wartości zostały przeniesione do osobnego pliku według wzoru.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</si>
</sst>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[RED]\(#,##0.00\);\-"/>
    <numFmt numFmtId="166" formatCode="0%;\-0%;\-"/>
    <numFmt numFmtId="167" formatCode="@"/>
    <numFmt numFmtId="168" formatCode="#,##0"/>
    <numFmt numFmtId="169" formatCode="0"/>
    <numFmt numFmtId="170" formatCode="0.00;\-0.00;\-"/>
    <numFmt numFmtId="171" formatCode="0.00"/>
    <numFmt numFmtId="172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Wydatki i wpływy miesięczne oraz saldo końcowe (PLN)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Cashflow!A14</c:f>
              <c:strCache>
                <c:ptCount val="1"/>
                <c:pt idx="0">
                  <c:v>WYDATKI RAZEM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Cashflow!$B$4:$M$4</c:f>
              <c:strCache>
                <c:ptCount val="12"/>
                <c:pt idx="0">
                  <c:v>wrz 2026</c:v>
                </c:pt>
                <c:pt idx="1">
                  <c:v>paź 2026</c:v>
                </c:pt>
                <c:pt idx="2">
                  <c:v>lis 2026</c:v>
                </c:pt>
                <c:pt idx="3">
                  <c:v>gru 2026</c:v>
                </c:pt>
                <c:pt idx="4">
                  <c:v>sty 2027</c:v>
                </c:pt>
                <c:pt idx="5">
                  <c:v>lut 2027</c:v>
                </c:pt>
                <c:pt idx="6">
                  <c:v>mar 2027</c:v>
                </c:pt>
                <c:pt idx="7">
                  <c:v>kwi 2027</c:v>
                </c:pt>
                <c:pt idx="8">
                  <c:v>maj 2027</c:v>
                </c:pt>
                <c:pt idx="9">
                  <c:v>cze 2027</c:v>
                </c:pt>
                <c:pt idx="10">
                  <c:v>lip 2027</c:v>
                </c:pt>
                <c:pt idx="11">
                  <c:v>sie 2027</c:v>
                </c:pt>
              </c:strCache>
            </c:strRef>
          </c:cat>
          <c:val>
            <c:numRef>
              <c:f>Cashflow!$B$14:$M$14</c:f>
              <c:numCache>
                <c:formatCode>#,##0.00;[RED]\(#,##0.00\);\-</c:formatCode>
                <c:ptCount val="12"/>
                <c:pt idx="0">
                  <c:v>32802.6</c:v>
                </c:pt>
                <c:pt idx="1">
                  <c:v>77677.1</c:v>
                </c:pt>
                <c:pt idx="2">
                  <c:v>101827.1</c:v>
                </c:pt>
                <c:pt idx="3">
                  <c:v>68198.9</c:v>
                </c:pt>
                <c:pt idx="4">
                  <c:v>56952.6</c:v>
                </c:pt>
                <c:pt idx="5">
                  <c:v>56952.6</c:v>
                </c:pt>
                <c:pt idx="6">
                  <c:v>56952.6</c:v>
                </c:pt>
                <c:pt idx="7">
                  <c:v>56952.6</c:v>
                </c:pt>
                <c:pt idx="8">
                  <c:v>56952.6</c:v>
                </c:pt>
                <c:pt idx="9">
                  <c:v>56952.6</c:v>
                </c:pt>
                <c:pt idx="10">
                  <c:v>51202.6</c:v>
                </c:pt>
                <c:pt idx="11">
                  <c:v>51202.6</c:v>
                </c:pt>
              </c:numCache>
            </c:numRef>
          </c:val>
        </c:ser>
        <c:ser>
          <c:idx val="1"/>
          <c:order val="1"/>
          <c:tx>
            <c:strRef>
              <c:f>Cashflow!A23</c:f>
              <c:strCache>
                <c:ptCount val="1"/>
                <c:pt idx="0">
                  <c:v>WPŁYWY RAZEM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Cashflow!$B$4:$M$4</c:f>
              <c:strCache>
                <c:ptCount val="12"/>
                <c:pt idx="0">
                  <c:v>wrz 2026</c:v>
                </c:pt>
                <c:pt idx="1">
                  <c:v>paź 2026</c:v>
                </c:pt>
                <c:pt idx="2">
                  <c:v>lis 2026</c:v>
                </c:pt>
                <c:pt idx="3">
                  <c:v>gru 2026</c:v>
                </c:pt>
                <c:pt idx="4">
                  <c:v>sty 2027</c:v>
                </c:pt>
                <c:pt idx="5">
                  <c:v>lut 2027</c:v>
                </c:pt>
                <c:pt idx="6">
                  <c:v>mar 2027</c:v>
                </c:pt>
                <c:pt idx="7">
                  <c:v>kwi 2027</c:v>
                </c:pt>
                <c:pt idx="8">
                  <c:v>maj 2027</c:v>
                </c:pt>
                <c:pt idx="9">
                  <c:v>cze 2027</c:v>
                </c:pt>
                <c:pt idx="10">
                  <c:v>lip 2027</c:v>
                </c:pt>
                <c:pt idx="11">
                  <c:v>sie 2027</c:v>
                </c:pt>
              </c:strCache>
            </c:strRef>
          </c:cat>
          <c:val>
            <c:numRef>
              <c:f>Cashflow!$B$23:$M$23</c:f>
              <c:numCache>
                <c:formatCode>#,##0.00;[RED]\(#,##0.00\);\-</c:formatCode>
                <c:ptCount val="12"/>
                <c:pt idx="0">
                  <c:v>32802.6</c:v>
                </c:pt>
                <c:pt idx="1">
                  <c:v>77677.1</c:v>
                </c:pt>
                <c:pt idx="2">
                  <c:v>239952.01</c:v>
                </c:pt>
                <c:pt idx="3">
                  <c:v>0</c:v>
                </c:pt>
                <c:pt idx="4">
                  <c:v>239952.01</c:v>
                </c:pt>
                <c:pt idx="5">
                  <c:v>0</c:v>
                </c:pt>
                <c:pt idx="6">
                  <c:v>0</c:v>
                </c:pt>
                <c:pt idx="7">
                  <c:v>29994.01</c:v>
                </c:pt>
                <c:pt idx="8">
                  <c:v>0</c:v>
                </c:pt>
                <c:pt idx="9">
                  <c:v>1843.57000000002</c:v>
                </c:pt>
                <c:pt idx="10">
                  <c:v>12423.2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2546140"/>
        <c:axId val="10554548"/>
      </c:barChart>
      <c:lineChart>
        <c:grouping val="standard"/>
        <c:varyColors val="0"/>
        <c:ser>
          <c:idx val="2"/>
          <c:order val="2"/>
          <c:tx>
            <c:strRef>
              <c:f>Cashflow!A28</c:f>
              <c:strCache>
                <c:ptCount val="1"/>
                <c:pt idx="0">
                  <c:v>Saldo końcowe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Cashflow!$B$4:$M$4</c:f>
              <c:strCache>
                <c:ptCount val="12"/>
                <c:pt idx="0">
                  <c:v>wrz 2026</c:v>
                </c:pt>
                <c:pt idx="1">
                  <c:v>paź 2026</c:v>
                </c:pt>
                <c:pt idx="2">
                  <c:v>lis 2026</c:v>
                </c:pt>
                <c:pt idx="3">
                  <c:v>gru 2026</c:v>
                </c:pt>
                <c:pt idx="4">
                  <c:v>sty 2027</c:v>
                </c:pt>
                <c:pt idx="5">
                  <c:v>lut 2027</c:v>
                </c:pt>
                <c:pt idx="6">
                  <c:v>mar 2027</c:v>
                </c:pt>
                <c:pt idx="7">
                  <c:v>kwi 2027</c:v>
                </c:pt>
                <c:pt idx="8">
                  <c:v>maj 2027</c:v>
                </c:pt>
                <c:pt idx="9">
                  <c:v>cze 2027</c:v>
                </c:pt>
                <c:pt idx="10">
                  <c:v>lip 2027</c:v>
                </c:pt>
                <c:pt idx="11">
                  <c:v>sie 2027</c:v>
                </c:pt>
              </c:strCache>
            </c:strRef>
          </c:cat>
          <c:val>
            <c:numRef>
              <c:f>Cashflow!$B$28:$M$28</c:f>
              <c:numCache>
                <c:formatCode>#,##0.00;[RED]\(#,##0.00\);\-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138124.91</c:v>
                </c:pt>
                <c:pt idx="3">
                  <c:v>69926.01</c:v>
                </c:pt>
                <c:pt idx="4">
                  <c:v>252925.42</c:v>
                </c:pt>
                <c:pt idx="5">
                  <c:v>195972.82</c:v>
                </c:pt>
                <c:pt idx="6">
                  <c:v>139020.22</c:v>
                </c:pt>
                <c:pt idx="7">
                  <c:v>112061.63</c:v>
                </c:pt>
                <c:pt idx="8">
                  <c:v>55109.03</c:v>
                </c:pt>
                <c:pt idx="9">
                  <c:v>0</c:v>
                </c:pt>
                <c:pt idx="10">
                  <c:v>-38779.4</c:v>
                </c:pt>
                <c:pt idx="11">
                  <c:v>-89982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546140"/>
        <c:axId val="10554548"/>
      </c:lineChart>
      <c:catAx>
        <c:axId val="825461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54548"/>
        <c:crosses val="autoZero"/>
        <c:auto val="1"/>
        <c:lblAlgn val="ctr"/>
        <c:lblOffset val="100"/>
        <c:noMultiLvlLbl val="0"/>
      </c:catAx>
      <c:valAx>
        <c:axId val="10554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461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160560</xdr:rowOff>
    </xdr:from>
    <xdr:to>
      <xdr:col>2</xdr:col>
      <xdr:colOff>2436840</xdr:colOff>
      <xdr:row>48</xdr:row>
      <xdr:rowOff>161640</xdr:rowOff>
    </xdr:to>
    <xdr:graphicFrame>
      <xdr:nvGraphicFramePr>
        <xdr:cNvPr id="0" name="Chart 1"/>
        <xdr:cNvGraphicFramePr/>
      </xdr:nvGraphicFramePr>
      <xdr:xfrm>
        <a:off x="0" y="60958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Cashflow!O14</f>
        <v>724626.5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n">
        <f aca="false">Cashflow!O16</f>
        <v>705741.21</v>
      </c>
      <c r="C6" s="2" t="s">
        <v>8</v>
      </c>
    </row>
    <row r="7" customFormat="false" ht="15" hidden="false" customHeight="false" outlineLevel="0" collapsed="false">
      <c r="A7" s="4" t="s">
        <v>9</v>
      </c>
      <c r="B7" s="5" t="n">
        <f aca="false">Cashflow!O17</f>
        <v>18885.29</v>
      </c>
      <c r="C7" s="2" t="s">
        <v>10</v>
      </c>
    </row>
    <row r="8" customFormat="false" ht="15" hidden="false" customHeight="false" outlineLevel="0" collapsed="false">
      <c r="A8" s="4" t="s">
        <v>11</v>
      </c>
      <c r="B8" s="5" t="n">
        <f aca="false">Cashflow!O20</f>
        <v>599880.03</v>
      </c>
      <c r="C8" s="2" t="s">
        <v>12</v>
      </c>
    </row>
    <row r="9" customFormat="false" ht="15" hidden="false" customHeight="false" outlineLevel="0" collapsed="false">
      <c r="A9" s="4" t="s">
        <v>13</v>
      </c>
      <c r="B9" s="5" t="n">
        <f aca="false">Cashflow!O22</f>
        <v>124746.47</v>
      </c>
      <c r="C9" s="2" t="s">
        <v>14</v>
      </c>
    </row>
    <row r="10" customFormat="false" ht="15" hidden="false" customHeight="false" outlineLevel="0" collapsed="false">
      <c r="A10" s="4" t="s">
        <v>15</v>
      </c>
      <c r="B10" s="6" t="n">
        <f aca="false">Cashflow!O22/Założenia!B6</f>
        <v>1</v>
      </c>
      <c r="C10" s="2"/>
    </row>
    <row r="11" customFormat="false" ht="15" hidden="false" customHeight="false" outlineLevel="0" collapsed="false">
      <c r="A11" s="4" t="s">
        <v>16</v>
      </c>
      <c r="B11" s="5" t="n">
        <f aca="false">MIN(Cashflow!B28:M28)</f>
        <v>-89982</v>
      </c>
      <c r="C11" s="2"/>
    </row>
    <row r="12" customFormat="false" ht="15" hidden="false" customHeight="false" outlineLevel="0" collapsed="false">
      <c r="A12" s="4" t="s">
        <v>17</v>
      </c>
      <c r="B12" s="5" t="n">
        <f aca="false">-MIN(0,MIN(Cashflow!B35:M35))</f>
        <v>124746.47</v>
      </c>
      <c r="C12" s="2" t="s">
        <v>18</v>
      </c>
    </row>
    <row r="13" customFormat="false" ht="15" hidden="false" customHeight="false" outlineLevel="0" collapsed="false">
      <c r="A13" s="4" t="s">
        <v>19</v>
      </c>
      <c r="B13" s="5" t="n">
        <f aca="false">-MIN(0,MIN(Cashflow!B36:M36))</f>
        <v>303024.53</v>
      </c>
      <c r="C13" s="2" t="s">
        <v>20</v>
      </c>
    </row>
    <row r="14" customFormat="false" ht="15" hidden="false" customHeight="false" outlineLevel="0" collapsed="false">
      <c r="A14" s="4" t="s">
        <v>21</v>
      </c>
      <c r="B14" s="5" t="n">
        <f aca="false">-MIN(0,MIN(Cashflow!B38:M38))</f>
        <v>214728.47</v>
      </c>
      <c r="C14" s="2" t="s">
        <v>22</v>
      </c>
    </row>
    <row r="15" customFormat="false" ht="15" hidden="false" customHeight="false" outlineLevel="0" collapsed="false">
      <c r="A15" s="4" t="s">
        <v>23</v>
      </c>
      <c r="B15" s="5" t="n">
        <f aca="false">Cashflow!O29</f>
        <v>89982</v>
      </c>
      <c r="C15" s="2" t="s">
        <v>24</v>
      </c>
    </row>
    <row r="16" customFormat="false" ht="15" hidden="false" customHeight="false" outlineLevel="0" collapsed="false">
      <c r="A16" s="4" t="s">
        <v>25</v>
      </c>
      <c r="B16" s="7" t="str">
        <f aca="false">INDEX(Cashflow!B4:M4,MATCH(MIN(Cashflow!B35:M35),Cashflow!B35:M35,0))</f>
        <v>sie 2027</v>
      </c>
      <c r="C16" s="2"/>
    </row>
    <row r="17" customFormat="false" ht="15" hidden="false" customHeight="false" outlineLevel="0" collapsed="false">
      <c r="A17" s="4" t="s">
        <v>26</v>
      </c>
      <c r="B17" s="7" t="str">
        <f aca="false">INDEX(Cashflow!B4:M4,MATCH(MIN(Cashflow!B38:M38),Cashflow!B38:M38,0))</f>
        <v>sie 2027</v>
      </c>
      <c r="C17" s="2"/>
    </row>
    <row r="18" customFormat="false" ht="15" hidden="false" customHeight="false" outlineLevel="0" collapsed="false">
      <c r="A18" s="4" t="s">
        <v>27</v>
      </c>
      <c r="B18" s="7" t="str">
        <f aca="false">INDEX(Cashflow!B4:M4,MATCH(MIN(Cashflow!B36:M36),Cashflow!B36:M36,0))</f>
        <v>cze 2027</v>
      </c>
      <c r="C18" s="2"/>
    </row>
    <row r="20" customFormat="false" ht="15" hidden="false" customHeight="false" outlineLevel="0" collapsed="false">
      <c r="A20" s="8" t="s">
        <v>28</v>
      </c>
    </row>
    <row r="21" customFormat="false" ht="15" hidden="false" customHeight="false" outlineLevel="0" collapsed="false">
      <c r="A21" s="3" t="s">
        <v>29</v>
      </c>
      <c r="B21" s="3" t="s">
        <v>30</v>
      </c>
      <c r="C21" s="3" t="s">
        <v>31</v>
      </c>
      <c r="D21" s="3" t="s">
        <v>32</v>
      </c>
      <c r="E21" s="3" t="s">
        <v>33</v>
      </c>
    </row>
    <row r="22" customFormat="false" ht="15" hidden="false" customHeight="false" outlineLevel="0" collapsed="false">
      <c r="A22" s="4" t="s">
        <v>34</v>
      </c>
      <c r="B22" s="5" t="n">
        <f aca="false">Cashflow!O10</f>
        <v>542288</v>
      </c>
      <c r="C22" s="9" t="n">
        <v>542288</v>
      </c>
      <c r="D22" s="5" t="n">
        <f aca="false">ROUND(B22-C22,2)</f>
        <v>0</v>
      </c>
      <c r="E22" s="8" t="str">
        <f aca="false">IF(ABS(D22)&lt;=0.05,"OK","SPRAWDŹ")</f>
        <v>OK</v>
      </c>
    </row>
    <row r="23" customFormat="false" ht="15" hidden="false" customHeight="false" outlineLevel="0" collapsed="false">
      <c r="A23" s="4" t="s">
        <v>35</v>
      </c>
      <c r="B23" s="5" t="n">
        <f aca="false">SUM(Cashflow!B7:M7)+Cashflow!O11</f>
        <v>244093</v>
      </c>
      <c r="C23" s="9" t="n">
        <v>244093</v>
      </c>
      <c r="D23" s="5" t="n">
        <f aca="false">ROUND(B23-C23,2)</f>
        <v>0</v>
      </c>
      <c r="E23" s="8" t="str">
        <f aca="false">IF(ABS(D23)&lt;=0.05,"OK","SPRAWDŹ")</f>
        <v>OK</v>
      </c>
    </row>
    <row r="24" customFormat="false" ht="15" hidden="false" customHeight="false" outlineLevel="0" collapsed="false">
      <c r="A24" s="4" t="s">
        <v>36</v>
      </c>
      <c r="B24" s="5" t="n">
        <f aca="false">SUM(Cashflow!B8:M8)+Cashflow!O12</f>
        <v>165246.3</v>
      </c>
      <c r="C24" s="9" t="n">
        <v>165246.3</v>
      </c>
      <c r="D24" s="5" t="n">
        <f aca="false">ROUND(B24-C24,2)</f>
        <v>0</v>
      </c>
      <c r="E24" s="8" t="str">
        <f aca="false">IF(ABS(D24)&lt;=0.05,"OK","SPRAWDŹ")</f>
        <v>OK</v>
      </c>
    </row>
    <row r="25" customFormat="false" ht="15" hidden="false" customHeight="false" outlineLevel="0" collapsed="false">
      <c r="A25" s="4" t="s">
        <v>37</v>
      </c>
      <c r="B25" s="5" t="n">
        <f aca="false">SUM(Cashflow!B9:M9)</f>
        <v>233944</v>
      </c>
      <c r="C25" s="9" t="n">
        <v>233944</v>
      </c>
      <c r="D25" s="5" t="n">
        <f aca="false">ROUND(B25-C25,2)</f>
        <v>0</v>
      </c>
      <c r="E25" s="8" t="str">
        <f aca="false">IF(ABS(D25)&lt;=0.05,"OK","SPRAWDŹ")</f>
        <v>OK</v>
      </c>
    </row>
    <row r="26" customFormat="false" ht="15" hidden="false" customHeight="false" outlineLevel="0" collapsed="false">
      <c r="A26" s="4" t="s">
        <v>38</v>
      </c>
      <c r="B26" s="5" t="n">
        <f aca="false">Cashflow!O13</f>
        <v>81343.2</v>
      </c>
      <c r="C26" s="9" t="n">
        <v>81343.2</v>
      </c>
      <c r="D26" s="5" t="n">
        <f aca="false">ROUND(B26-C26,2)</f>
        <v>0</v>
      </c>
      <c r="E26" s="8" t="str">
        <f aca="false">IF(ABS(D26)&lt;=0.05,"OK","SPRAWDŹ")</f>
        <v>OK</v>
      </c>
    </row>
    <row r="27" customFormat="false" ht="15" hidden="false" customHeight="false" outlineLevel="0" collapsed="false">
      <c r="A27" s="4" t="s">
        <v>39</v>
      </c>
      <c r="B27" s="5" t="n">
        <f aca="false">Cashflow!O14</f>
        <v>724626.5</v>
      </c>
      <c r="C27" s="9" t="n">
        <v>724626.5</v>
      </c>
      <c r="D27" s="5" t="n">
        <f aca="false">ROUND(B27-C27,2)</f>
        <v>0</v>
      </c>
      <c r="E27" s="8" t="str">
        <f aca="false">IF(ABS(D27)&lt;=0.05,"OK","SPRAWDŹ")</f>
        <v>OK</v>
      </c>
    </row>
    <row r="28" customFormat="false" ht="15" hidden="false" customHeight="false" outlineLevel="0" collapsed="false">
      <c r="A28" s="4" t="s">
        <v>7</v>
      </c>
      <c r="B28" s="5" t="n">
        <f aca="false">Cashflow!O16</f>
        <v>705741.21</v>
      </c>
      <c r="C28" s="9" t="n">
        <v>705741.21</v>
      </c>
      <c r="D28" s="5" t="n">
        <f aca="false">ROUND(B28-C28,2)</f>
        <v>0</v>
      </c>
      <c r="E28" s="8" t="str">
        <f aca="false">IF(ABS(D28)&lt;=0.05,"OK","SPRAWDŹ")</f>
        <v>OK</v>
      </c>
    </row>
    <row r="29" customFormat="false" ht="15" hidden="false" customHeight="false" outlineLevel="0" collapsed="false">
      <c r="A29" s="4" t="s">
        <v>40</v>
      </c>
      <c r="B29" s="5" t="n">
        <f aca="false">Cashflow!O20</f>
        <v>599880.03</v>
      </c>
      <c r="C29" s="9" t="n">
        <v>599880.03</v>
      </c>
      <c r="D29" s="5" t="n">
        <f aca="false">ROUND(B29-C29,2)</f>
        <v>0</v>
      </c>
      <c r="E29" s="8" t="str">
        <f aca="false">IF(ABS(D29)&lt;=0.05,"OK","SPRAWDŹ")</f>
        <v>OK</v>
      </c>
    </row>
    <row r="30" customFormat="false" ht="15" hidden="false" customHeight="false" outlineLevel="0" collapsed="false">
      <c r="A30" s="4" t="s">
        <v>41</v>
      </c>
      <c r="B30" s="5" t="n">
        <f aca="false">Cashflow!O14-Cashflow!O20</f>
        <v>124746.47</v>
      </c>
      <c r="C30" s="9" t="n">
        <v>124746.47</v>
      </c>
      <c r="D30" s="5" t="n">
        <f aca="false">ROUND(B30-C30,2)</f>
        <v>0</v>
      </c>
      <c r="E30" s="8" t="str">
        <f aca="false">IF(ABS(D30)&lt;=0.05,"OK","SPRAWDŹ")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15" min="4" style="0" width="11"/>
    <col collapsed="false" customWidth="true" hidden="false" outlineLevel="0" max="19" min="16" style="0" width="15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2" t="s">
        <v>44</v>
      </c>
      <c r="E3" s="8" t="s">
        <v>45</v>
      </c>
    </row>
    <row r="4" customFormat="false" ht="15" hidden="false" customHeight="false" outlineLevel="0" collapsed="false">
      <c r="A4" s="4" t="s">
        <v>46</v>
      </c>
      <c r="B4" s="10" t="n">
        <v>0.85</v>
      </c>
      <c r="C4" s="2" t="s">
        <v>47</v>
      </c>
      <c r="E4" s="4" t="s">
        <v>48</v>
      </c>
      <c r="L4" s="11" t="n">
        <v>3</v>
      </c>
    </row>
    <row r="5" customFormat="false" ht="15" hidden="false" customHeight="false" outlineLevel="0" collapsed="false">
      <c r="A5" s="4" t="s">
        <v>49</v>
      </c>
      <c r="B5" s="10" t="n">
        <v>0.15</v>
      </c>
      <c r="C5" s="2" t="s">
        <v>50</v>
      </c>
      <c r="E5" s="4" t="s">
        <v>51</v>
      </c>
      <c r="L5" s="10" t="n">
        <v>0.7</v>
      </c>
    </row>
    <row r="6" customFormat="false" ht="15" hidden="false" customHeight="false" outlineLevel="0" collapsed="false">
      <c r="A6" s="4" t="s">
        <v>52</v>
      </c>
      <c r="B6" s="12" t="n">
        <v>124746.47</v>
      </c>
      <c r="C6" s="2" t="s">
        <v>53</v>
      </c>
      <c r="E6" s="4" t="s">
        <v>54</v>
      </c>
      <c r="L6" s="11" t="n">
        <v>0</v>
      </c>
    </row>
    <row r="7" customFormat="false" ht="15" hidden="false" customHeight="false" outlineLevel="0" collapsed="false">
      <c r="A7" s="4" t="s">
        <v>55</v>
      </c>
      <c r="B7" s="12" t="n">
        <v>0</v>
      </c>
      <c r="C7" s="2" t="s">
        <v>56</v>
      </c>
      <c r="E7" s="2" t="s">
        <v>57</v>
      </c>
    </row>
    <row r="8" customFormat="false" ht="15" hidden="false" customHeight="false" outlineLevel="0" collapsed="false">
      <c r="A8" s="4" t="s">
        <v>58</v>
      </c>
      <c r="B8" s="12" t="n">
        <v>0</v>
      </c>
      <c r="C8" s="2" t="s">
        <v>59</v>
      </c>
    </row>
    <row r="9" customFormat="false" ht="15" hidden="false" customHeight="false" outlineLevel="0" collapsed="false">
      <c r="A9" s="4" t="s">
        <v>60</v>
      </c>
      <c r="B9" s="11" t="n">
        <v>3</v>
      </c>
      <c r="C9" s="2" t="s">
        <v>61</v>
      </c>
    </row>
    <row r="10" customFormat="false" ht="15" hidden="false" customHeight="false" outlineLevel="0" collapsed="false">
      <c r="A10" s="4" t="s">
        <v>62</v>
      </c>
      <c r="B10" s="11" t="n">
        <v>2</v>
      </c>
      <c r="C10" s="2" t="s">
        <v>63</v>
      </c>
    </row>
    <row r="11" customFormat="false" ht="15" hidden="false" customHeight="false" outlineLevel="0" collapsed="false">
      <c r="A11" s="4" t="s">
        <v>64</v>
      </c>
      <c r="B11" s="10" t="n">
        <v>0.4</v>
      </c>
      <c r="C11" s="2" t="s">
        <v>65</v>
      </c>
    </row>
    <row r="12" customFormat="false" ht="15" hidden="false" customHeight="false" outlineLevel="0" collapsed="false">
      <c r="A12" s="4" t="s">
        <v>66</v>
      </c>
      <c r="B12" s="10" t="n">
        <v>0.15</v>
      </c>
      <c r="C12" s="2" t="s">
        <v>67</v>
      </c>
    </row>
    <row r="13" customFormat="false" ht="15" hidden="false" customHeight="false" outlineLevel="0" collapsed="false">
      <c r="A13" s="13" t="s">
        <v>68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customFormat="false" ht="30" hidden="false" customHeight="true" outlineLevel="0" collapsed="false">
      <c r="A14" s="15" t="s">
        <v>29</v>
      </c>
      <c r="B14" s="15" t="s">
        <v>69</v>
      </c>
      <c r="C14" s="15" t="s">
        <v>70</v>
      </c>
      <c r="D14" s="15" t="s">
        <v>71</v>
      </c>
      <c r="E14" s="15" t="s">
        <v>72</v>
      </c>
      <c r="F14" s="15" t="s">
        <v>73</v>
      </c>
      <c r="G14" s="15" t="s">
        <v>74</v>
      </c>
      <c r="H14" s="15" t="s">
        <v>75</v>
      </c>
      <c r="I14" s="15" t="s">
        <v>76</v>
      </c>
      <c r="J14" s="15" t="s">
        <v>77</v>
      </c>
      <c r="K14" s="15" t="s">
        <v>78</v>
      </c>
      <c r="L14" s="15" t="s">
        <v>79</v>
      </c>
      <c r="M14" s="15" t="s">
        <v>80</v>
      </c>
      <c r="N14" s="15" t="s">
        <v>81</v>
      </c>
      <c r="O14" s="15" t="s">
        <v>82</v>
      </c>
      <c r="P14" s="15" t="s">
        <v>83</v>
      </c>
    </row>
    <row r="15" customFormat="false" ht="15" hidden="false" customHeight="false" outlineLevel="0" collapsed="false">
      <c r="A15" s="4" t="s">
        <v>84</v>
      </c>
      <c r="B15" s="9" t="n">
        <v>72966.67</v>
      </c>
      <c r="C15" s="9" t="n">
        <v>89749</v>
      </c>
      <c r="D15" s="10" t="n">
        <v>0</v>
      </c>
      <c r="E15" s="10" t="n">
        <v>0.5</v>
      </c>
      <c r="F15" s="10" t="n">
        <v>0.5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6" t="n">
        <f aca="false">SUM(D15:O15)</f>
        <v>1</v>
      </c>
    </row>
    <row r="16" customFormat="false" ht="15" hidden="false" customHeight="false" outlineLevel="0" collapsed="false">
      <c r="A16" s="4" t="s">
        <v>85</v>
      </c>
      <c r="B16" s="9" t="n">
        <v>9143.34</v>
      </c>
      <c r="C16" s="9" t="n">
        <v>11246.3</v>
      </c>
      <c r="D16" s="10" t="n">
        <v>0</v>
      </c>
      <c r="E16" s="10" t="n">
        <v>0</v>
      </c>
      <c r="F16" s="10" t="n">
        <v>0</v>
      </c>
      <c r="G16" s="10" t="n">
        <v>1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6" t="n">
        <f aca="false">SUM(D16:O16)</f>
        <v>1</v>
      </c>
    </row>
    <row r="17" customFormat="false" ht="15" hidden="false" customHeight="false" outlineLevel="0" collapsed="false">
      <c r="A17" s="4" t="s">
        <v>86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5" t="n">
        <f aca="false">SUM(D17:O17)</f>
        <v>0</v>
      </c>
    </row>
    <row r="18" customFormat="false" ht="15" hidden="false" customHeight="false" outlineLevel="0" collapsed="false">
      <c r="A18" s="2" t="s">
        <v>87</v>
      </c>
    </row>
    <row r="20" customFormat="false" ht="15" hidden="false" customHeight="false" outlineLevel="0" collapsed="false">
      <c r="A20" s="13" t="s">
        <v>88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customFormat="false" ht="45" hidden="false" customHeight="true" outlineLevel="0" collapsed="false">
      <c r="A21" s="16" t="s">
        <v>89</v>
      </c>
      <c r="B21" s="16" t="s">
        <v>90</v>
      </c>
      <c r="C21" s="16" t="s">
        <v>91</v>
      </c>
      <c r="D21" s="16" t="s">
        <v>71</v>
      </c>
      <c r="E21" s="16" t="s">
        <v>72</v>
      </c>
      <c r="F21" s="16" t="s">
        <v>73</v>
      </c>
      <c r="G21" s="16" t="s">
        <v>74</v>
      </c>
      <c r="H21" s="16" t="s">
        <v>75</v>
      </c>
      <c r="I21" s="16" t="s">
        <v>76</v>
      </c>
      <c r="J21" s="16" t="s">
        <v>77</v>
      </c>
      <c r="K21" s="16" t="s">
        <v>78</v>
      </c>
      <c r="L21" s="16" t="s">
        <v>79</v>
      </c>
      <c r="M21" s="16" t="s">
        <v>80</v>
      </c>
      <c r="N21" s="16" t="s">
        <v>81</v>
      </c>
      <c r="O21" s="16" t="s">
        <v>82</v>
      </c>
      <c r="P21" s="16" t="s">
        <v>92</v>
      </c>
      <c r="Q21" s="16" t="s">
        <v>93</v>
      </c>
      <c r="R21" s="16" t="s">
        <v>94</v>
      </c>
      <c r="S21" s="16" t="s">
        <v>32</v>
      </c>
    </row>
    <row r="22" customFormat="false" ht="15" hidden="false" customHeight="false" outlineLevel="0" collapsed="false">
      <c r="A22" s="17" t="n">
        <v>1</v>
      </c>
      <c r="B22" s="4" t="s">
        <v>95</v>
      </c>
      <c r="C22" s="9" t="n">
        <v>14000</v>
      </c>
      <c r="D22" s="18" t="n">
        <v>0.5</v>
      </c>
      <c r="E22" s="18" t="n">
        <v>0.5</v>
      </c>
      <c r="F22" s="18" t="n">
        <v>0.4</v>
      </c>
      <c r="G22" s="18" t="n">
        <v>0.4</v>
      </c>
      <c r="H22" s="18" t="n">
        <v>0.4</v>
      </c>
      <c r="I22" s="18" t="n">
        <v>0.4</v>
      </c>
      <c r="J22" s="18" t="n">
        <v>0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9" t="n">
        <f aca="false">SUM(D22:O22)</f>
        <v>2.6</v>
      </c>
      <c r="Q22" s="5" t="n">
        <f aca="false">P22*C22</f>
        <v>36400</v>
      </c>
      <c r="R22" s="9" t="n">
        <v>36400</v>
      </c>
      <c r="S22" s="5" t="n">
        <f aca="false">ROUND(Q22-R22,2)</f>
        <v>0</v>
      </c>
    </row>
    <row r="23" customFormat="false" ht="15" hidden="false" customHeight="false" outlineLevel="0" collapsed="false">
      <c r="A23" s="17" t="n">
        <v>1</v>
      </c>
      <c r="B23" s="4" t="s">
        <v>96</v>
      </c>
      <c r="C23" s="9" t="n">
        <v>14000</v>
      </c>
      <c r="D23" s="18" t="n">
        <v>0.5</v>
      </c>
      <c r="E23" s="18" t="n">
        <v>0.5</v>
      </c>
      <c r="F23" s="18" t="n">
        <v>0.3</v>
      </c>
      <c r="G23" s="18" t="n">
        <v>0.3</v>
      </c>
      <c r="H23" s="18" t="n">
        <v>0.3</v>
      </c>
      <c r="I23" s="18" t="n">
        <v>0.3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9" t="n">
        <f aca="false">SUM(D23:O23)</f>
        <v>2.2</v>
      </c>
      <c r="Q23" s="5" t="n">
        <f aca="false">P23*C23</f>
        <v>30800</v>
      </c>
      <c r="R23" s="9" t="n">
        <v>30800</v>
      </c>
      <c r="S23" s="5" t="n">
        <f aca="false">ROUND(Q23-R23,2)</f>
        <v>0</v>
      </c>
    </row>
    <row r="24" customFormat="false" ht="15" hidden="false" customHeight="false" outlineLevel="0" collapsed="false">
      <c r="A24" s="17" t="n">
        <v>1</v>
      </c>
      <c r="B24" s="4" t="s">
        <v>97</v>
      </c>
      <c r="C24" s="9" t="n">
        <v>14000</v>
      </c>
      <c r="D24" s="18" t="n">
        <v>0.25</v>
      </c>
      <c r="E24" s="18" t="n">
        <v>0.25</v>
      </c>
      <c r="F24" s="18" t="n">
        <v>0.25</v>
      </c>
      <c r="G24" s="18" t="n">
        <v>0.25</v>
      </c>
      <c r="H24" s="18" t="n">
        <v>0.25</v>
      </c>
      <c r="I24" s="18" t="n">
        <v>0.25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9" t="n">
        <f aca="false">SUM(D24:O24)</f>
        <v>1.5</v>
      </c>
      <c r="Q24" s="5" t="n">
        <f aca="false">P24*C24</f>
        <v>21000</v>
      </c>
      <c r="R24" s="9" t="n">
        <v>21000</v>
      </c>
      <c r="S24" s="5" t="n">
        <f aca="false">ROUND(Q24-R24,2)</f>
        <v>0</v>
      </c>
    </row>
    <row r="25" customFormat="false" ht="15" hidden="false" customHeight="false" outlineLevel="0" collapsed="false">
      <c r="A25" s="17" t="n">
        <v>1</v>
      </c>
      <c r="B25" s="4" t="s">
        <v>98</v>
      </c>
      <c r="C25" s="9" t="n">
        <v>12048</v>
      </c>
      <c r="D25" s="18" t="n">
        <v>0.5</v>
      </c>
      <c r="E25" s="18" t="n">
        <v>0.5</v>
      </c>
      <c r="F25" s="18" t="n">
        <v>0.5</v>
      </c>
      <c r="G25" s="18" t="n">
        <v>0.5</v>
      </c>
      <c r="H25" s="18" t="n">
        <v>0.5</v>
      </c>
      <c r="I25" s="18" t="n">
        <v>0.5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9" t="n">
        <f aca="false">SUM(D25:O25)</f>
        <v>3</v>
      </c>
      <c r="Q25" s="5" t="n">
        <f aca="false">P25*C25</f>
        <v>36144</v>
      </c>
      <c r="R25" s="9" t="n">
        <v>36144</v>
      </c>
      <c r="S25" s="5" t="n">
        <f aca="false">ROUND(Q25-R25,2)</f>
        <v>0</v>
      </c>
    </row>
    <row r="26" customFormat="false" ht="15" hidden="false" customHeight="false" outlineLevel="0" collapsed="false">
      <c r="A26" s="17" t="n">
        <v>1</v>
      </c>
      <c r="B26" s="4" t="s">
        <v>99</v>
      </c>
      <c r="C26" s="9" t="n">
        <v>10000</v>
      </c>
      <c r="D26" s="18" t="n">
        <v>0.5</v>
      </c>
      <c r="E26" s="18" t="n">
        <v>0.5</v>
      </c>
      <c r="F26" s="18" t="n">
        <v>0.5</v>
      </c>
      <c r="G26" s="18" t="n">
        <v>0.5</v>
      </c>
      <c r="H26" s="18" t="n">
        <v>0.5</v>
      </c>
      <c r="I26" s="18" t="n">
        <v>0.5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9" t="n">
        <f aca="false">SUM(D26:O26)</f>
        <v>3</v>
      </c>
      <c r="Q26" s="5" t="n">
        <f aca="false">P26*C26</f>
        <v>30000</v>
      </c>
      <c r="R26" s="9" t="n">
        <v>30000</v>
      </c>
      <c r="S26" s="5" t="n">
        <f aca="false">ROUND(Q26-R26,2)</f>
        <v>0</v>
      </c>
    </row>
    <row r="27" customFormat="false" ht="15" hidden="false" customHeight="false" outlineLevel="0" collapsed="false">
      <c r="A27" s="17" t="n">
        <v>2</v>
      </c>
      <c r="B27" s="4" t="s">
        <v>95</v>
      </c>
      <c r="C27" s="9" t="n">
        <v>14000</v>
      </c>
      <c r="D27" s="18" t="n">
        <v>0</v>
      </c>
      <c r="E27" s="18" t="n">
        <v>0</v>
      </c>
      <c r="F27" s="18" t="n">
        <v>0.1</v>
      </c>
      <c r="G27" s="18" t="n">
        <v>0.1</v>
      </c>
      <c r="H27" s="18" t="n">
        <v>0.1</v>
      </c>
      <c r="I27" s="18" t="n">
        <v>0.1</v>
      </c>
      <c r="J27" s="18" t="n">
        <v>0.1</v>
      </c>
      <c r="K27" s="18" t="n">
        <v>0.1</v>
      </c>
      <c r="L27" s="18" t="n">
        <v>0</v>
      </c>
      <c r="M27" s="18" t="n">
        <v>0</v>
      </c>
      <c r="N27" s="18" t="n">
        <v>0</v>
      </c>
      <c r="O27" s="18" t="n">
        <v>0</v>
      </c>
      <c r="P27" s="19" t="n">
        <f aca="false">SUM(D27:O27)</f>
        <v>0.6</v>
      </c>
      <c r="Q27" s="5" t="n">
        <f aca="false">P27*C27</f>
        <v>8400</v>
      </c>
      <c r="R27" s="9" t="n">
        <v>8400</v>
      </c>
      <c r="S27" s="5" t="n">
        <f aca="false">ROUND(Q27-R27,2)</f>
        <v>0</v>
      </c>
    </row>
    <row r="28" customFormat="false" ht="15" hidden="false" customHeight="false" outlineLevel="0" collapsed="false">
      <c r="A28" s="17" t="n">
        <v>2</v>
      </c>
      <c r="B28" s="4" t="s">
        <v>96</v>
      </c>
      <c r="C28" s="9" t="n">
        <v>14000</v>
      </c>
      <c r="D28" s="18" t="n">
        <v>0</v>
      </c>
      <c r="E28" s="18" t="n">
        <v>0</v>
      </c>
      <c r="F28" s="18" t="n">
        <v>0.2</v>
      </c>
      <c r="G28" s="18" t="n">
        <v>0.2</v>
      </c>
      <c r="H28" s="18" t="n">
        <v>0.2</v>
      </c>
      <c r="I28" s="18" t="n">
        <v>0.2</v>
      </c>
      <c r="J28" s="18" t="n">
        <v>0.3</v>
      </c>
      <c r="K28" s="18" t="n">
        <v>0.3</v>
      </c>
      <c r="L28" s="18" t="n">
        <v>0</v>
      </c>
      <c r="M28" s="18" t="n">
        <v>0</v>
      </c>
      <c r="N28" s="18" t="n">
        <v>0</v>
      </c>
      <c r="O28" s="18" t="n">
        <v>0</v>
      </c>
      <c r="P28" s="19" t="n">
        <f aca="false">SUM(D28:O28)</f>
        <v>1.4</v>
      </c>
      <c r="Q28" s="5" t="n">
        <f aca="false">P28*C28</f>
        <v>19600</v>
      </c>
      <c r="R28" s="9" t="n">
        <v>19600</v>
      </c>
      <c r="S28" s="5" t="n">
        <f aca="false">ROUND(Q28-R28,2)</f>
        <v>0</v>
      </c>
    </row>
    <row r="29" customFormat="false" ht="15" hidden="false" customHeight="false" outlineLevel="0" collapsed="false">
      <c r="A29" s="17" t="n">
        <v>2</v>
      </c>
      <c r="B29" s="4" t="s">
        <v>100</v>
      </c>
      <c r="C29" s="9" t="n">
        <v>14000</v>
      </c>
      <c r="D29" s="18" t="n">
        <v>0</v>
      </c>
      <c r="E29" s="18" t="n">
        <v>0</v>
      </c>
      <c r="F29" s="18" t="n">
        <v>0.5</v>
      </c>
      <c r="G29" s="18" t="n">
        <v>0.5</v>
      </c>
      <c r="H29" s="18" t="n">
        <v>0.5</v>
      </c>
      <c r="I29" s="18" t="n">
        <v>0.5</v>
      </c>
      <c r="J29" s="18" t="n">
        <v>0.5</v>
      </c>
      <c r="K29" s="18" t="n">
        <v>0.5</v>
      </c>
      <c r="L29" s="18" t="n">
        <v>0</v>
      </c>
      <c r="M29" s="18" t="n">
        <v>0</v>
      </c>
      <c r="N29" s="18" t="n">
        <v>0</v>
      </c>
      <c r="O29" s="18" t="n">
        <v>0</v>
      </c>
      <c r="P29" s="19" t="n">
        <f aca="false">SUM(D29:O29)</f>
        <v>3</v>
      </c>
      <c r="Q29" s="5" t="n">
        <f aca="false">P29*C29</f>
        <v>42000</v>
      </c>
      <c r="R29" s="9" t="n">
        <v>42000</v>
      </c>
      <c r="S29" s="5" t="n">
        <f aca="false">ROUND(Q29-R29,2)</f>
        <v>0</v>
      </c>
    </row>
    <row r="30" customFormat="false" ht="15" hidden="false" customHeight="false" outlineLevel="0" collapsed="false">
      <c r="A30" s="17" t="n">
        <v>2</v>
      </c>
      <c r="B30" s="4" t="s">
        <v>101</v>
      </c>
      <c r="C30" s="9" t="n">
        <v>14000</v>
      </c>
      <c r="D30" s="18" t="n">
        <v>0</v>
      </c>
      <c r="E30" s="18" t="n">
        <v>0</v>
      </c>
      <c r="F30" s="18" t="n">
        <v>0.5</v>
      </c>
      <c r="G30" s="18" t="n">
        <v>0.5</v>
      </c>
      <c r="H30" s="18" t="n">
        <v>0.5</v>
      </c>
      <c r="I30" s="18" t="n">
        <v>0.5</v>
      </c>
      <c r="J30" s="18" t="n">
        <v>0.5</v>
      </c>
      <c r="K30" s="18" t="n">
        <v>0.5</v>
      </c>
      <c r="L30" s="18" t="n">
        <v>0</v>
      </c>
      <c r="M30" s="18" t="n">
        <v>0</v>
      </c>
      <c r="N30" s="18" t="n">
        <v>0</v>
      </c>
      <c r="O30" s="18" t="n">
        <v>0</v>
      </c>
      <c r="P30" s="19" t="n">
        <f aca="false">SUM(D30:O30)</f>
        <v>3</v>
      </c>
      <c r="Q30" s="5" t="n">
        <f aca="false">P30*C30</f>
        <v>42000</v>
      </c>
      <c r="R30" s="9" t="n">
        <v>42000</v>
      </c>
      <c r="S30" s="5" t="n">
        <f aca="false">ROUND(Q30-R30,2)</f>
        <v>0</v>
      </c>
    </row>
    <row r="31" customFormat="false" ht="15" hidden="false" customHeight="false" outlineLevel="0" collapsed="false">
      <c r="A31" s="17" t="n">
        <v>2</v>
      </c>
      <c r="B31" s="4" t="s">
        <v>102</v>
      </c>
      <c r="C31" s="9" t="n">
        <v>14000</v>
      </c>
      <c r="D31" s="18" t="n">
        <v>0</v>
      </c>
      <c r="E31" s="18" t="n">
        <v>0</v>
      </c>
      <c r="F31" s="18" t="n">
        <v>0.5</v>
      </c>
      <c r="G31" s="18" t="n">
        <v>0.5</v>
      </c>
      <c r="H31" s="18" t="n">
        <v>0.5</v>
      </c>
      <c r="I31" s="18" t="n">
        <v>0.5</v>
      </c>
      <c r="J31" s="18" t="n">
        <v>0.5</v>
      </c>
      <c r="K31" s="18" t="n">
        <v>0.5</v>
      </c>
      <c r="L31" s="18" t="n">
        <v>0</v>
      </c>
      <c r="M31" s="18" t="n">
        <v>0</v>
      </c>
      <c r="N31" s="18" t="n">
        <v>0</v>
      </c>
      <c r="O31" s="18" t="n">
        <v>0</v>
      </c>
      <c r="P31" s="19" t="n">
        <f aca="false">SUM(D31:O31)</f>
        <v>3</v>
      </c>
      <c r="Q31" s="5" t="n">
        <f aca="false">P31*C31</f>
        <v>42000</v>
      </c>
      <c r="R31" s="9" t="n">
        <v>42000</v>
      </c>
      <c r="S31" s="5" t="n">
        <f aca="false">ROUND(Q31-R31,2)</f>
        <v>0</v>
      </c>
    </row>
    <row r="32" customFormat="false" ht="15" hidden="false" customHeight="false" outlineLevel="0" collapsed="false">
      <c r="A32" s="17" t="n">
        <v>3</v>
      </c>
      <c r="B32" s="4" t="s">
        <v>95</v>
      </c>
      <c r="C32" s="9" t="n">
        <v>14000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0.4</v>
      </c>
      <c r="K32" s="18" t="n">
        <v>0.4</v>
      </c>
      <c r="L32" s="18" t="n">
        <v>0.5</v>
      </c>
      <c r="M32" s="18" t="n">
        <v>0.5</v>
      </c>
      <c r="N32" s="18" t="n">
        <v>0.5</v>
      </c>
      <c r="O32" s="18" t="n">
        <v>0.5</v>
      </c>
      <c r="P32" s="19" t="n">
        <f aca="false">SUM(D32:O32)</f>
        <v>2.8</v>
      </c>
      <c r="Q32" s="5" t="n">
        <f aca="false">P32*C32</f>
        <v>39200</v>
      </c>
      <c r="R32" s="9" t="n">
        <v>39200</v>
      </c>
      <c r="S32" s="5" t="n">
        <f aca="false">ROUND(Q32-R32,2)</f>
        <v>0</v>
      </c>
    </row>
    <row r="33" customFormat="false" ht="15" hidden="false" customHeight="false" outlineLevel="0" collapsed="false">
      <c r="A33" s="17" t="n">
        <v>3</v>
      </c>
      <c r="B33" s="4" t="s">
        <v>96</v>
      </c>
      <c r="C33" s="9" t="n">
        <v>14000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0.2</v>
      </c>
      <c r="K33" s="18" t="n">
        <v>0.2</v>
      </c>
      <c r="L33" s="18" t="n">
        <v>0.5</v>
      </c>
      <c r="M33" s="18" t="n">
        <v>0.5</v>
      </c>
      <c r="N33" s="18" t="n">
        <v>0.5</v>
      </c>
      <c r="O33" s="18" t="n">
        <v>0.5</v>
      </c>
      <c r="P33" s="19" t="n">
        <f aca="false">SUM(D33:O33)</f>
        <v>2.4</v>
      </c>
      <c r="Q33" s="5" t="n">
        <f aca="false">P33*C33</f>
        <v>33600</v>
      </c>
      <c r="R33" s="9" t="n">
        <v>33600</v>
      </c>
      <c r="S33" s="5" t="n">
        <f aca="false">ROUND(Q33-R33,2)</f>
        <v>0</v>
      </c>
    </row>
    <row r="34" customFormat="false" ht="15" hidden="false" customHeight="false" outlineLevel="0" collapsed="false">
      <c r="A34" s="17" t="n">
        <v>3</v>
      </c>
      <c r="B34" s="4" t="s">
        <v>97</v>
      </c>
      <c r="C34" s="9" t="n">
        <v>14000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0.25</v>
      </c>
      <c r="K34" s="18" t="n">
        <v>0.25</v>
      </c>
      <c r="L34" s="18" t="n">
        <v>0.25</v>
      </c>
      <c r="M34" s="18" t="n">
        <v>0.25</v>
      </c>
      <c r="N34" s="18" t="n">
        <v>0.25</v>
      </c>
      <c r="O34" s="18" t="n">
        <v>0.25</v>
      </c>
      <c r="P34" s="19" t="n">
        <f aca="false">SUM(D34:O34)</f>
        <v>1.5</v>
      </c>
      <c r="Q34" s="5" t="n">
        <f aca="false">P34*C34</f>
        <v>21000</v>
      </c>
      <c r="R34" s="9" t="n">
        <v>21000</v>
      </c>
      <c r="S34" s="5" t="n">
        <f aca="false">ROUND(Q34-R34,2)</f>
        <v>0</v>
      </c>
    </row>
    <row r="35" customFormat="false" ht="15" hidden="false" customHeight="false" outlineLevel="0" collapsed="false">
      <c r="A35" s="17" t="n">
        <v>3</v>
      </c>
      <c r="B35" s="4" t="s">
        <v>98</v>
      </c>
      <c r="C35" s="9" t="n">
        <v>12048</v>
      </c>
      <c r="D35" s="18" t="n">
        <v>0</v>
      </c>
      <c r="E35" s="18" t="n">
        <v>0</v>
      </c>
      <c r="F35" s="18" t="n">
        <v>0</v>
      </c>
      <c r="G35" s="18" t="n">
        <v>0</v>
      </c>
      <c r="H35" s="18" t="n">
        <v>0</v>
      </c>
      <c r="I35" s="18" t="n">
        <v>0</v>
      </c>
      <c r="J35" s="18" t="n">
        <v>0.5</v>
      </c>
      <c r="K35" s="18" t="n">
        <v>0.5</v>
      </c>
      <c r="L35" s="18" t="n">
        <v>0.5</v>
      </c>
      <c r="M35" s="18" t="n">
        <v>0.5</v>
      </c>
      <c r="N35" s="18" t="n">
        <v>0.5</v>
      </c>
      <c r="O35" s="18" t="n">
        <v>0.5</v>
      </c>
      <c r="P35" s="19" t="n">
        <f aca="false">SUM(D35:O35)</f>
        <v>3</v>
      </c>
      <c r="Q35" s="5" t="n">
        <f aca="false">P35*C35</f>
        <v>36144</v>
      </c>
      <c r="R35" s="9" t="n">
        <v>36144</v>
      </c>
      <c r="S35" s="5" t="n">
        <f aca="false">ROUND(Q35-R35,2)</f>
        <v>0</v>
      </c>
    </row>
    <row r="36" customFormat="false" ht="15" hidden="false" customHeight="false" outlineLevel="0" collapsed="false">
      <c r="A36" s="17" t="n">
        <v>3</v>
      </c>
      <c r="B36" s="4" t="s">
        <v>99</v>
      </c>
      <c r="C36" s="9" t="n">
        <v>10000</v>
      </c>
      <c r="D36" s="18" t="n">
        <v>0</v>
      </c>
      <c r="E36" s="18" t="n">
        <v>0</v>
      </c>
      <c r="F36" s="18" t="n">
        <v>0</v>
      </c>
      <c r="G36" s="18" t="n">
        <v>0</v>
      </c>
      <c r="H36" s="18" t="n">
        <v>0</v>
      </c>
      <c r="I36" s="18" t="n">
        <v>0</v>
      </c>
      <c r="J36" s="18" t="n">
        <v>0.5</v>
      </c>
      <c r="K36" s="18" t="n">
        <v>0.5</v>
      </c>
      <c r="L36" s="18" t="n">
        <v>0.5</v>
      </c>
      <c r="M36" s="18" t="n">
        <v>0.5</v>
      </c>
      <c r="N36" s="18" t="n">
        <v>0</v>
      </c>
      <c r="O36" s="18" t="n">
        <v>0</v>
      </c>
      <c r="P36" s="19" t="n">
        <f aca="false">SUM(D36:O36)</f>
        <v>2</v>
      </c>
      <c r="Q36" s="5" t="n">
        <f aca="false">P36*C36</f>
        <v>20000</v>
      </c>
      <c r="R36" s="9" t="n">
        <v>20000</v>
      </c>
      <c r="S36" s="5" t="n">
        <f aca="false">ROUND(Q36-R36,2)</f>
        <v>0</v>
      </c>
    </row>
    <row r="37" customFormat="false" ht="15" hidden="false" customHeight="false" outlineLevel="0" collapsed="false">
      <c r="A37" s="17" t="n">
        <v>3</v>
      </c>
      <c r="B37" s="4" t="s">
        <v>100</v>
      </c>
      <c r="C37" s="9" t="n">
        <v>14000</v>
      </c>
      <c r="D37" s="18" t="n">
        <v>0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0.5</v>
      </c>
      <c r="M37" s="18" t="n">
        <v>0.5</v>
      </c>
      <c r="N37" s="18" t="n">
        <v>0.5</v>
      </c>
      <c r="O37" s="18" t="n">
        <v>0.5</v>
      </c>
      <c r="P37" s="19" t="n">
        <f aca="false">SUM(D37:O37)</f>
        <v>2</v>
      </c>
      <c r="Q37" s="5" t="n">
        <f aca="false">P37*C37</f>
        <v>28000</v>
      </c>
      <c r="R37" s="9" t="n">
        <v>28000</v>
      </c>
      <c r="S37" s="5" t="n">
        <f aca="false">ROUND(Q37-R37,2)</f>
        <v>0</v>
      </c>
    </row>
    <row r="38" customFormat="false" ht="15" hidden="false" customHeight="false" outlineLevel="0" collapsed="false">
      <c r="A38" s="17" t="n">
        <v>3</v>
      </c>
      <c r="B38" s="4" t="s">
        <v>101</v>
      </c>
      <c r="C38" s="9" t="n">
        <v>14000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0.5</v>
      </c>
      <c r="M38" s="18" t="n">
        <v>0.5</v>
      </c>
      <c r="N38" s="18" t="n">
        <v>0.5</v>
      </c>
      <c r="O38" s="18" t="n">
        <v>0.5</v>
      </c>
      <c r="P38" s="19" t="n">
        <f aca="false">SUM(D38:O38)</f>
        <v>2</v>
      </c>
      <c r="Q38" s="5" t="n">
        <f aca="false">P38*C38</f>
        <v>28000</v>
      </c>
      <c r="R38" s="9" t="n">
        <v>28000</v>
      </c>
      <c r="S38" s="5" t="n">
        <f aca="false">ROUND(Q38-R38,2)</f>
        <v>0</v>
      </c>
    </row>
    <row r="39" customFormat="false" ht="15" hidden="false" customHeight="false" outlineLevel="0" collapsed="false">
      <c r="A39" s="17" t="n">
        <v>3</v>
      </c>
      <c r="B39" s="4" t="s">
        <v>102</v>
      </c>
      <c r="C39" s="9" t="n">
        <v>14000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0.5</v>
      </c>
      <c r="M39" s="18" t="n">
        <v>0.5</v>
      </c>
      <c r="N39" s="18" t="n">
        <v>0.5</v>
      </c>
      <c r="O39" s="18" t="n">
        <v>0.5</v>
      </c>
      <c r="P39" s="19" t="n">
        <f aca="false">SUM(D39:O39)</f>
        <v>2</v>
      </c>
      <c r="Q39" s="5" t="n">
        <f aca="false">P39*C39</f>
        <v>28000</v>
      </c>
      <c r="R39" s="9" t="n">
        <v>28000</v>
      </c>
      <c r="S39" s="5" t="n">
        <f aca="false">ROUND(Q39-R39,2)</f>
        <v>0</v>
      </c>
    </row>
    <row r="40" customFormat="false" ht="15" hidden="false" customHeight="false" outlineLevel="0" collapsed="false">
      <c r="B40" s="8" t="s">
        <v>103</v>
      </c>
      <c r="Q40" s="20" t="n">
        <f aca="false">SUM(Q22:Q39)</f>
        <v>542288</v>
      </c>
      <c r="R40" s="20" t="n">
        <f aca="false">SUM(R22:R39)</f>
        <v>542288</v>
      </c>
      <c r="S40" s="20" t="n">
        <f aca="false">SUM(S22:S39)</f>
        <v>0</v>
      </c>
    </row>
    <row r="41" customFormat="false" ht="15" hidden="false" customHeight="false" outlineLevel="0" collapsed="false">
      <c r="A41" s="2" t="s">
        <v>104</v>
      </c>
    </row>
  </sheetData>
  <dataValidations count="1">
    <dataValidation allowBlank="false" errorStyle="stop" operator="between" showDropDown="false" showErrorMessage="false" showInputMessage="false" sqref="B9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5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9" min="8" style="0" width="22"/>
    <col collapsed="false" customWidth="true" hidden="false" outlineLevel="0" max="10" min="10" style="0" width="80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4" t="s">
        <v>107</v>
      </c>
      <c r="B4" s="5" t="n">
        <f aca="false">Cashflow!B44</f>
        <v>599880.03</v>
      </c>
    </row>
    <row r="5" customFormat="false" ht="15" hidden="false" customHeight="false" outlineLevel="0" collapsed="false">
      <c r="A5" s="4" t="s">
        <v>108</v>
      </c>
      <c r="B5" s="5" t="n">
        <f aca="false">ROUND(Założenia!B11*B4,2)</f>
        <v>239952.01</v>
      </c>
    </row>
    <row r="6" customFormat="false" ht="15" hidden="false" customHeight="false" outlineLevel="0" collapsed="false">
      <c r="A6" s="4" t="s">
        <v>109</v>
      </c>
      <c r="B6" s="5" t="n">
        <f aca="false">ROUND(Założenia!B12*B4,2)</f>
        <v>89982</v>
      </c>
    </row>
    <row r="8" customFormat="false" ht="45" hidden="false" customHeight="true" outlineLevel="0" collapsed="false">
      <c r="A8" s="16" t="s">
        <v>110</v>
      </c>
      <c r="B8" s="16" t="s">
        <v>111</v>
      </c>
      <c r="C8" s="16" t="s">
        <v>112</v>
      </c>
      <c r="D8" s="16" t="s">
        <v>113</v>
      </c>
      <c r="E8" s="16" t="s">
        <v>114</v>
      </c>
      <c r="F8" s="16" t="s">
        <v>115</v>
      </c>
      <c r="G8" s="16" t="s">
        <v>116</v>
      </c>
      <c r="H8" s="16" t="s">
        <v>117</v>
      </c>
      <c r="I8" s="16" t="s">
        <v>118</v>
      </c>
      <c r="J8" s="16" t="s">
        <v>4</v>
      </c>
    </row>
    <row r="9" customFormat="false" ht="15" hidden="false" customHeight="false" outlineLevel="0" collapsed="false">
      <c r="A9" s="21" t="n">
        <v>1</v>
      </c>
      <c r="B9" s="4" t="s">
        <v>119</v>
      </c>
      <c r="C9" s="22" t="str">
        <f aca="false">IFERROR(INDEX(Cashflow!$B$4:$M$4,MATCH(1,Cashflow!$B$43:$M$43,0)),"–")</f>
        <v>lis 2026</v>
      </c>
      <c r="D9" s="5" t="n">
        <f aca="false">IFERROR(INDEX(Cashflow!$B$37:$M$37,MATCH(1,Cashflow!$B$43:$M$43,0)),0)</f>
        <v>239952.01</v>
      </c>
      <c r="E9" s="23" t="n">
        <f aca="false">D9/$B$4</f>
        <v>0.399999996666</v>
      </c>
      <c r="F9" s="5" t="n">
        <f aca="false">SUM($D$9:D9)</f>
        <v>239952.01</v>
      </c>
      <c r="G9" s="23" t="n">
        <f aca="false">F9/$B$4</f>
        <v>0.399999996666</v>
      </c>
      <c r="H9" s="5" t="n">
        <f aca="false">IFERROR(INDEX(Cashflow!$B$39:$M$39,MATCH(1,Cashflow!$B$43:$M$43,0)),0)</f>
        <v>239952.01</v>
      </c>
      <c r="I9" s="23" t="s">
        <v>120</v>
      </c>
      <c r="J9" s="2" t="s">
        <v>121</v>
      </c>
    </row>
    <row r="10" customFormat="false" ht="15" hidden="false" customHeight="false" outlineLevel="0" collapsed="false">
      <c r="A10" s="21" t="n">
        <v>2</v>
      </c>
      <c r="B10" s="4" t="s">
        <v>122</v>
      </c>
      <c r="C10" s="22" t="str">
        <f aca="false">IFERROR(INDEX(Cashflow!$B$4:$M$4,MATCH(2,Cashflow!$B$43:$M$43,0)),"–")</f>
        <v>sty 2027</v>
      </c>
      <c r="D10" s="5" t="n">
        <f aca="false">IFERROR(INDEX(Cashflow!$B$37:$M$37,MATCH(2,Cashflow!$B$43:$M$43,0)),0)</f>
        <v>239952.01</v>
      </c>
      <c r="E10" s="23" t="n">
        <f aca="false">D10/$B$4</f>
        <v>0.399999996666</v>
      </c>
      <c r="F10" s="5" t="n">
        <f aca="false">SUM($D$9:D10)</f>
        <v>479904.02</v>
      </c>
      <c r="G10" s="23" t="n">
        <f aca="false">F10/$B$4</f>
        <v>0.799999993332</v>
      </c>
      <c r="H10" s="5" t="n">
        <f aca="false">IFERROR(INDEX(Cashflow!$B$39:$M$39,MATCH(2,Cashflow!$B$43:$M$43,0)),0)</f>
        <v>257526.6715</v>
      </c>
      <c r="I10" s="23" t="n">
        <f aca="false">IFERROR(Założenia!$B$4*INDEX(Cashflow!$B$40:$M$40,MATCH(2,Cashflow!$B$43:$M$43,0)-1-Założenia!$L$6)/F9,"–")</f>
        <v>0.926757598321431</v>
      </c>
      <c r="J10" s="2" t="s">
        <v>123</v>
      </c>
    </row>
    <row r="11" customFormat="false" ht="15" hidden="false" customHeight="false" outlineLevel="0" collapsed="false">
      <c r="A11" s="21" t="n">
        <v>3</v>
      </c>
      <c r="B11" s="4" t="s">
        <v>124</v>
      </c>
      <c r="C11" s="22" t="str">
        <f aca="false">IFERROR(INDEX(Cashflow!$B$4:$M$4,MATCH(3,Cashflow!$B$43:$M$43,0)),"–")</f>
        <v>kwi 2027</v>
      </c>
      <c r="D11" s="5" t="n">
        <f aca="false">IFERROR(INDEX(Cashflow!$B$37:$M$37,MATCH(3,Cashflow!$B$43:$M$43,0)),0)</f>
        <v>29994.01</v>
      </c>
      <c r="E11" s="23" t="n">
        <f aca="false">D11/$B$4</f>
        <v>0.0500000141694999</v>
      </c>
      <c r="F11" s="5" t="n">
        <f aca="false">SUM($D$9:D11)</f>
        <v>509898.03</v>
      </c>
      <c r="G11" s="23" t="n">
        <f aca="false">F11/$B$4</f>
        <v>0.8500000075015</v>
      </c>
      <c r="H11" s="5" t="n">
        <f aca="false">IFERROR(INDEX(Cashflow!$B$39:$M$39,MATCH(3,Cashflow!$B$43:$M$43,0)),0)</f>
        <v>142291.5515</v>
      </c>
      <c r="I11" s="23" t="n">
        <f aca="false">IFERROR(Założenia!$B$4*INDEX(Cashflow!$B$40:$M$40,MATCH(3,Cashflow!$B$43:$M$43,0)-1-Założenia!$L$6)/F10,"–")</f>
        <v>0.765999998291325</v>
      </c>
      <c r="J11" s="2" t="s">
        <v>125</v>
      </c>
    </row>
    <row r="12" customFormat="false" ht="15" hidden="false" customHeight="false" outlineLevel="0" collapsed="false">
      <c r="A12" s="21" t="n">
        <v>4</v>
      </c>
      <c r="B12" s="4" t="s">
        <v>126</v>
      </c>
      <c r="C12" s="22" t="str">
        <f aca="false">IFERROR(INDEX(Cashflow!$B$4:$M$4,MATCH(4,Cashflow!$B$43:$M$43,0)),"–")</f>
        <v>–</v>
      </c>
      <c r="D12" s="5" t="n">
        <f aca="false">IFERROR(INDEX(Cashflow!$B$37:$M$37,MATCH(4,Cashflow!$B$43:$M$43,0)),0)</f>
        <v>0</v>
      </c>
      <c r="E12" s="23" t="n">
        <f aca="false">D12/$B$4</f>
        <v>0</v>
      </c>
      <c r="F12" s="5" t="n">
        <f aca="false">SUM($D$9:D12)</f>
        <v>509898.03</v>
      </c>
      <c r="G12" s="23" t="n">
        <f aca="false">F12/$B$4</f>
        <v>0.8500000075015</v>
      </c>
      <c r="H12" s="5" t="n">
        <f aca="false">IFERROR(INDEX(Cashflow!$B$39:$M$39,MATCH(4,Cashflow!$B$43:$M$43,0)),0)</f>
        <v>0</v>
      </c>
      <c r="I12" s="23" t="str">
        <f aca="false">IFERROR(Założenia!$B$4*INDEX(Cashflow!$B$40:$M$40,MATCH(4,Cashflow!$B$43:$M$43,0)-1-Założenia!$L$6)/F11,"–")</f>
        <v>–</v>
      </c>
      <c r="J12" s="2" t="s">
        <v>127</v>
      </c>
    </row>
    <row r="13" customFormat="false" ht="15" hidden="false" customHeight="false" outlineLevel="0" collapsed="false">
      <c r="A13" s="21" t="n">
        <v>5</v>
      </c>
      <c r="B13" s="4" t="s">
        <v>128</v>
      </c>
      <c r="C13" s="4" t="str">
        <f aca="false">CHOOSE(Założenia!B10,"wrz 2027","paź 2027","lis 2027","gru 2027","sty 2028")</f>
        <v>paź 2027</v>
      </c>
      <c r="D13" s="5" t="n">
        <f aca="false">Cashflow!N37</f>
        <v>89982</v>
      </c>
      <c r="E13" s="23" t="n">
        <f aca="false">D13/$B$4</f>
        <v>0.1499999924985</v>
      </c>
      <c r="F13" s="5" t="n">
        <f aca="false">SUM($D$9:D13)</f>
        <v>599880.03</v>
      </c>
      <c r="G13" s="23" t="n">
        <f aca="false">F13/$B$4</f>
        <v>1</v>
      </c>
      <c r="H13" s="5" t="n">
        <v>0</v>
      </c>
      <c r="J13" s="2" t="s">
        <v>129</v>
      </c>
    </row>
    <row r="14" customFormat="false" ht="15" hidden="false" customHeight="false" outlineLevel="0" collapsed="false">
      <c r="B14" s="8" t="s">
        <v>103</v>
      </c>
      <c r="D14" s="20" t="n">
        <f aca="false">SUM(D9:D13)</f>
        <v>599880.03</v>
      </c>
      <c r="E14" s="24" t="n">
        <f aca="false">D14/B4</f>
        <v>1</v>
      </c>
    </row>
    <row r="16" customFormat="false" ht="15" hidden="false" customHeight="false" outlineLevel="0" collapsed="false">
      <c r="A16" s="8" t="s">
        <v>130</v>
      </c>
    </row>
    <row r="17" customFormat="false" ht="15" hidden="false" customHeight="false" outlineLevel="0" collapsed="false">
      <c r="A17" s="4" t="s">
        <v>131</v>
      </c>
      <c r="B17" s="5" t="n">
        <f aca="false">ROUND(D14-B4,2)</f>
        <v>0</v>
      </c>
      <c r="C17" s="8" t="str">
        <f aca="false">IF(ABS(B17)&lt;=0.05,"OK","SPRAWDŹ")</f>
        <v>OK</v>
      </c>
    </row>
    <row r="18" customFormat="false" ht="15" hidden="false" customHeight="false" outlineLevel="0" collapsed="false">
      <c r="A18" s="4" t="s">
        <v>132</v>
      </c>
      <c r="B18" s="5" t="n">
        <f aca="false">MAX(D9:D12)</f>
        <v>239952.01</v>
      </c>
      <c r="C18" s="8" t="str">
        <f aca="false">IF(B18&lt;=B5+0.05,"OK","SPRAWDŹ")</f>
        <v>OK</v>
      </c>
    </row>
    <row r="19" customFormat="false" ht="15" hidden="false" customHeight="false" outlineLevel="0" collapsed="false">
      <c r="A19" s="4" t="s">
        <v>133</v>
      </c>
      <c r="B19" s="5" t="n">
        <f aca="false">D13</f>
        <v>89982</v>
      </c>
      <c r="C19" s="8" t="str">
        <f aca="false">IF(D13&gt;=B6-0.05,"OK","SPRAWDŹ")</f>
        <v>OK</v>
      </c>
    </row>
    <row r="20" customFormat="false" ht="15" hidden="false" customHeight="false" outlineLevel="0" collapsed="false">
      <c r="A20" s="4" t="s">
        <v>134</v>
      </c>
      <c r="B20" s="5" t="n">
        <f aca="false">SUM(D9:D12)</f>
        <v>509898.03</v>
      </c>
      <c r="C20" s="8" t="str">
        <f aca="false">IF(B20&lt;=B4-B6+0.05,"OK","SPRAWDŹ")</f>
        <v>OK</v>
      </c>
    </row>
    <row r="21" customFormat="false" ht="15" hidden="false" customHeight="false" outlineLevel="0" collapsed="false">
      <c r="A21" s="4" t="s">
        <v>135</v>
      </c>
      <c r="B21" s="5" t="n">
        <f aca="false">MIN(I10:I12)</f>
        <v>0.765999998291325</v>
      </c>
      <c r="C21" s="8" t="str">
        <f aca="false">IF(B21&gt;=Założenia!L5-0.0001,"OK","SPRAWDŹ")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5" min="2" style="0" width="15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5" t="str">
        <f aca="false">"Scenariusz wpływu dofinansowania: "&amp;IF(Założenia!B9=1,"1 – zaliczki kwartalne",IF(Założenia!B9=2,"2 – refundacja kwartalna z opóźnieniem "&amp;Założenia!B10&amp;" mies.","3 – wg umowy: zaliczki (max "&amp;TEXT(Założenia!B11,"0%")&amp;") + płatność końcowa "&amp;TEXT(Założenia!B12,"0%")&amp;" po wniosku końcowym"))</f>
        <v>Scenariusz wpływu dofinansowania: 3 – wg umowy: zaliczki (max 40%) + płatność końcowa 15% po wniosku końcowym</v>
      </c>
    </row>
    <row r="4" customFormat="false" ht="31.5" hidden="false" customHeight="true" outlineLevel="0" collapsed="false">
      <c r="A4" s="16" t="s">
        <v>29</v>
      </c>
      <c r="B4" s="16" t="s">
        <v>71</v>
      </c>
      <c r="C4" s="16" t="s">
        <v>72</v>
      </c>
      <c r="D4" s="16" t="s">
        <v>73</v>
      </c>
      <c r="E4" s="16" t="s">
        <v>74</v>
      </c>
      <c r="F4" s="16" t="s">
        <v>75</v>
      </c>
      <c r="G4" s="16" t="s">
        <v>76</v>
      </c>
      <c r="H4" s="16" t="s">
        <v>77</v>
      </c>
      <c r="I4" s="16" t="s">
        <v>78</v>
      </c>
      <c r="J4" s="16" t="s">
        <v>79</v>
      </c>
      <c r="K4" s="16" t="s">
        <v>80</v>
      </c>
      <c r="L4" s="16" t="s">
        <v>81</v>
      </c>
      <c r="M4" s="16" t="s">
        <v>82</v>
      </c>
      <c r="N4" s="16" t="s">
        <v>137</v>
      </c>
      <c r="O4" s="16" t="s">
        <v>138</v>
      </c>
    </row>
    <row r="5" customFormat="false" ht="15" hidden="false" customHeight="false" outlineLevel="0" collapsed="false">
      <c r="A5" s="2" t="s">
        <v>139</v>
      </c>
      <c r="B5" s="26" t="n">
        <v>1</v>
      </c>
      <c r="C5" s="26" t="n">
        <v>2</v>
      </c>
      <c r="D5" s="26" t="n">
        <v>3</v>
      </c>
      <c r="E5" s="26" t="n">
        <v>4</v>
      </c>
      <c r="F5" s="26" t="n">
        <v>5</v>
      </c>
      <c r="G5" s="26" t="n">
        <v>6</v>
      </c>
      <c r="H5" s="26" t="n">
        <v>7</v>
      </c>
      <c r="I5" s="26" t="n">
        <v>8</v>
      </c>
      <c r="J5" s="26" t="n">
        <v>9</v>
      </c>
      <c r="K5" s="26" t="n">
        <v>10</v>
      </c>
      <c r="L5" s="26" t="n">
        <v>11</v>
      </c>
      <c r="M5" s="26" t="n">
        <v>12</v>
      </c>
      <c r="N5" s="26" t="n">
        <v>13</v>
      </c>
    </row>
    <row r="6" customFormat="false" ht="15" hidden="false" customHeight="false" outlineLevel="0" collapsed="false">
      <c r="A6" s="13" t="s">
        <v>140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customFormat="false" ht="15" hidden="false" customHeight="false" outlineLevel="0" collapsed="false">
      <c r="A7" s="4" t="s">
        <v>141</v>
      </c>
      <c r="B7" s="5" t="n">
        <f aca="false">SUMPRODUCT((Założenia!$A$22:$A$39=1)*Założenia!D$22:D$39*Założenia!$C$22:$C$39)</f>
        <v>28524</v>
      </c>
      <c r="C7" s="5" t="n">
        <f aca="false">SUMPRODUCT((Założenia!$A$22:$A$39=1)*Założenia!E$22:E$39*Założenia!$C$22:$C$39)</f>
        <v>28524</v>
      </c>
      <c r="D7" s="5" t="n">
        <f aca="false">SUMPRODUCT((Założenia!$A$22:$A$39=1)*Założenia!F$22:F$39*Założenia!$C$22:$C$39)</f>
        <v>24324</v>
      </c>
      <c r="E7" s="5" t="n">
        <f aca="false">SUMPRODUCT((Założenia!$A$22:$A$39=1)*Założenia!G$22:G$39*Założenia!$C$22:$C$39)</f>
        <v>24324</v>
      </c>
      <c r="F7" s="5" t="n">
        <f aca="false">SUMPRODUCT((Założenia!$A$22:$A$39=1)*Założenia!H$22:H$39*Założenia!$C$22:$C$39)</f>
        <v>24324</v>
      </c>
      <c r="G7" s="5" t="n">
        <f aca="false">SUMPRODUCT((Założenia!$A$22:$A$39=1)*Założenia!I$22:I$39*Założenia!$C$22:$C$39)</f>
        <v>24324</v>
      </c>
      <c r="H7" s="5" t="n">
        <f aca="false">SUMPRODUCT((Założenia!$A$22:$A$39=1)*Założenia!J$22:J$39*Założenia!$C$22:$C$39)</f>
        <v>0</v>
      </c>
      <c r="I7" s="5" t="n">
        <f aca="false">SUMPRODUCT((Założenia!$A$22:$A$39=1)*Założenia!K$22:K$39*Założenia!$C$22:$C$39)</f>
        <v>0</v>
      </c>
      <c r="J7" s="5" t="n">
        <f aca="false">SUMPRODUCT((Założenia!$A$22:$A$39=1)*Założenia!L$22:L$39*Założenia!$C$22:$C$39)</f>
        <v>0</v>
      </c>
      <c r="K7" s="5" t="n">
        <f aca="false">SUMPRODUCT((Założenia!$A$22:$A$39=1)*Założenia!M$22:M$39*Założenia!$C$22:$C$39)</f>
        <v>0</v>
      </c>
      <c r="L7" s="5" t="n">
        <f aca="false">SUMPRODUCT((Założenia!$A$22:$A$39=1)*Założenia!N$22:N$39*Założenia!$C$22:$C$39)</f>
        <v>0</v>
      </c>
      <c r="M7" s="5" t="n">
        <f aca="false">SUMPRODUCT((Założenia!$A$22:$A$39=1)*Założenia!O$22:O$39*Założenia!$C$22:$C$39)</f>
        <v>0</v>
      </c>
      <c r="N7" s="5" t="n">
        <v>0</v>
      </c>
      <c r="O7" s="20" t="n">
        <f aca="false">SUM(B7:N7)</f>
        <v>154344</v>
      </c>
    </row>
    <row r="8" customFormat="false" ht="15" hidden="false" customHeight="false" outlineLevel="0" collapsed="false">
      <c r="A8" s="4" t="s">
        <v>142</v>
      </c>
      <c r="B8" s="5" t="n">
        <f aca="false">SUMPRODUCT((Założenia!$A$22:$A$39=2)*Założenia!D$22:D$39*Założenia!$C$22:$C$39)</f>
        <v>0</v>
      </c>
      <c r="C8" s="5" t="n">
        <f aca="false">SUMPRODUCT((Założenia!$A$22:$A$39=2)*Założenia!E$22:E$39*Założenia!$C$22:$C$39)</f>
        <v>0</v>
      </c>
      <c r="D8" s="5" t="n">
        <f aca="false">SUMPRODUCT((Założenia!$A$22:$A$39=2)*Założenia!F$22:F$39*Założenia!$C$22:$C$39)</f>
        <v>25200</v>
      </c>
      <c r="E8" s="5" t="n">
        <f aca="false">SUMPRODUCT((Założenia!$A$22:$A$39=2)*Założenia!G$22:G$39*Założenia!$C$22:$C$39)</f>
        <v>25200</v>
      </c>
      <c r="F8" s="5" t="n">
        <f aca="false">SUMPRODUCT((Założenia!$A$22:$A$39=2)*Założenia!H$22:H$39*Założenia!$C$22:$C$39)</f>
        <v>25200</v>
      </c>
      <c r="G8" s="5" t="n">
        <f aca="false">SUMPRODUCT((Założenia!$A$22:$A$39=2)*Założenia!I$22:I$39*Założenia!$C$22:$C$39)</f>
        <v>25200</v>
      </c>
      <c r="H8" s="5" t="n">
        <f aca="false">SUMPRODUCT((Założenia!$A$22:$A$39=2)*Założenia!J$22:J$39*Założenia!$C$22:$C$39)</f>
        <v>26600</v>
      </c>
      <c r="I8" s="5" t="n">
        <f aca="false">SUMPRODUCT((Założenia!$A$22:$A$39=2)*Założenia!K$22:K$39*Założenia!$C$22:$C$39)</f>
        <v>26600</v>
      </c>
      <c r="J8" s="5" t="n">
        <f aca="false">SUMPRODUCT((Założenia!$A$22:$A$39=2)*Założenia!L$22:L$39*Założenia!$C$22:$C$39)</f>
        <v>0</v>
      </c>
      <c r="K8" s="5" t="n">
        <f aca="false">SUMPRODUCT((Założenia!$A$22:$A$39=2)*Założenia!M$22:M$39*Założenia!$C$22:$C$39)</f>
        <v>0</v>
      </c>
      <c r="L8" s="5" t="n">
        <f aca="false">SUMPRODUCT((Założenia!$A$22:$A$39=2)*Założenia!N$22:N$39*Założenia!$C$22:$C$39)</f>
        <v>0</v>
      </c>
      <c r="M8" s="5" t="n">
        <f aca="false">SUMPRODUCT((Założenia!$A$22:$A$39=2)*Założenia!O$22:O$39*Założenia!$C$22:$C$39)</f>
        <v>0</v>
      </c>
      <c r="N8" s="5" t="n">
        <v>0</v>
      </c>
      <c r="O8" s="20" t="n">
        <f aca="false">SUM(B8:N8)</f>
        <v>154000</v>
      </c>
    </row>
    <row r="9" customFormat="false" ht="15" hidden="false" customHeight="false" outlineLevel="0" collapsed="false">
      <c r="A9" s="4" t="s">
        <v>143</v>
      </c>
      <c r="B9" s="5" t="n">
        <f aca="false">SUMPRODUCT((Założenia!$A$22:$A$39=3)*Założenia!D$22:D$39*Założenia!$C$22:$C$39)</f>
        <v>0</v>
      </c>
      <c r="C9" s="5" t="n">
        <f aca="false">SUMPRODUCT((Założenia!$A$22:$A$39=3)*Założenia!E$22:E$39*Założenia!$C$22:$C$39)</f>
        <v>0</v>
      </c>
      <c r="D9" s="5" t="n">
        <f aca="false">SUMPRODUCT((Założenia!$A$22:$A$39=3)*Założenia!F$22:F$39*Założenia!$C$22:$C$39)</f>
        <v>0</v>
      </c>
      <c r="E9" s="5" t="n">
        <f aca="false">SUMPRODUCT((Założenia!$A$22:$A$39=3)*Założenia!G$22:G$39*Założenia!$C$22:$C$39)</f>
        <v>0</v>
      </c>
      <c r="F9" s="5" t="n">
        <f aca="false">SUMPRODUCT((Założenia!$A$22:$A$39=3)*Założenia!H$22:H$39*Założenia!$C$22:$C$39)</f>
        <v>0</v>
      </c>
      <c r="G9" s="5" t="n">
        <f aca="false">SUMPRODUCT((Założenia!$A$22:$A$39=3)*Założenia!I$22:I$39*Założenia!$C$22:$C$39)</f>
        <v>0</v>
      </c>
      <c r="H9" s="5" t="n">
        <f aca="false">SUMPRODUCT((Założenia!$A$22:$A$39=3)*Założenia!J$22:J$39*Założenia!$C$22:$C$39)</f>
        <v>22924</v>
      </c>
      <c r="I9" s="5" t="n">
        <f aca="false">SUMPRODUCT((Założenia!$A$22:$A$39=3)*Założenia!K$22:K$39*Założenia!$C$22:$C$39)</f>
        <v>22924</v>
      </c>
      <c r="J9" s="5" t="n">
        <f aca="false">SUMPRODUCT((Założenia!$A$22:$A$39=3)*Założenia!L$22:L$39*Założenia!$C$22:$C$39)</f>
        <v>49524</v>
      </c>
      <c r="K9" s="5" t="n">
        <f aca="false">SUMPRODUCT((Założenia!$A$22:$A$39=3)*Założenia!M$22:M$39*Założenia!$C$22:$C$39)</f>
        <v>49524</v>
      </c>
      <c r="L9" s="5" t="n">
        <f aca="false">SUMPRODUCT((Założenia!$A$22:$A$39=3)*Założenia!N$22:N$39*Założenia!$C$22:$C$39)</f>
        <v>44524</v>
      </c>
      <c r="M9" s="5" t="n">
        <f aca="false">SUMPRODUCT((Założenia!$A$22:$A$39=3)*Założenia!O$22:O$39*Założenia!$C$22:$C$39)</f>
        <v>44524</v>
      </c>
      <c r="N9" s="5" t="n">
        <v>0</v>
      </c>
      <c r="O9" s="20" t="n">
        <f aca="false">SUM(B9:N9)</f>
        <v>233944</v>
      </c>
    </row>
    <row r="10" customFormat="false" ht="15" hidden="false" customHeight="false" outlineLevel="0" collapsed="false">
      <c r="A10" s="8" t="s">
        <v>144</v>
      </c>
      <c r="B10" s="20" t="n">
        <f aca="false">SUM(B7:B9)</f>
        <v>28524</v>
      </c>
      <c r="C10" s="20" t="n">
        <f aca="false">SUM(C7:C9)</f>
        <v>28524</v>
      </c>
      <c r="D10" s="20" t="n">
        <f aca="false">SUM(D7:D9)</f>
        <v>49524</v>
      </c>
      <c r="E10" s="20" t="n">
        <f aca="false">SUM(E7:E9)</f>
        <v>49524</v>
      </c>
      <c r="F10" s="20" t="n">
        <f aca="false">SUM(F7:F9)</f>
        <v>49524</v>
      </c>
      <c r="G10" s="20" t="n">
        <f aca="false">SUM(G7:G9)</f>
        <v>49524</v>
      </c>
      <c r="H10" s="20" t="n">
        <f aca="false">SUM(H7:H9)</f>
        <v>49524</v>
      </c>
      <c r="I10" s="20" t="n">
        <f aca="false">SUM(I7:I9)</f>
        <v>49524</v>
      </c>
      <c r="J10" s="20" t="n">
        <f aca="false">SUM(J7:J9)</f>
        <v>49524</v>
      </c>
      <c r="K10" s="20" t="n">
        <f aca="false">SUM(K7:K9)</f>
        <v>49524</v>
      </c>
      <c r="L10" s="20" t="n">
        <f aca="false">SUM(L7:L9)</f>
        <v>44524</v>
      </c>
      <c r="M10" s="20" t="n">
        <f aca="false">SUM(M7:M9)</f>
        <v>44524</v>
      </c>
      <c r="N10" s="27" t="n">
        <v>0</v>
      </c>
      <c r="O10" s="20" t="n">
        <f aca="false">SUM(B10:N10)</f>
        <v>542288</v>
      </c>
    </row>
    <row r="11" customFormat="false" ht="15" hidden="false" customHeight="false" outlineLevel="0" collapsed="false">
      <c r="A11" s="4" t="s">
        <v>145</v>
      </c>
      <c r="B11" s="5" t="n">
        <f aca="false">Założenia!$C$15*Założenia!D$15</f>
        <v>0</v>
      </c>
      <c r="C11" s="5" t="n">
        <f aca="false">Założenia!$C$15*Założenia!E$15</f>
        <v>44874.5</v>
      </c>
      <c r="D11" s="5" t="n">
        <f aca="false">Założenia!$C$15*Założenia!F$15</f>
        <v>44874.5</v>
      </c>
      <c r="E11" s="5" t="n">
        <f aca="false">Założenia!$C$15*Założenia!G$15</f>
        <v>0</v>
      </c>
      <c r="F11" s="5" t="n">
        <f aca="false">Założenia!$C$15*Założenia!H$15</f>
        <v>0</v>
      </c>
      <c r="G11" s="5" t="n">
        <f aca="false">Założenia!$C$15*Założenia!I$15</f>
        <v>0</v>
      </c>
      <c r="H11" s="5" t="n">
        <f aca="false">Założenia!$C$15*Założenia!J$15</f>
        <v>0</v>
      </c>
      <c r="I11" s="5" t="n">
        <f aca="false">Założenia!$C$15*Założenia!K$15</f>
        <v>0</v>
      </c>
      <c r="J11" s="5" t="n">
        <f aca="false">Założenia!$C$15*Założenia!L$15</f>
        <v>0</v>
      </c>
      <c r="K11" s="5" t="n">
        <f aca="false">Założenia!$C$15*Założenia!M$15</f>
        <v>0</v>
      </c>
      <c r="L11" s="5" t="n">
        <f aca="false">Założenia!$C$15*Założenia!N$15</f>
        <v>0</v>
      </c>
      <c r="M11" s="5" t="n">
        <f aca="false">Założenia!$C$15*Założenia!O$15</f>
        <v>0</v>
      </c>
      <c r="N11" s="5" t="n">
        <v>0</v>
      </c>
      <c r="O11" s="20" t="n">
        <f aca="false">SUM(B11:N11)</f>
        <v>89749</v>
      </c>
    </row>
    <row r="12" customFormat="false" ht="15" hidden="false" customHeight="false" outlineLevel="0" collapsed="false">
      <c r="A12" s="4" t="s">
        <v>146</v>
      </c>
      <c r="B12" s="5" t="n">
        <f aca="false">Założenia!$C$16*Założenia!D$16</f>
        <v>0</v>
      </c>
      <c r="C12" s="5" t="n">
        <f aca="false">Założenia!$C$16*Założenia!E$16</f>
        <v>0</v>
      </c>
      <c r="D12" s="5" t="n">
        <f aca="false">Założenia!$C$16*Założenia!F$16</f>
        <v>0</v>
      </c>
      <c r="E12" s="5" t="n">
        <f aca="false">Założenia!$C$16*Założenia!G$16</f>
        <v>11246.3</v>
      </c>
      <c r="F12" s="5" t="n">
        <f aca="false">Założenia!$C$16*Założenia!H$16</f>
        <v>0</v>
      </c>
      <c r="G12" s="5" t="n">
        <f aca="false">Założenia!$C$16*Założenia!I$16</f>
        <v>0</v>
      </c>
      <c r="H12" s="5" t="n">
        <f aca="false">Założenia!$C$16*Założenia!J$16</f>
        <v>0</v>
      </c>
      <c r="I12" s="5" t="n">
        <f aca="false">Założenia!$C$16*Założenia!K$16</f>
        <v>0</v>
      </c>
      <c r="J12" s="5" t="n">
        <f aca="false">Założenia!$C$16*Założenia!L$16</f>
        <v>0</v>
      </c>
      <c r="K12" s="5" t="n">
        <f aca="false">Założenia!$C$16*Założenia!M$16</f>
        <v>0</v>
      </c>
      <c r="L12" s="5" t="n">
        <f aca="false">Założenia!$C$16*Założenia!N$16</f>
        <v>0</v>
      </c>
      <c r="M12" s="5" t="n">
        <f aca="false">Założenia!$C$16*Założenia!O$16</f>
        <v>0</v>
      </c>
      <c r="N12" s="5" t="n">
        <v>0</v>
      </c>
      <c r="O12" s="20" t="n">
        <f aca="false">SUM(B12:N12)</f>
        <v>11246.3</v>
      </c>
    </row>
    <row r="13" customFormat="false" ht="15" hidden="false" customHeight="false" outlineLevel="0" collapsed="false">
      <c r="A13" s="4" t="s">
        <v>147</v>
      </c>
      <c r="B13" s="5" t="n">
        <f aca="false">Założenia!$B$5*B10</f>
        <v>4278.6</v>
      </c>
      <c r="C13" s="5" t="n">
        <f aca="false">Założenia!$B$5*C10</f>
        <v>4278.6</v>
      </c>
      <c r="D13" s="5" t="n">
        <f aca="false">Założenia!$B$5*D10</f>
        <v>7428.6</v>
      </c>
      <c r="E13" s="5" t="n">
        <f aca="false">Założenia!$B$5*E10</f>
        <v>7428.6</v>
      </c>
      <c r="F13" s="5" t="n">
        <f aca="false">Założenia!$B$5*F10</f>
        <v>7428.6</v>
      </c>
      <c r="G13" s="5" t="n">
        <f aca="false">Założenia!$B$5*G10</f>
        <v>7428.6</v>
      </c>
      <c r="H13" s="5" t="n">
        <f aca="false">Założenia!$B$5*H10</f>
        <v>7428.6</v>
      </c>
      <c r="I13" s="5" t="n">
        <f aca="false">Założenia!$B$5*I10</f>
        <v>7428.6</v>
      </c>
      <c r="J13" s="5" t="n">
        <f aca="false">Założenia!$B$5*J10</f>
        <v>7428.6</v>
      </c>
      <c r="K13" s="5" t="n">
        <f aca="false">Założenia!$B$5*K10</f>
        <v>7428.6</v>
      </c>
      <c r="L13" s="5" t="n">
        <f aca="false">Założenia!$B$5*L10</f>
        <v>6678.6</v>
      </c>
      <c r="M13" s="5" t="n">
        <f aca="false">Założenia!$B$5*M10</f>
        <v>6678.6</v>
      </c>
      <c r="N13" s="5" t="n">
        <v>0</v>
      </c>
      <c r="O13" s="20" t="n">
        <f aca="false">SUM(B13:N13)</f>
        <v>81343.2</v>
      </c>
    </row>
    <row r="14" customFormat="false" ht="15" hidden="false" customHeight="false" outlineLevel="0" collapsed="false">
      <c r="A14" s="8" t="s">
        <v>148</v>
      </c>
      <c r="B14" s="20" t="n">
        <f aca="false">SUM(B10:B13)</f>
        <v>32802.6</v>
      </c>
      <c r="C14" s="20" t="n">
        <f aca="false">SUM(C10:C13)</f>
        <v>77677.1</v>
      </c>
      <c r="D14" s="20" t="n">
        <f aca="false">SUM(D10:D13)</f>
        <v>101827.1</v>
      </c>
      <c r="E14" s="20" t="n">
        <f aca="false">SUM(E10:E13)</f>
        <v>68198.9</v>
      </c>
      <c r="F14" s="20" t="n">
        <f aca="false">SUM(F10:F13)</f>
        <v>56952.6</v>
      </c>
      <c r="G14" s="20" t="n">
        <f aca="false">SUM(G10:G13)</f>
        <v>56952.6</v>
      </c>
      <c r="H14" s="20" t="n">
        <f aca="false">SUM(H10:H13)</f>
        <v>56952.6</v>
      </c>
      <c r="I14" s="20" t="n">
        <f aca="false">SUM(I10:I13)</f>
        <v>56952.6</v>
      </c>
      <c r="J14" s="20" t="n">
        <f aca="false">SUM(J10:J13)</f>
        <v>56952.6</v>
      </c>
      <c r="K14" s="20" t="n">
        <f aca="false">SUM(K10:K13)</f>
        <v>56952.6</v>
      </c>
      <c r="L14" s="20" t="n">
        <f aca="false">SUM(L10:L13)</f>
        <v>51202.6</v>
      </c>
      <c r="M14" s="20" t="n">
        <f aca="false">SUM(M10:M13)</f>
        <v>51202.6</v>
      </c>
      <c r="N14" s="27" t="n">
        <v>0</v>
      </c>
      <c r="O14" s="20" t="n">
        <f aca="false">SUM(B14:N14)</f>
        <v>724626.5</v>
      </c>
    </row>
    <row r="16" customFormat="false" ht="15" hidden="false" customHeight="false" outlineLevel="0" collapsed="false">
      <c r="A16" s="4" t="s">
        <v>149</v>
      </c>
      <c r="B16" s="5" t="n">
        <f aca="false">B10+B13+Założenia!$B$15*Założenia!D$15+Założenia!$B$16*Założenia!D$16</f>
        <v>32802.6</v>
      </c>
      <c r="C16" s="5" t="n">
        <f aca="false">C10+C13+Założenia!$B$15*Założenia!E$15+Założenia!$B$16*Założenia!E$16</f>
        <v>69285.935</v>
      </c>
      <c r="D16" s="5" t="n">
        <f aca="false">D10+D13+Założenia!$B$15*Założenia!F$15+Założenia!$B$16*Założenia!F$16</f>
        <v>93435.935</v>
      </c>
      <c r="E16" s="5" t="n">
        <f aca="false">E10+E13+Założenia!$B$15*Założenia!G$15+Założenia!$B$16*Założenia!G$16</f>
        <v>66095.94</v>
      </c>
      <c r="F16" s="5" t="n">
        <f aca="false">F10+F13+Założenia!$B$15*Założenia!H$15+Założenia!$B$16*Założenia!H$16</f>
        <v>56952.6</v>
      </c>
      <c r="G16" s="5" t="n">
        <f aca="false">G10+G13+Założenia!$B$15*Założenia!I$15+Założenia!$B$16*Założenia!I$16</f>
        <v>56952.6</v>
      </c>
      <c r="H16" s="5" t="n">
        <f aca="false">H10+H13+Założenia!$B$15*Założenia!J$15+Założenia!$B$16*Założenia!J$16</f>
        <v>56952.6</v>
      </c>
      <c r="I16" s="5" t="n">
        <f aca="false">I10+I13+Założenia!$B$15*Założenia!K$15+Założenia!$B$16*Założenia!K$16</f>
        <v>56952.6</v>
      </c>
      <c r="J16" s="5" t="n">
        <f aca="false">J10+J13+Założenia!$B$15*Założenia!L$15+Założenia!$B$16*Założenia!L$16</f>
        <v>56952.6</v>
      </c>
      <c r="K16" s="5" t="n">
        <f aca="false">K10+K13+Założenia!$B$15*Założenia!M$15+Założenia!$B$16*Założenia!M$16</f>
        <v>56952.6</v>
      </c>
      <c r="L16" s="5" t="n">
        <f aca="false">L10+L13+Założenia!$B$15*Założenia!N$15+Założenia!$B$16*Założenia!N$16</f>
        <v>51202.6</v>
      </c>
      <c r="M16" s="5" t="n">
        <f aca="false">M10+M13+Założenia!$B$15*Założenia!O$15+Założenia!$B$16*Założenia!O$16</f>
        <v>51202.6</v>
      </c>
      <c r="N16" s="5" t="n">
        <v>0</v>
      </c>
      <c r="O16" s="20" t="n">
        <f aca="false">SUM(B16:N16)</f>
        <v>705741.21</v>
      </c>
    </row>
    <row r="17" customFormat="false" ht="15" hidden="false" customHeight="false" outlineLevel="0" collapsed="false">
      <c r="A17" s="4" t="s">
        <v>150</v>
      </c>
      <c r="B17" s="5" t="n">
        <f aca="false">B14-B16</f>
        <v>0</v>
      </c>
      <c r="C17" s="5" t="n">
        <f aca="false">C14-C16</f>
        <v>8391.16500000001</v>
      </c>
      <c r="D17" s="5" t="n">
        <f aca="false">D14-D16</f>
        <v>8391.16500000001</v>
      </c>
      <c r="E17" s="5" t="n">
        <f aca="false">E14-E16</f>
        <v>2102.96000000001</v>
      </c>
      <c r="F17" s="5" t="n">
        <f aca="false">F14-F16</f>
        <v>0</v>
      </c>
      <c r="G17" s="5" t="n">
        <f aca="false">G14-G16</f>
        <v>0</v>
      </c>
      <c r="H17" s="5" t="n">
        <f aca="false">H14-H16</f>
        <v>0</v>
      </c>
      <c r="I17" s="5" t="n">
        <f aca="false">I14-I16</f>
        <v>0</v>
      </c>
      <c r="J17" s="5" t="n">
        <f aca="false">J14-J16</f>
        <v>0</v>
      </c>
      <c r="K17" s="5" t="n">
        <f aca="false">K14-K16</f>
        <v>0</v>
      </c>
      <c r="L17" s="5" t="n">
        <f aca="false">L14-L16</f>
        <v>0</v>
      </c>
      <c r="M17" s="5" t="n">
        <f aca="false">M14-M16</f>
        <v>0</v>
      </c>
      <c r="N17" s="5" t="n">
        <v>0</v>
      </c>
      <c r="O17" s="20" t="n">
        <f aca="false">SUM(B17:N17)</f>
        <v>18885.29</v>
      </c>
    </row>
    <row r="19" customFormat="false" ht="15" hidden="false" customHeight="false" outlineLevel="0" collapsed="false">
      <c r="A19" s="13" t="s">
        <v>151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customFormat="false" ht="15" hidden="false" customHeight="false" outlineLevel="0" collapsed="false">
      <c r="A20" s="4" t="s">
        <v>152</v>
      </c>
      <c r="B20" s="5" t="n">
        <f aca="false">CHOOSE(Założenia!$B$9,B33,B34,B37)</f>
        <v>0</v>
      </c>
      <c r="C20" s="5" t="n">
        <f aca="false">CHOOSE(Założenia!$B$9,C33,C34,C37)</f>
        <v>0</v>
      </c>
      <c r="D20" s="5" t="n">
        <f aca="false">CHOOSE(Założenia!$B$9,D33,D34,D37)</f>
        <v>239952.01</v>
      </c>
      <c r="E20" s="5" t="n">
        <f aca="false">CHOOSE(Założenia!$B$9,E33,E34,E37)</f>
        <v>0</v>
      </c>
      <c r="F20" s="5" t="n">
        <f aca="false">CHOOSE(Założenia!$B$9,F33,F34,F37)</f>
        <v>239952.01</v>
      </c>
      <c r="G20" s="5" t="n">
        <f aca="false">CHOOSE(Założenia!$B$9,G33,G34,G37)</f>
        <v>0</v>
      </c>
      <c r="H20" s="5" t="n">
        <f aca="false">CHOOSE(Założenia!$B$9,H33,H34,H37)</f>
        <v>0</v>
      </c>
      <c r="I20" s="5" t="n">
        <f aca="false">CHOOSE(Założenia!$B$9,I33,I34,I37)</f>
        <v>29994.01</v>
      </c>
      <c r="J20" s="5" t="n">
        <f aca="false">CHOOSE(Założenia!$B$9,J33,J34,J37)</f>
        <v>0</v>
      </c>
      <c r="K20" s="5" t="n">
        <f aca="false">CHOOSE(Założenia!$B$9,K33,K34,K37)</f>
        <v>0</v>
      </c>
      <c r="L20" s="5" t="n">
        <f aca="false">CHOOSE(Założenia!$B$9,L33,L34,L37)</f>
        <v>0</v>
      </c>
      <c r="M20" s="5" t="n">
        <f aca="false">CHOOSE(Założenia!$B$9,M33,M34,M37)</f>
        <v>0</v>
      </c>
      <c r="N20" s="5" t="n">
        <f aca="false">CHOOSE(Założenia!$B$9,N33,N34,N37)</f>
        <v>89982</v>
      </c>
      <c r="O20" s="20" t="n">
        <f aca="false">SUM(B20:N20)</f>
        <v>599880.03</v>
      </c>
    </row>
    <row r="21" customFormat="false" ht="15" hidden="false" customHeight="false" outlineLevel="0" collapsed="false">
      <c r="A21" s="4" t="s">
        <v>153</v>
      </c>
      <c r="B21" s="28" t="n">
        <f aca="false">Założenia!D17</f>
        <v>0</v>
      </c>
      <c r="C21" s="28" t="n">
        <f aca="false">Założenia!E17</f>
        <v>0</v>
      </c>
      <c r="D21" s="28" t="n">
        <f aca="false">Założenia!F17</f>
        <v>0</v>
      </c>
      <c r="E21" s="28" t="n">
        <f aca="false">Założenia!G17</f>
        <v>0</v>
      </c>
      <c r="F21" s="28" t="n">
        <f aca="false">Założenia!H17</f>
        <v>0</v>
      </c>
      <c r="G21" s="28" t="n">
        <f aca="false">Założenia!I17</f>
        <v>0</v>
      </c>
      <c r="H21" s="28" t="n">
        <f aca="false">Założenia!J17</f>
        <v>0</v>
      </c>
      <c r="I21" s="28" t="n">
        <f aca="false">Założenia!K17</f>
        <v>0</v>
      </c>
      <c r="J21" s="28" t="n">
        <f aca="false">Założenia!L17</f>
        <v>0</v>
      </c>
      <c r="K21" s="28" t="n">
        <f aca="false">Założenia!M17</f>
        <v>0</v>
      </c>
      <c r="L21" s="28" t="n">
        <f aca="false">Założenia!N17</f>
        <v>0</v>
      </c>
      <c r="M21" s="28" t="n">
        <f aca="false">Założenia!O17</f>
        <v>0</v>
      </c>
      <c r="N21" s="5" t="n">
        <v>0</v>
      </c>
      <c r="O21" s="20" t="n">
        <f aca="false">SUM(B21:N21)</f>
        <v>0</v>
      </c>
    </row>
    <row r="22" customFormat="false" ht="15" hidden="false" customHeight="false" outlineLevel="0" collapsed="false">
      <c r="A22" s="4" t="s">
        <v>154</v>
      </c>
      <c r="B22" s="5" t="n">
        <f aca="false">MIN(Założenia!$B$6,MAX(0,Założenia!$B$8-(B26+B20+B21-B14)))</f>
        <v>32802.6</v>
      </c>
      <c r="C22" s="5" t="n">
        <f aca="false">MIN(Założenia!$B$6-SUM($B22:B22),MAX(0,Założenia!$B$8-(C26+C20+C21-C14)))</f>
        <v>77677.1</v>
      </c>
      <c r="D22" s="5" t="n">
        <f aca="false">MIN(Założenia!$B$6-SUM($B22:C22),MAX(0,Założenia!$B$8-(D26+D20+D21-D14)))</f>
        <v>0</v>
      </c>
      <c r="E22" s="5" t="n">
        <f aca="false">MIN(Założenia!$B$6-SUM($B22:D22),MAX(0,Założenia!$B$8-(E26+E20+E21-E14)))</f>
        <v>0</v>
      </c>
      <c r="F22" s="5" t="n">
        <f aca="false">MIN(Założenia!$B$6-SUM($B22:E22),MAX(0,Założenia!$B$8-(F26+F20+F21-F14)))</f>
        <v>0</v>
      </c>
      <c r="G22" s="5" t="n">
        <f aca="false">MIN(Założenia!$B$6-SUM($B22:F22),MAX(0,Założenia!$B$8-(G26+G20+G21-G14)))</f>
        <v>0</v>
      </c>
      <c r="H22" s="5" t="n">
        <f aca="false">MIN(Założenia!$B$6-SUM($B22:G22),MAX(0,Założenia!$B$8-(H26+H20+H21-H14)))</f>
        <v>0</v>
      </c>
      <c r="I22" s="5" t="n">
        <f aca="false">MIN(Założenia!$B$6-SUM($B22:H22),MAX(0,Założenia!$B$8-(I26+I20+I21-I14)))</f>
        <v>0</v>
      </c>
      <c r="J22" s="5" t="n">
        <f aca="false">MIN(Założenia!$B$6-SUM($B22:I22),MAX(0,Założenia!$B$8-(J26+J20+J21-J14)))</f>
        <v>0</v>
      </c>
      <c r="K22" s="5" t="n">
        <f aca="false">MIN(Założenia!$B$6-SUM($B22:J22),MAX(0,Założenia!$B$8-(K26+K20+K21-K14)))</f>
        <v>1843.57000000002</v>
      </c>
      <c r="L22" s="5" t="n">
        <f aca="false">MIN(Założenia!$B$6-SUM($B22:K22),MAX(0,Założenia!$B$8-(L26+L20+L21-L14)))</f>
        <v>12423.2</v>
      </c>
      <c r="M22" s="5" t="n">
        <f aca="false">MIN(Założenia!$B$6-SUM($B22:L22),MAX(0,Założenia!$B$8-(M26+M20+M21-M14)))</f>
        <v>0</v>
      </c>
      <c r="N22" s="5" t="n">
        <f aca="false">MIN(Założenia!$B$6-SUM($B22:M22),MAX(0,Założenia!$B$8-(N26+N20+N21-N14)))</f>
        <v>0</v>
      </c>
      <c r="O22" s="20" t="n">
        <f aca="false">SUM(B22:N22)</f>
        <v>124746.47</v>
      </c>
    </row>
    <row r="23" customFormat="false" ht="15" hidden="false" customHeight="false" outlineLevel="0" collapsed="false">
      <c r="A23" s="8" t="s">
        <v>155</v>
      </c>
      <c r="B23" s="20" t="n">
        <f aca="false">SUM(B20:B22)</f>
        <v>32802.6</v>
      </c>
      <c r="C23" s="20" t="n">
        <f aca="false">SUM(C20:C22)</f>
        <v>77677.1</v>
      </c>
      <c r="D23" s="20" t="n">
        <f aca="false">SUM(D20:D22)</f>
        <v>239952.01</v>
      </c>
      <c r="E23" s="20" t="n">
        <f aca="false">SUM(E20:E22)</f>
        <v>0</v>
      </c>
      <c r="F23" s="20" t="n">
        <f aca="false">SUM(F20:F22)</f>
        <v>239952.01</v>
      </c>
      <c r="G23" s="20" t="n">
        <f aca="false">SUM(G20:G22)</f>
        <v>0</v>
      </c>
      <c r="H23" s="20" t="n">
        <f aca="false">SUM(H20:H22)</f>
        <v>0</v>
      </c>
      <c r="I23" s="20" t="n">
        <f aca="false">SUM(I20:I22)</f>
        <v>29994.01</v>
      </c>
      <c r="J23" s="20" t="n">
        <f aca="false">SUM(J20:J22)</f>
        <v>0</v>
      </c>
      <c r="K23" s="20" t="n">
        <f aca="false">SUM(K20:K22)</f>
        <v>1843.57000000002</v>
      </c>
      <c r="L23" s="20" t="n">
        <f aca="false">SUM(L20:L22)</f>
        <v>12423.2</v>
      </c>
      <c r="M23" s="20" t="n">
        <f aca="false">SUM(M20:M22)</f>
        <v>0</v>
      </c>
      <c r="N23" s="20" t="n">
        <f aca="false">SUM(N20:N22)</f>
        <v>89982</v>
      </c>
      <c r="O23" s="20" t="n">
        <f aca="false">SUM(B23:N23)</f>
        <v>724626.5</v>
      </c>
    </row>
    <row r="25" customFormat="false" ht="15" hidden="false" customHeight="false" outlineLevel="0" collapsed="false">
      <c r="A25" s="13" t="s">
        <v>156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customFormat="false" ht="15" hidden="false" customHeight="false" outlineLevel="0" collapsed="false">
      <c r="A26" s="4" t="s">
        <v>157</v>
      </c>
      <c r="B26" s="5" t="n">
        <f aca="false">Założenia!$B$7</f>
        <v>0</v>
      </c>
      <c r="C26" s="5" t="n">
        <f aca="false">B28</f>
        <v>0</v>
      </c>
      <c r="D26" s="5" t="n">
        <f aca="false">C28</f>
        <v>0</v>
      </c>
      <c r="E26" s="5" t="n">
        <f aca="false">D28</f>
        <v>138124.91</v>
      </c>
      <c r="F26" s="5" t="n">
        <f aca="false">E28</f>
        <v>69926.01</v>
      </c>
      <c r="G26" s="5" t="n">
        <f aca="false">F28</f>
        <v>252925.42</v>
      </c>
      <c r="H26" s="5" t="n">
        <f aca="false">G28</f>
        <v>195972.82</v>
      </c>
      <c r="I26" s="5" t="n">
        <f aca="false">H28</f>
        <v>139020.22</v>
      </c>
      <c r="J26" s="5" t="n">
        <f aca="false">I28</f>
        <v>112061.63</v>
      </c>
      <c r="K26" s="5" t="n">
        <f aca="false">J28</f>
        <v>55109.03</v>
      </c>
      <c r="L26" s="5" t="n">
        <f aca="false">K28</f>
        <v>0</v>
      </c>
      <c r="M26" s="5" t="n">
        <f aca="false">L28</f>
        <v>-38779.4</v>
      </c>
      <c r="N26" s="5" t="n">
        <f aca="false">M28</f>
        <v>-89982</v>
      </c>
      <c r="O26" s="20" t="n">
        <f aca="false">B26</f>
        <v>0</v>
      </c>
    </row>
    <row r="27" customFormat="false" ht="15" hidden="false" customHeight="false" outlineLevel="0" collapsed="false">
      <c r="A27" s="4" t="s">
        <v>158</v>
      </c>
      <c r="B27" s="5" t="n">
        <f aca="false">B23-B14</f>
        <v>0</v>
      </c>
      <c r="C27" s="5" t="n">
        <f aca="false">C23-C14</f>
        <v>0</v>
      </c>
      <c r="D27" s="5" t="n">
        <f aca="false">D23-D14</f>
        <v>138124.91</v>
      </c>
      <c r="E27" s="5" t="n">
        <f aca="false">E23-E14</f>
        <v>-68198.9</v>
      </c>
      <c r="F27" s="5" t="n">
        <f aca="false">F23-F14</f>
        <v>182999.41</v>
      </c>
      <c r="G27" s="5" t="n">
        <f aca="false">G23-G14</f>
        <v>-56952.6</v>
      </c>
      <c r="H27" s="5" t="n">
        <f aca="false">H23-H14</f>
        <v>-56952.6</v>
      </c>
      <c r="I27" s="5" t="n">
        <f aca="false">I23-I14</f>
        <v>-26958.59</v>
      </c>
      <c r="J27" s="5" t="n">
        <f aca="false">J23-J14</f>
        <v>-56952.6</v>
      </c>
      <c r="K27" s="5" t="n">
        <f aca="false">K23-K14</f>
        <v>-55109.03</v>
      </c>
      <c r="L27" s="5" t="n">
        <f aca="false">L23-L14</f>
        <v>-38779.4</v>
      </c>
      <c r="M27" s="5" t="n">
        <f aca="false">M23-M14</f>
        <v>-51202.6</v>
      </c>
      <c r="N27" s="5" t="n">
        <f aca="false">N23-N14</f>
        <v>89982</v>
      </c>
      <c r="O27" s="20" t="n">
        <f aca="false">SUM(B27:N27)</f>
        <v>0</v>
      </c>
    </row>
    <row r="28" customFormat="false" ht="15" hidden="false" customHeight="false" outlineLevel="0" collapsed="false">
      <c r="A28" s="8" t="s">
        <v>159</v>
      </c>
      <c r="B28" s="20" t="n">
        <f aca="false">B26+B27</f>
        <v>0</v>
      </c>
      <c r="C28" s="20" t="n">
        <f aca="false">C26+C27</f>
        <v>0</v>
      </c>
      <c r="D28" s="20" t="n">
        <f aca="false">D26+D27</f>
        <v>138124.91</v>
      </c>
      <c r="E28" s="20" t="n">
        <f aca="false">E26+E27</f>
        <v>69926.01</v>
      </c>
      <c r="F28" s="20" t="n">
        <f aca="false">F26+F27</f>
        <v>252925.42</v>
      </c>
      <c r="G28" s="20" t="n">
        <f aca="false">G26+G27</f>
        <v>195972.82</v>
      </c>
      <c r="H28" s="20" t="n">
        <f aca="false">H26+H27</f>
        <v>139020.22</v>
      </c>
      <c r="I28" s="20" t="n">
        <f aca="false">I26+I27</f>
        <v>112061.63</v>
      </c>
      <c r="J28" s="20" t="n">
        <f aca="false">J26+J27</f>
        <v>55109.03</v>
      </c>
      <c r="K28" s="20" t="n">
        <f aca="false">K26+K27</f>
        <v>0</v>
      </c>
      <c r="L28" s="20" t="n">
        <f aca="false">L26+L27</f>
        <v>-38779.4</v>
      </c>
      <c r="M28" s="20" t="n">
        <f aca="false">M26+M27</f>
        <v>-89982</v>
      </c>
      <c r="N28" s="20" t="n">
        <f aca="false">N26+N27</f>
        <v>0</v>
      </c>
      <c r="O28" s="20" t="n">
        <f aca="false">N28</f>
        <v>0</v>
      </c>
    </row>
    <row r="29" customFormat="false" ht="15" hidden="false" customHeight="false" outlineLevel="0" collapsed="false">
      <c r="A29" s="4" t="s">
        <v>160</v>
      </c>
      <c r="B29" s="5" t="n">
        <f aca="false">MAX(0,Założenia!$B$8-B28)</f>
        <v>0</v>
      </c>
      <c r="C29" s="5" t="n">
        <f aca="false">MAX(0,Założenia!$B$8-C28)</f>
        <v>0</v>
      </c>
      <c r="D29" s="5" t="n">
        <f aca="false">MAX(0,Założenia!$B$8-D28)</f>
        <v>0</v>
      </c>
      <c r="E29" s="5" t="n">
        <f aca="false">MAX(0,Założenia!$B$8-E28)</f>
        <v>0</v>
      </c>
      <c r="F29" s="5" t="n">
        <f aca="false">MAX(0,Założenia!$B$8-F28)</f>
        <v>0</v>
      </c>
      <c r="G29" s="5" t="n">
        <f aca="false">MAX(0,Założenia!$B$8-G28)</f>
        <v>0</v>
      </c>
      <c r="H29" s="5" t="n">
        <f aca="false">MAX(0,Założenia!$B$8-H28)</f>
        <v>0</v>
      </c>
      <c r="I29" s="5" t="n">
        <f aca="false">MAX(0,Założenia!$B$8-I28)</f>
        <v>0</v>
      </c>
      <c r="J29" s="5" t="n">
        <f aca="false">MAX(0,Założenia!$B$8-J28)</f>
        <v>0</v>
      </c>
      <c r="K29" s="5" t="n">
        <f aca="false">MAX(0,Założenia!$B$8-K28)</f>
        <v>0</v>
      </c>
      <c r="L29" s="5" t="n">
        <f aca="false">MAX(0,Założenia!$B$8-L28)</f>
        <v>38779.4</v>
      </c>
      <c r="M29" s="5" t="n">
        <f aca="false">MAX(0,Założenia!$B$8-M28)</f>
        <v>89982</v>
      </c>
      <c r="N29" s="5" t="n">
        <f aca="false">MAX(0,Założenia!$B$8-N28)</f>
        <v>0</v>
      </c>
      <c r="O29" s="20" t="n">
        <f aca="false">MAX(B29:N29)</f>
        <v>89982</v>
      </c>
    </row>
    <row r="30" customFormat="false" ht="15" hidden="false" customHeight="false" outlineLevel="0" collapsed="false">
      <c r="A30" s="4" t="s">
        <v>161</v>
      </c>
      <c r="B30" s="5" t="n">
        <f aca="false">SUM($B22:B22)</f>
        <v>32802.6</v>
      </c>
      <c r="C30" s="5" t="n">
        <f aca="false">SUM($B22:C22)</f>
        <v>110479.7</v>
      </c>
      <c r="D30" s="5" t="n">
        <f aca="false">SUM($B22:D22)</f>
        <v>110479.7</v>
      </c>
      <c r="E30" s="5" t="n">
        <f aca="false">SUM($B22:E22)</f>
        <v>110479.7</v>
      </c>
      <c r="F30" s="5" t="n">
        <f aca="false">SUM($B22:F22)</f>
        <v>110479.7</v>
      </c>
      <c r="G30" s="5" t="n">
        <f aca="false">SUM($B22:G22)</f>
        <v>110479.7</v>
      </c>
      <c r="H30" s="5" t="n">
        <f aca="false">SUM($B22:H22)</f>
        <v>110479.7</v>
      </c>
      <c r="I30" s="5" t="n">
        <f aca="false">SUM($B22:I22)</f>
        <v>110479.7</v>
      </c>
      <c r="J30" s="5" t="n">
        <f aca="false">SUM($B22:J22)</f>
        <v>110479.7</v>
      </c>
      <c r="K30" s="5" t="n">
        <f aca="false">SUM($B22:K22)</f>
        <v>112323.27</v>
      </c>
      <c r="L30" s="5" t="n">
        <f aca="false">SUM($B22:L22)</f>
        <v>124746.47</v>
      </c>
      <c r="M30" s="5" t="n">
        <f aca="false">SUM($B22:M22)</f>
        <v>124746.47</v>
      </c>
      <c r="N30" s="5" t="n">
        <f aca="false">SUM($B22:N22)</f>
        <v>124746.47</v>
      </c>
      <c r="O30" s="20" t="n">
        <f aca="false">N30</f>
        <v>124746.47</v>
      </c>
    </row>
    <row r="32" customFormat="false" ht="15" hidden="false" customHeight="false" outlineLevel="0" collapsed="false">
      <c r="A32" s="13" t="s">
        <v>162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customFormat="false" ht="15" hidden="false" customHeight="false" outlineLevel="0" collapsed="false">
      <c r="A33" s="4" t="s">
        <v>163</v>
      </c>
      <c r="B33" s="5" t="n">
        <f aca="false">IF(MOD(B$5-1,3)=0,ROUND(Założenia!$B$4*SUMIFS($B$16:$M$16,$B$5:$M$5,"&gt;="&amp;B$5,$B$5:$M$5,"&lt;="&amp;(B$5+2)),2),0)</f>
        <v>166195.8</v>
      </c>
      <c r="C33" s="5" t="n">
        <f aca="false">IF(MOD(C$5-1,3)=0,ROUND(Założenia!$B$4*SUMIFS($B$16:$M$16,$B$5:$M$5,"&gt;="&amp;C$5,$B$5:$M$5,"&lt;="&amp;(C$5+2)),2),0)</f>
        <v>0</v>
      </c>
      <c r="D33" s="5" t="n">
        <f aca="false">IF(MOD(D$5-1,3)=0,ROUND(Założenia!$B$4*SUMIFS($B$16:$M$16,$B$5:$M$5,"&gt;="&amp;D$5,$B$5:$M$5,"&lt;="&amp;(D$5+2)),2),0)</f>
        <v>0</v>
      </c>
      <c r="E33" s="5" t="n">
        <f aca="false">IF(MOD(E$5-1,3)=0,ROUND(Założenia!$B$4*SUMIFS($B$16:$M$16,$B$5:$M$5,"&gt;="&amp;E$5,$B$5:$M$5,"&lt;="&amp;(E$5+2)),2),0)</f>
        <v>153000.97</v>
      </c>
      <c r="F33" s="5" t="n">
        <f aca="false">IF(MOD(F$5-1,3)=0,ROUND(Założenia!$B$4*SUMIFS($B$16:$M$16,$B$5:$M$5,"&gt;="&amp;F$5,$B$5:$M$5,"&lt;="&amp;(F$5+2)),2),0)</f>
        <v>0</v>
      </c>
      <c r="G33" s="5" t="n">
        <f aca="false">IF(MOD(G$5-1,3)=0,ROUND(Założenia!$B$4*SUMIFS($B$16:$M$16,$B$5:$M$5,"&gt;="&amp;G$5,$B$5:$M$5,"&lt;="&amp;(G$5+2)),2),0)</f>
        <v>0</v>
      </c>
      <c r="H33" s="5" t="n">
        <f aca="false">IF(MOD(H$5-1,3)=0,ROUND(Założenia!$B$4*SUMIFS($B$16:$M$16,$B$5:$M$5,"&gt;="&amp;H$5,$B$5:$M$5,"&lt;="&amp;(H$5+2)),2),0)</f>
        <v>145229.13</v>
      </c>
      <c r="I33" s="5" t="n">
        <f aca="false">IF(MOD(I$5-1,3)=0,ROUND(Założenia!$B$4*SUMIFS($B$16:$M$16,$B$5:$M$5,"&gt;="&amp;I$5,$B$5:$M$5,"&lt;="&amp;(I$5+2)),2),0)</f>
        <v>0</v>
      </c>
      <c r="J33" s="5" t="n">
        <f aca="false">IF(MOD(J$5-1,3)=0,ROUND(Założenia!$B$4*SUMIFS($B$16:$M$16,$B$5:$M$5,"&gt;="&amp;J$5,$B$5:$M$5,"&lt;="&amp;(J$5+2)),2),0)</f>
        <v>0</v>
      </c>
      <c r="K33" s="5" t="n">
        <f aca="false">IF(MOD(K$5-1,3)=0,ROUND(Założenia!$B$4*SUMIFS($B$16:$M$16,$B$5:$M$5,"&gt;="&amp;K$5,$B$5:$M$5,"&lt;="&amp;(K$5+2)),2),0)</f>
        <v>135454.13</v>
      </c>
      <c r="L33" s="5" t="n">
        <f aca="false">IF(MOD(L$5-1,3)=0,ROUND(Założenia!$B$4*SUMIFS($B$16:$M$16,$B$5:$M$5,"&gt;="&amp;L$5,$B$5:$M$5,"&lt;="&amp;(L$5+2)),2),0)</f>
        <v>0</v>
      </c>
      <c r="M33" s="5" t="n">
        <f aca="false">IF(MOD(M$5-1,3)=0,ROUND(Założenia!$B$4*SUMIFS($B$16:$M$16,$B$5:$M$5,"&gt;="&amp;M$5,$B$5:$M$5,"&lt;="&amp;(M$5+2)),2),0)</f>
        <v>0</v>
      </c>
      <c r="N33" s="5" t="n">
        <f aca="false">ROUND(Założenia!$B$4*SUM($B$16:$M$16),2)-SUM(B33:M33)</f>
        <v>0</v>
      </c>
      <c r="O33" s="20" t="n">
        <f aca="false">SUM(B33:N33)</f>
        <v>599880.03</v>
      </c>
    </row>
    <row r="34" customFormat="false" ht="15" hidden="false" customHeight="false" outlineLevel="0" collapsed="false">
      <c r="A34" s="4" t="s">
        <v>164</v>
      </c>
      <c r="B34" s="5" t="n">
        <f aca="false">IF(AND(B$5-Założenia!$B$10&gt;=3,MOD(B$5-Założenia!$B$10,3)=0),ROUND(Założenia!$B$4*SUMIFS($B$16:$M$16,$B$5:$M$5,"&gt;"&amp;(B$5-Założenia!$B$10-3),$B$5:$M$5,"&lt;="&amp;(B$5-Założenia!$B$10)),2),0)</f>
        <v>0</v>
      </c>
      <c r="C34" s="5" t="n">
        <f aca="false">IF(AND(C$5-Założenia!$B$10&gt;=3,MOD(C$5-Założenia!$B$10,3)=0),ROUND(Założenia!$B$4*SUMIFS($B$16:$M$16,$B$5:$M$5,"&gt;"&amp;(C$5-Założenia!$B$10-3),$B$5:$M$5,"&lt;="&amp;(C$5-Założenia!$B$10)),2),0)</f>
        <v>0</v>
      </c>
      <c r="D34" s="5" t="n">
        <f aca="false">IF(AND(D$5-Założenia!$B$10&gt;=3,MOD(D$5-Założenia!$B$10,3)=0),ROUND(Założenia!$B$4*SUMIFS($B$16:$M$16,$B$5:$M$5,"&gt;"&amp;(D$5-Założenia!$B$10-3),$B$5:$M$5,"&lt;="&amp;(D$5-Założenia!$B$10)),2),0)</f>
        <v>0</v>
      </c>
      <c r="E34" s="5" t="n">
        <f aca="false">IF(AND(E$5-Założenia!$B$10&gt;=3,MOD(E$5-Założenia!$B$10,3)=0),ROUND(Założenia!$B$4*SUMIFS($B$16:$M$16,$B$5:$M$5,"&gt;"&amp;(E$5-Założenia!$B$10-3),$B$5:$M$5,"&lt;="&amp;(E$5-Założenia!$B$10)),2),0)</f>
        <v>0</v>
      </c>
      <c r="F34" s="5" t="n">
        <f aca="false">IF(AND(F$5-Założenia!$B$10&gt;=3,MOD(F$5-Założenia!$B$10,3)=0),ROUND(Założenia!$B$4*SUMIFS($B$16:$M$16,$B$5:$M$5,"&gt;"&amp;(F$5-Założenia!$B$10-3),$B$5:$M$5,"&lt;="&amp;(F$5-Założenia!$B$10)),2),0)</f>
        <v>166195.8</v>
      </c>
      <c r="G34" s="5" t="n">
        <f aca="false">IF(AND(G$5-Założenia!$B$10&gt;=3,MOD(G$5-Założenia!$B$10,3)=0),ROUND(Założenia!$B$4*SUMIFS($B$16:$M$16,$B$5:$M$5,"&gt;"&amp;(G$5-Założenia!$B$10-3),$B$5:$M$5,"&lt;="&amp;(G$5-Założenia!$B$10)),2),0)</f>
        <v>0</v>
      </c>
      <c r="H34" s="5" t="n">
        <f aca="false">IF(AND(H$5-Założenia!$B$10&gt;=3,MOD(H$5-Założenia!$B$10,3)=0),ROUND(Założenia!$B$4*SUMIFS($B$16:$M$16,$B$5:$M$5,"&gt;"&amp;(H$5-Założenia!$B$10-3),$B$5:$M$5,"&lt;="&amp;(H$5-Założenia!$B$10)),2),0)</f>
        <v>0</v>
      </c>
      <c r="I34" s="5" t="n">
        <f aca="false">IF(AND(I$5-Założenia!$B$10&gt;=3,MOD(I$5-Założenia!$B$10,3)=0),ROUND(Założenia!$B$4*SUMIFS($B$16:$M$16,$B$5:$M$5,"&gt;"&amp;(I$5-Założenia!$B$10-3),$B$5:$M$5,"&lt;="&amp;(I$5-Założenia!$B$10)),2),0)</f>
        <v>153000.97</v>
      </c>
      <c r="J34" s="5" t="n">
        <f aca="false">IF(AND(J$5-Założenia!$B$10&gt;=3,MOD(J$5-Założenia!$B$10,3)=0),ROUND(Założenia!$B$4*SUMIFS($B$16:$M$16,$B$5:$M$5,"&gt;"&amp;(J$5-Założenia!$B$10-3),$B$5:$M$5,"&lt;="&amp;(J$5-Założenia!$B$10)),2),0)</f>
        <v>0</v>
      </c>
      <c r="K34" s="5" t="n">
        <f aca="false">IF(AND(K$5-Założenia!$B$10&gt;=3,MOD(K$5-Założenia!$B$10,3)=0),ROUND(Założenia!$B$4*SUMIFS($B$16:$M$16,$B$5:$M$5,"&gt;"&amp;(K$5-Założenia!$B$10-3),$B$5:$M$5,"&lt;="&amp;(K$5-Założenia!$B$10)),2),0)</f>
        <v>0</v>
      </c>
      <c r="L34" s="5" t="n">
        <f aca="false">IF(AND(L$5-Założenia!$B$10&gt;=3,MOD(L$5-Założenia!$B$10,3)=0),ROUND(Założenia!$B$4*SUMIFS($B$16:$M$16,$B$5:$M$5,"&gt;"&amp;(L$5-Założenia!$B$10-3),$B$5:$M$5,"&lt;="&amp;(L$5-Założenia!$B$10)),2),0)</f>
        <v>145229.13</v>
      </c>
      <c r="M34" s="5" t="n">
        <f aca="false">IF(AND(M$5-Założenia!$B$10&gt;=3,MOD(M$5-Założenia!$B$10,3)=0),ROUND(Założenia!$B$4*SUMIFS($B$16:$M$16,$B$5:$M$5,"&gt;"&amp;(M$5-Założenia!$B$10-3),$B$5:$M$5,"&lt;="&amp;(M$5-Założenia!$B$10)),2),0)</f>
        <v>0</v>
      </c>
      <c r="N34" s="5" t="n">
        <f aca="false">ROUND(Założenia!$B$4*SUM($B$16:$M$16),2)-SUM(B34:M34)</f>
        <v>135454.13</v>
      </c>
      <c r="O34" s="20" t="n">
        <f aca="false">SUM(B34:N34)</f>
        <v>599880.03</v>
      </c>
    </row>
    <row r="35" customFormat="false" ht="15" hidden="false" customHeight="false" outlineLevel="0" collapsed="false">
      <c r="A35" s="4" t="s">
        <v>165</v>
      </c>
      <c r="B35" s="5" t="n">
        <f aca="false">Założenia!$B$7+B33+B21-B14</f>
        <v>133393.2</v>
      </c>
      <c r="C35" s="5" t="n">
        <f aca="false">B35+C33+C21-C14</f>
        <v>55716.1</v>
      </c>
      <c r="D35" s="5" t="n">
        <f aca="false">C35+D33+D21-D14</f>
        <v>-46111</v>
      </c>
      <c r="E35" s="5" t="n">
        <f aca="false">D35+E33+E21-E14</f>
        <v>38691.07</v>
      </c>
      <c r="F35" s="5" t="n">
        <f aca="false">E35+F33+F21-F14</f>
        <v>-18261.53</v>
      </c>
      <c r="G35" s="5" t="n">
        <f aca="false">F35+G33+G21-G14</f>
        <v>-75214.13</v>
      </c>
      <c r="H35" s="5" t="n">
        <f aca="false">G35+H33+H21-H14</f>
        <v>13062.4</v>
      </c>
      <c r="I35" s="5" t="n">
        <f aca="false">H35+I33+I21-I14</f>
        <v>-43890.2</v>
      </c>
      <c r="J35" s="5" t="n">
        <f aca="false">I35+J33+J21-J14</f>
        <v>-100842.8</v>
      </c>
      <c r="K35" s="5" t="n">
        <f aca="false">J35+K33+K21-K14</f>
        <v>-22341.27</v>
      </c>
      <c r="L35" s="5" t="n">
        <f aca="false">K35+L33+L21-L14</f>
        <v>-73543.87</v>
      </c>
      <c r="M35" s="5" t="n">
        <f aca="false">L35+M33+M21-M14</f>
        <v>-124746.47</v>
      </c>
      <c r="N35" s="5" t="n">
        <f aca="false">M35+N33+N21-N14</f>
        <v>-124746.47</v>
      </c>
    </row>
    <row r="36" customFormat="false" ht="15" hidden="false" customHeight="false" outlineLevel="0" collapsed="false">
      <c r="A36" s="4" t="s">
        <v>166</v>
      </c>
      <c r="B36" s="5" t="n">
        <f aca="false">Założenia!$B$7+B34+B21-B14</f>
        <v>-32802.6</v>
      </c>
      <c r="C36" s="5" t="n">
        <f aca="false">B36+C34+C21-C14</f>
        <v>-110479.7</v>
      </c>
      <c r="D36" s="5" t="n">
        <f aca="false">C36+D34+D21-D14</f>
        <v>-212306.8</v>
      </c>
      <c r="E36" s="5" t="n">
        <f aca="false">D36+E34+E21-E14</f>
        <v>-280505.7</v>
      </c>
      <c r="F36" s="5" t="n">
        <f aca="false">E36+F34+F21-F14</f>
        <v>-171262.5</v>
      </c>
      <c r="G36" s="5" t="n">
        <f aca="false">F36+G34+G21-G14</f>
        <v>-228215.1</v>
      </c>
      <c r="H36" s="5" t="n">
        <f aca="false">G36+H34+H21-H14</f>
        <v>-285167.7</v>
      </c>
      <c r="I36" s="5" t="n">
        <f aca="false">H36+I34+I21-I14</f>
        <v>-189119.33</v>
      </c>
      <c r="J36" s="5" t="n">
        <f aca="false">I36+J34+J21-J14</f>
        <v>-246071.93</v>
      </c>
      <c r="K36" s="5" t="n">
        <f aca="false">J36+K34+K21-K14</f>
        <v>-303024.53</v>
      </c>
      <c r="L36" s="5" t="n">
        <f aca="false">K36+L34+L21-L14</f>
        <v>-208998</v>
      </c>
      <c r="M36" s="5" t="n">
        <f aca="false">L36+M34+M21-M14</f>
        <v>-260200.6</v>
      </c>
      <c r="N36" s="5" t="n">
        <f aca="false">M36+N34+N21-N14</f>
        <v>-124746.47</v>
      </c>
    </row>
    <row r="37" customFormat="false" ht="15" hidden="false" customHeight="false" outlineLevel="0" collapsed="false">
      <c r="A37" s="4" t="s">
        <v>167</v>
      </c>
      <c r="B37" s="5" t="n">
        <f aca="false">IF(AND(B$5&gt;=Założenia!$L$4,0&lt;(1-Założenia!$B$12)*$B$44-0.005,Założenia!$B$4*SUMIFS($B$16:$M$16,$B$5:$M$5,"&lt;="&amp;(B$5-1-Założenia!$L$6))&gt;=Założenia!$L$5*0-0.005),ROUND(MIN(Założenia!$B$11*$B$44,(1-Założenia!$B$12)*$B$44-0),2),0)</f>
        <v>0</v>
      </c>
      <c r="C37" s="5" t="n">
        <f aca="false">IF(AND(C$5&gt;=Założenia!$L$4,B41&lt;(1-Założenia!$B$12)*$B$44-0.005,Założenia!$B$4*SUMIFS($B$16:$M$16,$B$5:$M$5,"&lt;="&amp;(C$5-1-Założenia!$L$6))&gt;=Założenia!$L$5*B41-0.005),ROUND(MIN(Założenia!$B$11*$B$44,(1-Założenia!$B$12)*$B$44-B41),2),0)</f>
        <v>0</v>
      </c>
      <c r="D37" s="5" t="n">
        <f aca="false">IF(AND(D$5&gt;=Założenia!$L$4,C41&lt;(1-Założenia!$B$12)*$B$44-0.005,Założenia!$B$4*SUMIFS($B$16:$M$16,$B$5:$M$5,"&lt;="&amp;(D$5-1-Założenia!$L$6))&gt;=Założenia!$L$5*C41-0.005),ROUND(MIN(Założenia!$B$11*$B$44,(1-Założenia!$B$12)*$B$44-C41),2),0)</f>
        <v>239952.01</v>
      </c>
      <c r="E37" s="5" t="n">
        <f aca="false">IF(AND(E$5&gt;=Założenia!$L$4,D41&lt;(1-Założenia!$B$12)*$B$44-0.005,Założenia!$B$4*SUMIFS($B$16:$M$16,$B$5:$M$5,"&lt;="&amp;(E$5-1-Założenia!$L$6))&gt;=Założenia!$L$5*D41-0.005),ROUND(MIN(Założenia!$B$11*$B$44,(1-Założenia!$B$12)*$B$44-D41),2),0)</f>
        <v>0</v>
      </c>
      <c r="F37" s="5" t="n">
        <f aca="false">IF(AND(F$5&gt;=Założenia!$L$4,E41&lt;(1-Założenia!$B$12)*$B$44-0.005,Założenia!$B$4*SUMIFS($B$16:$M$16,$B$5:$M$5,"&lt;="&amp;(F$5-1-Założenia!$L$6))&gt;=Założenia!$L$5*E41-0.005),ROUND(MIN(Założenia!$B$11*$B$44,(1-Założenia!$B$12)*$B$44-E41),2),0)</f>
        <v>239952.01</v>
      </c>
      <c r="G37" s="5" t="n">
        <f aca="false">IF(AND(G$5&gt;=Założenia!$L$4,F41&lt;(1-Założenia!$B$12)*$B$44-0.005,Założenia!$B$4*SUMIFS($B$16:$M$16,$B$5:$M$5,"&lt;="&amp;(G$5-1-Założenia!$L$6))&gt;=Założenia!$L$5*F41-0.005),ROUND(MIN(Założenia!$B$11*$B$44,(1-Założenia!$B$12)*$B$44-F41),2),0)</f>
        <v>0</v>
      </c>
      <c r="H37" s="5" t="n">
        <f aca="false">IF(AND(H$5&gt;=Założenia!$L$4,G41&lt;(1-Założenia!$B$12)*$B$44-0.005,Założenia!$B$4*SUMIFS($B$16:$M$16,$B$5:$M$5,"&lt;="&amp;(H$5-1-Założenia!$L$6))&gt;=Założenia!$L$5*G41-0.005),ROUND(MIN(Założenia!$B$11*$B$44,(1-Założenia!$B$12)*$B$44-G41),2),0)</f>
        <v>0</v>
      </c>
      <c r="I37" s="5" t="n">
        <f aca="false">IF(AND(I$5&gt;=Założenia!$L$4,H41&lt;(1-Założenia!$B$12)*$B$44-0.005,Założenia!$B$4*SUMIFS($B$16:$M$16,$B$5:$M$5,"&lt;="&amp;(I$5-1-Założenia!$L$6))&gt;=Założenia!$L$5*H41-0.005),ROUND(MIN(Założenia!$B$11*$B$44,(1-Założenia!$B$12)*$B$44-H41),2),0)</f>
        <v>29994.01</v>
      </c>
      <c r="J37" s="5" t="n">
        <f aca="false">IF(AND(J$5&gt;=Założenia!$L$4,I41&lt;(1-Założenia!$B$12)*$B$44-0.005,Założenia!$B$4*SUMIFS($B$16:$M$16,$B$5:$M$5,"&lt;="&amp;(J$5-1-Założenia!$L$6))&gt;=Założenia!$L$5*I41-0.005),ROUND(MIN(Założenia!$B$11*$B$44,(1-Założenia!$B$12)*$B$44-I41),2),0)</f>
        <v>0</v>
      </c>
      <c r="K37" s="5" t="n">
        <f aca="false">IF(AND(K$5&gt;=Założenia!$L$4,J41&lt;(1-Założenia!$B$12)*$B$44-0.005,Założenia!$B$4*SUMIFS($B$16:$M$16,$B$5:$M$5,"&lt;="&amp;(K$5-1-Założenia!$L$6))&gt;=Założenia!$L$5*J41-0.005),ROUND(MIN(Założenia!$B$11*$B$44,(1-Założenia!$B$12)*$B$44-J41),2),0)</f>
        <v>0</v>
      </c>
      <c r="L37" s="5" t="n">
        <f aca="false">IF(AND(L$5&gt;=Założenia!$L$4,K41&lt;(1-Założenia!$B$12)*$B$44-0.005,Założenia!$B$4*SUMIFS($B$16:$M$16,$B$5:$M$5,"&lt;="&amp;(L$5-1-Założenia!$L$6))&gt;=Założenia!$L$5*K41-0.005),ROUND(MIN(Założenia!$B$11*$B$44,(1-Założenia!$B$12)*$B$44-K41),2),0)</f>
        <v>0</v>
      </c>
      <c r="M37" s="5" t="n">
        <f aca="false">IF(AND(M$5&gt;=Założenia!$L$4,L41&lt;(1-Założenia!$B$12)*$B$44-0.005,Założenia!$B$4*SUMIFS($B$16:$M$16,$B$5:$M$5,"&lt;="&amp;(M$5-1-Założenia!$L$6))&gt;=Założenia!$L$5*L41-0.005),ROUND(MIN(Założenia!$B$11*$B$44,(1-Założenia!$B$12)*$B$44-L41),2),0)</f>
        <v>0</v>
      </c>
      <c r="N37" s="5" t="n">
        <f aca="false">$B$44-SUM(B37:M37)</f>
        <v>89982</v>
      </c>
      <c r="O37" s="20" t="n">
        <f aca="false">SUM(B37:N37)</f>
        <v>599880.03</v>
      </c>
    </row>
    <row r="38" customFormat="false" ht="15" hidden="false" customHeight="false" outlineLevel="0" collapsed="false">
      <c r="A38" s="4" t="s">
        <v>168</v>
      </c>
      <c r="B38" s="5" t="n">
        <f aca="false">Założenia!$B$7+B37+B21-B14</f>
        <v>-32802.6</v>
      </c>
      <c r="C38" s="5" t="n">
        <f aca="false">B38+C37+C21-C14</f>
        <v>-110479.7</v>
      </c>
      <c r="D38" s="5" t="n">
        <f aca="false">C38+D37+D21-D14</f>
        <v>27645.21</v>
      </c>
      <c r="E38" s="5" t="n">
        <f aca="false">D38+E37+E21-E14</f>
        <v>-40553.69</v>
      </c>
      <c r="F38" s="5" t="n">
        <f aca="false">E38+F37+F21-F14</f>
        <v>142445.72</v>
      </c>
      <c r="G38" s="5" t="n">
        <f aca="false">F38+G37+G21-G14</f>
        <v>85493.12</v>
      </c>
      <c r="H38" s="5" t="n">
        <f aca="false">G38+H37+H21-H14</f>
        <v>28540.52</v>
      </c>
      <c r="I38" s="5" t="n">
        <f aca="false">H38+I37+I21-I14</f>
        <v>1581.93</v>
      </c>
      <c r="J38" s="5" t="n">
        <f aca="false">I38+J37+J21-J14</f>
        <v>-55370.67</v>
      </c>
      <c r="K38" s="5" t="n">
        <f aca="false">J38+K37+K21-K14</f>
        <v>-112323.27</v>
      </c>
      <c r="L38" s="5" t="n">
        <f aca="false">K38+L37+L21-L14</f>
        <v>-163525.87</v>
      </c>
      <c r="M38" s="5" t="n">
        <f aca="false">L38+M37+M21-M14</f>
        <v>-214728.47</v>
      </c>
      <c r="N38" s="5" t="n">
        <f aca="false">M38+N37+N21-N14</f>
        <v>-124746.47</v>
      </c>
    </row>
    <row r="39" customFormat="false" ht="15" hidden="false" customHeight="false" outlineLevel="0" collapsed="false">
      <c r="A39" s="4" t="s">
        <v>169</v>
      </c>
      <c r="B39" s="5" t="n">
        <f aca="false">B42+B37</f>
        <v>0</v>
      </c>
      <c r="C39" s="5" t="n">
        <f aca="false">C42+C37</f>
        <v>0</v>
      </c>
      <c r="D39" s="5" t="n">
        <f aca="false">D42+D37</f>
        <v>239952.01</v>
      </c>
      <c r="E39" s="5" t="n">
        <f aca="false">E42+E37</f>
        <v>73756.2105</v>
      </c>
      <c r="F39" s="5" t="n">
        <f aca="false">F42+F37</f>
        <v>257526.6715</v>
      </c>
      <c r="G39" s="5" t="n">
        <f aca="false">G42+G37</f>
        <v>209116.9615</v>
      </c>
      <c r="H39" s="5" t="n">
        <f aca="false">H42+H37</f>
        <v>160707.2515</v>
      </c>
      <c r="I39" s="5" t="n">
        <f aca="false">I42+I37</f>
        <v>142291.5515</v>
      </c>
      <c r="J39" s="5" t="n">
        <f aca="false">J42+J37</f>
        <v>93881.8415000001</v>
      </c>
      <c r="K39" s="5" t="n">
        <f aca="false">K42+K37</f>
        <v>45472.1315</v>
      </c>
      <c r="L39" s="5" t="n">
        <f aca="false">L42+L37</f>
        <v>0</v>
      </c>
      <c r="M39" s="5" t="n">
        <f aca="false">M42+M37</f>
        <v>0</v>
      </c>
      <c r="N39" s="5" t="n">
        <v>0</v>
      </c>
    </row>
    <row r="40" customFormat="false" ht="15" hidden="false" customHeight="false" outlineLevel="0" collapsed="false">
      <c r="A40" s="4" t="s">
        <v>170</v>
      </c>
      <c r="B40" s="5" t="n">
        <f aca="false">SUM($B16:B16)</f>
        <v>32802.6</v>
      </c>
      <c r="C40" s="5" t="n">
        <f aca="false">SUM($B16:C16)</f>
        <v>102088.535</v>
      </c>
      <c r="D40" s="5" t="n">
        <f aca="false">SUM($B16:D16)</f>
        <v>195524.47</v>
      </c>
      <c r="E40" s="5" t="n">
        <f aca="false">SUM($B16:E16)</f>
        <v>261620.41</v>
      </c>
      <c r="F40" s="5" t="n">
        <f aca="false">SUM($B16:F16)</f>
        <v>318573.01</v>
      </c>
      <c r="G40" s="5" t="n">
        <f aca="false">SUM($B16:G16)</f>
        <v>375525.61</v>
      </c>
      <c r="H40" s="5" t="n">
        <f aca="false">SUM($B16:H16)</f>
        <v>432478.21</v>
      </c>
      <c r="I40" s="5" t="n">
        <f aca="false">SUM($B16:I16)</f>
        <v>489430.81</v>
      </c>
      <c r="J40" s="5" t="n">
        <f aca="false">SUM($B16:J16)</f>
        <v>546383.41</v>
      </c>
      <c r="K40" s="5" t="n">
        <f aca="false">SUM($B16:K16)</f>
        <v>603336.01</v>
      </c>
      <c r="L40" s="5" t="n">
        <f aca="false">SUM($B16:L16)</f>
        <v>654538.61</v>
      </c>
      <c r="M40" s="5" t="n">
        <f aca="false">SUM($B16:M16)</f>
        <v>705741.21</v>
      </c>
      <c r="N40" s="5" t="n">
        <f aca="false">SUM($B16:N16)</f>
        <v>705741.21</v>
      </c>
    </row>
    <row r="41" customFormat="false" ht="15" hidden="false" customHeight="false" outlineLevel="0" collapsed="false">
      <c r="A41" s="4" t="s">
        <v>171</v>
      </c>
      <c r="B41" s="5" t="n">
        <f aca="false">B37</f>
        <v>0</v>
      </c>
      <c r="C41" s="5" t="n">
        <f aca="false">B41+C37</f>
        <v>0</v>
      </c>
      <c r="D41" s="5" t="n">
        <f aca="false">C41+D37</f>
        <v>239952.01</v>
      </c>
      <c r="E41" s="5" t="n">
        <f aca="false">D41+E37</f>
        <v>239952.01</v>
      </c>
      <c r="F41" s="5" t="n">
        <f aca="false">E41+F37</f>
        <v>479904.02</v>
      </c>
      <c r="G41" s="5" t="n">
        <f aca="false">F41+G37</f>
        <v>479904.02</v>
      </c>
      <c r="H41" s="5" t="n">
        <f aca="false">G41+H37</f>
        <v>479904.02</v>
      </c>
      <c r="I41" s="5" t="n">
        <f aca="false">H41+I37</f>
        <v>509898.03</v>
      </c>
      <c r="J41" s="5" t="n">
        <f aca="false">I41+J37</f>
        <v>509898.03</v>
      </c>
      <c r="K41" s="5" t="n">
        <f aca="false">J41+K37</f>
        <v>509898.03</v>
      </c>
      <c r="L41" s="5" t="n">
        <f aca="false">K41+L37</f>
        <v>509898.03</v>
      </c>
      <c r="M41" s="5" t="n">
        <f aca="false">L41+M37</f>
        <v>509898.03</v>
      </c>
      <c r="N41" s="5" t="n">
        <f aca="false">M41+N37</f>
        <v>599880.03</v>
      </c>
    </row>
    <row r="42" customFormat="false" ht="15" hidden="false" customHeight="false" outlineLevel="0" collapsed="false">
      <c r="A42" s="4" t="s">
        <v>172</v>
      </c>
      <c r="B42" s="5" t="n">
        <v>0</v>
      </c>
      <c r="C42" s="5" t="n">
        <f aca="false">MAX(0,B41-Założenia!$B$4*B40)</f>
        <v>0</v>
      </c>
      <c r="D42" s="5" t="n">
        <f aca="false">MAX(0,C41-Założenia!$B$4*C40)</f>
        <v>0</v>
      </c>
      <c r="E42" s="5" t="n">
        <f aca="false">MAX(0,D41-Założenia!$B$4*D40)</f>
        <v>73756.2105</v>
      </c>
      <c r="F42" s="5" t="n">
        <f aca="false">MAX(0,E41-Założenia!$B$4*E40)</f>
        <v>17574.6615</v>
      </c>
      <c r="G42" s="5" t="n">
        <f aca="false">MAX(0,F41-Założenia!$B$4*F40)</f>
        <v>209116.9615</v>
      </c>
      <c r="H42" s="5" t="n">
        <f aca="false">MAX(0,G41-Założenia!$B$4*G40)</f>
        <v>160707.2515</v>
      </c>
      <c r="I42" s="5" t="n">
        <f aca="false">MAX(0,H41-Założenia!$B$4*H40)</f>
        <v>112297.5415</v>
      </c>
      <c r="J42" s="5" t="n">
        <f aca="false">MAX(0,I41-Założenia!$B$4*I40)</f>
        <v>93881.8415000001</v>
      </c>
      <c r="K42" s="5" t="n">
        <f aca="false">MAX(0,J41-Założenia!$B$4*J40)</f>
        <v>45472.1315</v>
      </c>
      <c r="L42" s="5" t="n">
        <f aca="false">MAX(0,K41-Założenia!$B$4*K40)</f>
        <v>0</v>
      </c>
      <c r="M42" s="5" t="n">
        <f aca="false">MAX(0,L41-Założenia!$B$4*L40)</f>
        <v>0</v>
      </c>
      <c r="N42" s="5" t="n">
        <f aca="false">MAX(0,M41-Założenia!$B$4*M40)</f>
        <v>0</v>
      </c>
    </row>
    <row r="43" customFormat="false" ht="15" hidden="false" customHeight="false" outlineLevel="0" collapsed="false">
      <c r="A43" s="4" t="s">
        <v>173</v>
      </c>
      <c r="B43" s="21" t="n">
        <f aca="false">IF(B37&gt;0,COUNTIF($B37:B37,"&gt;0"),0)</f>
        <v>0</v>
      </c>
      <c r="C43" s="21" t="n">
        <f aca="false">IF(C37&gt;0,COUNTIF($B37:C37,"&gt;0"),0)</f>
        <v>0</v>
      </c>
      <c r="D43" s="21" t="n">
        <f aca="false">IF(D37&gt;0,COUNTIF($B37:D37,"&gt;0"),0)</f>
        <v>1</v>
      </c>
      <c r="E43" s="21" t="n">
        <f aca="false">IF(E37&gt;0,COUNTIF($B37:E37,"&gt;0"),0)</f>
        <v>0</v>
      </c>
      <c r="F43" s="21" t="n">
        <f aca="false">IF(F37&gt;0,COUNTIF($B37:F37,"&gt;0"),0)</f>
        <v>2</v>
      </c>
      <c r="G43" s="21" t="n">
        <f aca="false">IF(G37&gt;0,COUNTIF($B37:G37,"&gt;0"),0)</f>
        <v>0</v>
      </c>
      <c r="H43" s="21" t="n">
        <f aca="false">IF(H37&gt;0,COUNTIF($B37:H37,"&gt;0"),0)</f>
        <v>0</v>
      </c>
      <c r="I43" s="21" t="n">
        <f aca="false">IF(I37&gt;0,COUNTIF($B37:I37,"&gt;0"),0)</f>
        <v>3</v>
      </c>
      <c r="J43" s="21" t="n">
        <f aca="false">IF(J37&gt;0,COUNTIF($B37:J37,"&gt;0"),0)</f>
        <v>0</v>
      </c>
      <c r="K43" s="21" t="n">
        <f aca="false">IF(K37&gt;0,COUNTIF($B37:K37,"&gt;0"),0)</f>
        <v>0</v>
      </c>
      <c r="L43" s="21" t="n">
        <f aca="false">IF(L37&gt;0,COUNTIF($B37:L37,"&gt;0"),0)</f>
        <v>0</v>
      </c>
      <c r="M43" s="21" t="n">
        <f aca="false">IF(M37&gt;0,COUNTIF($B37:M37,"&gt;0"),0)</f>
        <v>0</v>
      </c>
    </row>
    <row r="44" customFormat="false" ht="15" hidden="false" customHeight="false" outlineLevel="0" collapsed="false">
      <c r="A44" s="4" t="s">
        <v>174</v>
      </c>
      <c r="B44" s="5" t="n">
        <f aca="false">ROUND(Założenia!$B$4*SUM($B$16:$M$16),2)</f>
        <v>599880.03</v>
      </c>
    </row>
    <row r="46" customFormat="false" ht="15" hidden="false" customHeight="false" outlineLevel="0" collapsed="false">
      <c r="A46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8" min="7" style="0" width="26"/>
  </cols>
  <sheetData>
    <row r="1" customFormat="false" ht="15" hidden="false" customHeight="false" outlineLevel="0" collapsed="false">
      <c r="A1" s="8" t="s">
        <v>176</v>
      </c>
    </row>
    <row r="2" customFormat="false" ht="31.5" hidden="false" customHeight="true" outlineLevel="0" collapsed="false">
      <c r="A2" s="15" t="s">
        <v>177</v>
      </c>
      <c r="B2" s="15" t="s">
        <v>178</v>
      </c>
      <c r="C2" s="15" t="s">
        <v>179</v>
      </c>
      <c r="D2" s="15" t="s">
        <v>180</v>
      </c>
      <c r="E2" s="15" t="s">
        <v>181</v>
      </c>
      <c r="F2" s="15" t="s">
        <v>7</v>
      </c>
      <c r="G2" s="15" t="s">
        <v>182</v>
      </c>
      <c r="H2" s="15" t="s">
        <v>183</v>
      </c>
    </row>
    <row r="3" customFormat="false" ht="15" hidden="false" customHeight="false" outlineLevel="0" collapsed="false">
      <c r="A3" s="4" t="s">
        <v>184</v>
      </c>
      <c r="B3" s="4" t="s">
        <v>185</v>
      </c>
      <c r="C3" s="21" t="n">
        <v>2026</v>
      </c>
      <c r="D3" s="21" t="n">
        <v>4</v>
      </c>
      <c r="E3" s="4" t="s">
        <v>186</v>
      </c>
      <c r="F3" s="5" t="n">
        <f aca="false">SUM(Cashflow!B16:D16)</f>
        <v>195524.47</v>
      </c>
      <c r="G3" s="5" t="n">
        <f aca="false">Cashflow!D37</f>
        <v>239952.01</v>
      </c>
      <c r="H3" s="5" t="n">
        <v>0</v>
      </c>
    </row>
    <row r="4" customFormat="false" ht="15" hidden="false" customHeight="false" outlineLevel="0" collapsed="false">
      <c r="A4" s="4" t="s">
        <v>184</v>
      </c>
      <c r="B4" s="4" t="s">
        <v>185</v>
      </c>
      <c r="C4" s="21" t="n">
        <v>2026</v>
      </c>
      <c r="D4" s="21" t="n">
        <v>4</v>
      </c>
      <c r="E4" s="4" t="s">
        <v>187</v>
      </c>
      <c r="F4" s="5" t="n">
        <f aca="false">Cashflow!E16</f>
        <v>66095.94</v>
      </c>
      <c r="G4" s="5" t="n">
        <f aca="false">Cashflow!E37</f>
        <v>0</v>
      </c>
      <c r="H4" s="5" t="n">
        <v>0</v>
      </c>
    </row>
    <row r="5" customFormat="false" ht="15" hidden="false" customHeight="false" outlineLevel="0" collapsed="false">
      <c r="A5" s="4" t="s">
        <v>184</v>
      </c>
      <c r="B5" s="4" t="s">
        <v>185</v>
      </c>
      <c r="C5" s="21" t="n">
        <v>2027</v>
      </c>
      <c r="D5" s="21" t="n">
        <v>1</v>
      </c>
      <c r="E5" s="4" t="s">
        <v>188</v>
      </c>
      <c r="F5" s="5" t="n">
        <f aca="false">Cashflow!F16</f>
        <v>56952.6</v>
      </c>
      <c r="G5" s="5" t="n">
        <f aca="false">Cashflow!F37</f>
        <v>239952.01</v>
      </c>
      <c r="H5" s="5" t="n">
        <v>0</v>
      </c>
    </row>
    <row r="6" customFormat="false" ht="15" hidden="false" customHeight="false" outlineLevel="0" collapsed="false">
      <c r="A6" s="4" t="s">
        <v>184</v>
      </c>
      <c r="B6" s="4" t="s">
        <v>185</v>
      </c>
      <c r="C6" s="21" t="n">
        <v>2027</v>
      </c>
      <c r="D6" s="21" t="n">
        <v>1</v>
      </c>
      <c r="E6" s="4" t="s">
        <v>189</v>
      </c>
      <c r="F6" s="5" t="n">
        <f aca="false">Cashflow!G16</f>
        <v>56952.6</v>
      </c>
      <c r="G6" s="5" t="n">
        <f aca="false">Cashflow!G37</f>
        <v>0</v>
      </c>
      <c r="H6" s="5" t="n">
        <v>0</v>
      </c>
    </row>
    <row r="7" customFormat="false" ht="15" hidden="false" customHeight="false" outlineLevel="0" collapsed="false">
      <c r="A7" s="4" t="s">
        <v>184</v>
      </c>
      <c r="B7" s="4" t="s">
        <v>185</v>
      </c>
      <c r="C7" s="21" t="n">
        <v>2027</v>
      </c>
      <c r="D7" s="21" t="n">
        <v>1</v>
      </c>
      <c r="E7" s="4" t="s">
        <v>190</v>
      </c>
      <c r="F7" s="5" t="n">
        <f aca="false">Cashflow!H16</f>
        <v>56952.6</v>
      </c>
      <c r="G7" s="5" t="n">
        <f aca="false">Cashflow!H37</f>
        <v>0</v>
      </c>
      <c r="H7" s="5" t="n">
        <v>0</v>
      </c>
    </row>
    <row r="8" customFormat="false" ht="15" hidden="false" customHeight="false" outlineLevel="0" collapsed="false">
      <c r="A8" s="4" t="s">
        <v>184</v>
      </c>
      <c r="B8" s="4" t="s">
        <v>185</v>
      </c>
      <c r="C8" s="21" t="n">
        <v>2027</v>
      </c>
      <c r="D8" s="21" t="n">
        <v>2</v>
      </c>
      <c r="E8" s="4" t="s">
        <v>191</v>
      </c>
      <c r="F8" s="5" t="n">
        <f aca="false">Cashflow!I16</f>
        <v>56952.6</v>
      </c>
      <c r="G8" s="5" t="n">
        <f aca="false">Cashflow!I37</f>
        <v>29994.01</v>
      </c>
      <c r="H8" s="5" t="n">
        <v>0</v>
      </c>
    </row>
    <row r="9" customFormat="false" ht="15" hidden="false" customHeight="false" outlineLevel="0" collapsed="false">
      <c r="A9" s="4" t="s">
        <v>184</v>
      </c>
      <c r="B9" s="4" t="s">
        <v>185</v>
      </c>
      <c r="C9" s="21" t="n">
        <v>2027</v>
      </c>
      <c r="D9" s="21" t="n">
        <v>2</v>
      </c>
      <c r="E9" s="4" t="s">
        <v>192</v>
      </c>
      <c r="F9" s="5" t="n">
        <f aca="false">Cashflow!J16</f>
        <v>56952.6</v>
      </c>
      <c r="G9" s="5" t="n">
        <f aca="false">Cashflow!J37</f>
        <v>0</v>
      </c>
      <c r="H9" s="5" t="n">
        <v>0</v>
      </c>
    </row>
    <row r="10" customFormat="false" ht="15" hidden="false" customHeight="false" outlineLevel="0" collapsed="false">
      <c r="A10" s="4" t="s">
        <v>184</v>
      </c>
      <c r="B10" s="4" t="s">
        <v>185</v>
      </c>
      <c r="C10" s="21" t="n">
        <v>2027</v>
      </c>
      <c r="D10" s="21" t="n">
        <v>2</v>
      </c>
      <c r="E10" s="4" t="s">
        <v>193</v>
      </c>
      <c r="F10" s="5" t="n">
        <f aca="false">Cashflow!K16</f>
        <v>56952.6</v>
      </c>
      <c r="G10" s="5" t="n">
        <f aca="false">Cashflow!K37</f>
        <v>0</v>
      </c>
      <c r="H10" s="5" t="n">
        <v>0</v>
      </c>
    </row>
    <row r="11" customFormat="false" ht="15" hidden="false" customHeight="false" outlineLevel="0" collapsed="false">
      <c r="A11" s="4" t="s">
        <v>184</v>
      </c>
      <c r="B11" s="4" t="s">
        <v>185</v>
      </c>
      <c r="C11" s="21" t="n">
        <v>2027</v>
      </c>
      <c r="D11" s="21" t="n">
        <v>3</v>
      </c>
      <c r="E11" s="4" t="s">
        <v>194</v>
      </c>
      <c r="F11" s="5" t="n">
        <f aca="false">Cashflow!L16</f>
        <v>51202.6</v>
      </c>
      <c r="G11" s="5" t="n">
        <f aca="false">Cashflow!L37</f>
        <v>0</v>
      </c>
      <c r="H11" s="5" t="n">
        <v>0</v>
      </c>
    </row>
    <row r="12" customFormat="false" ht="15" hidden="false" customHeight="false" outlineLevel="0" collapsed="false">
      <c r="A12" s="4" t="s">
        <v>184</v>
      </c>
      <c r="B12" s="4" t="s">
        <v>185</v>
      </c>
      <c r="C12" s="21" t="n">
        <v>2027</v>
      </c>
      <c r="D12" s="21" t="n">
        <v>3</v>
      </c>
      <c r="E12" s="4" t="s">
        <v>195</v>
      </c>
      <c r="F12" s="5" t="n">
        <f aca="false">Cashflow!M16</f>
        <v>51202.6</v>
      </c>
      <c r="G12" s="5" t="n">
        <f aca="false">Cashflow!M37</f>
        <v>0</v>
      </c>
      <c r="H12" s="5" t="n">
        <v>0</v>
      </c>
    </row>
    <row r="13" customFormat="false" ht="15" hidden="false" customHeight="false" outlineLevel="0" collapsed="false">
      <c r="A13" s="4" t="s">
        <v>184</v>
      </c>
      <c r="B13" s="4" t="s">
        <v>185</v>
      </c>
      <c r="C13" s="21" t="n">
        <v>2027</v>
      </c>
      <c r="D13" s="21" t="n">
        <v>3</v>
      </c>
      <c r="E13" s="4" t="s">
        <v>196</v>
      </c>
      <c r="F13" s="5" t="n">
        <v>0</v>
      </c>
      <c r="G13" s="5" t="n">
        <v>0</v>
      </c>
      <c r="H13" s="5" t="n">
        <f aca="false">IF(Założenia!$B$10=1,Cashflow!$N$37,0)</f>
        <v>0</v>
      </c>
    </row>
    <row r="14" customFormat="false" ht="15" hidden="false" customHeight="false" outlineLevel="0" collapsed="false">
      <c r="A14" s="4" t="s">
        <v>184</v>
      </c>
      <c r="B14" s="4" t="s">
        <v>185</v>
      </c>
      <c r="C14" s="21" t="n">
        <v>2027</v>
      </c>
      <c r="D14" s="21" t="n">
        <v>4</v>
      </c>
      <c r="E14" s="4" t="s">
        <v>197</v>
      </c>
      <c r="F14" s="5" t="n">
        <v>0</v>
      </c>
      <c r="G14" s="5" t="n">
        <v>0</v>
      </c>
      <c r="H14" s="5" t="n">
        <f aca="false">IF(Założenia!$B$10=2,Cashflow!$N$37,0)</f>
        <v>89982</v>
      </c>
    </row>
    <row r="15" customFormat="false" ht="15" hidden="false" customHeight="false" outlineLevel="0" collapsed="false">
      <c r="E15" s="8" t="s">
        <v>103</v>
      </c>
      <c r="F15" s="20" t="n">
        <f aca="false">SUM(F3:F14)</f>
        <v>705741.21</v>
      </c>
      <c r="G15" s="20" t="n">
        <f aca="false">SUM(G3:G14)</f>
        <v>509898.03</v>
      </c>
      <c r="H15" s="20" t="n">
        <f aca="false">SUM(H3:H14)</f>
        <v>89982</v>
      </c>
    </row>
    <row r="17" customFormat="false" ht="15" hidden="false" customHeight="false" outlineLevel="0" collapsed="false">
      <c r="A17" s="8" t="s">
        <v>198</v>
      </c>
      <c r="F17" s="5" t="n">
        <f aca="false">ROUND(F15-Cashflow!O16,2)</f>
        <v>0</v>
      </c>
      <c r="G17" s="8" t="str">
        <f aca="false">IF(ABS(F17)&lt;=0.05,"OK","SPRAWDŹ")</f>
        <v>OK</v>
      </c>
    </row>
    <row r="18" customFormat="false" ht="15" hidden="false" customHeight="false" outlineLevel="0" collapsed="false">
      <c r="A18" s="8" t="s">
        <v>199</v>
      </c>
      <c r="F18" s="5" t="n">
        <f aca="false">ROUND(G15+H15-Cashflow!B44,2)</f>
        <v>0</v>
      </c>
      <c r="G18" s="8" t="str">
        <f aca="false">IF(ABS(F18)&lt;=0.05,"OK","SPRAWDŹ")</f>
        <v>OK</v>
      </c>
    </row>
    <row r="20" customFormat="false" ht="15" hidden="false" customHeight="false" outlineLevel="0" collapsed="false">
      <c r="A20" s="2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2026-10-26T13:58:59Z</dcterms:created>
  <dc:creator>openpyxl</dc:creator>
  <dc:description/>
  <dc:language>en-US</dc:language>
  <cp:lastModifiedBy/>
  <dcterms:modified xsi:type="dcterms:W3CDTF">2026-10-26T13:58:59Z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