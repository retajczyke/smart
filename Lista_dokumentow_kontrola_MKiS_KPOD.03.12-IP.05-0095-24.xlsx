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okumentów" sheetId="1" state="visible" r:id="rId1"/>
    <sheet xmlns:r="http://schemas.openxmlformats.org/officeDocument/2006/relationships" name="Wskaźniki" sheetId="2" state="visible" r:id="rId2"/>
    <sheet xmlns:r="http://schemas.openxmlformats.org/officeDocument/2006/relationships" name="Uwagi" sheetId="3" state="visible" r:id="rId3"/>
  </sheets>
  <definedNames>
    <definedName name="_xlnm._FilterDatabase" localSheetId="0" hidden="1">'Lista dokumentów'!$A$1:$I$59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9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28" customWidth="1" min="4" max="4"/>
    <col width="20" customWidth="1" min="5" max="5"/>
    <col width="18" customWidth="1" min="6" max="6"/>
    <col width="14" customWidth="1" min="7" max="7"/>
    <col width="24" customWidth="1" min="8" max="8"/>
    <col width="42" customWidth="1" min="9" max="9"/>
  </cols>
  <sheetData>
    <row r="1">
      <c r="A1" s="1" t="inlineStr">
        <is>
          <t>Lp.</t>
        </is>
      </c>
      <c r="B1" s="1" t="inlineStr">
        <is>
          <t>Sekcja</t>
        </is>
      </c>
      <c r="C1" s="1" t="inlineStr">
        <is>
          <t>Dokument / czynność</t>
        </is>
      </c>
      <c r="D1" s="1" t="inlineStr">
        <is>
          <t>Podstawa</t>
        </is>
      </c>
      <c r="E1" s="1" t="inlineStr">
        <is>
          <t>Podmiot</t>
        </is>
      </c>
      <c r="F1" s="1" t="inlineStr">
        <is>
          <t>Odpowiedzialny</t>
        </is>
      </c>
      <c r="G1" s="1" t="inlineStr">
        <is>
          <t>Status</t>
        </is>
      </c>
      <c r="H1" s="1" t="inlineStr">
        <is>
          <t>Miejsce przechowywania</t>
        </is>
      </c>
      <c r="I1" s="1" t="inlineStr">
        <is>
          <t>Uwagi</t>
        </is>
      </c>
    </row>
    <row r="2">
      <c r="A2" s="2" t="n">
        <v>1</v>
      </c>
      <c r="B2" s="2" t="inlineStr">
        <is>
          <t>1. Formalne i umowne</t>
        </is>
      </c>
      <c r="C2" s="2" t="inlineStr">
        <is>
          <t>Umowa KPOD.03.12-IP.05-0095/24 z załącznikami nr 1-8</t>
        </is>
      </c>
      <c r="D2" s="2" t="inlineStr">
        <is>
          <t>Umowa</t>
        </is>
      </c>
      <c r="E2" s="2" t="inlineStr">
        <is>
          <t>ESA HUB</t>
        </is>
      </c>
      <c r="F2" s="2" t="inlineStr"/>
      <c r="G2" s="2" t="inlineStr">
        <is>
          <t>Do zebrania</t>
        </is>
      </c>
      <c r="H2" s="2" t="inlineStr"/>
      <c r="I2" s="2" t="inlineStr">
        <is>
          <t>Podpisana 28.10.2025 (w aneksie data 30.10.2025)</t>
        </is>
      </c>
    </row>
    <row r="3">
      <c r="A3" s="2" t="n">
        <v>2</v>
      </c>
      <c r="B3" s="2" t="inlineStr">
        <is>
          <t>1. Formalne i umowne</t>
        </is>
      </c>
      <c r="C3" s="2" t="inlineStr">
        <is>
          <t>Aneks nr 1 z zał. 1-4 (termin realizacji i kwalifikowalności do 30.06.2027)</t>
        </is>
      </c>
      <c r="D3" s="2" t="inlineStr">
        <is>
          <t>Aneks §1</t>
        </is>
      </c>
      <c r="E3" s="2" t="inlineStr">
        <is>
          <t>ESA HUB</t>
        </is>
      </c>
      <c r="F3" s="2" t="inlineStr"/>
      <c r="G3" s="2" t="inlineStr">
        <is>
          <t>Do zebrania</t>
        </is>
      </c>
      <c r="H3" s="2" t="inlineStr"/>
      <c r="I3" s="2" t="inlineStr">
        <is>
          <t>Zał. 3 Harmonogram, zał. 4 Opis Przedsięwzięcia – aktualne wersje</t>
        </is>
      </c>
    </row>
    <row r="4">
      <c r="A4" s="2" t="n">
        <v>3</v>
      </c>
      <c r="B4" s="2" t="inlineStr">
        <is>
          <t>1. Formalne i umowne</t>
        </is>
      </c>
      <c r="C4" s="2" t="inlineStr">
        <is>
          <t>Wniosek o objęcie wsparciem (CST2021) z załącznikami i skoroszytem</t>
        </is>
      </c>
      <c r="D4" s="2" t="inlineStr">
        <is>
          <t>Umowa §17 ust. 2</t>
        </is>
      </c>
      <c r="E4" s="2" t="inlineStr">
        <is>
          <t>ESA HUB</t>
        </is>
      </c>
      <c r="F4" s="2" t="inlineStr"/>
      <c r="G4" s="2" t="inlineStr">
        <is>
          <t>Do zebrania</t>
        </is>
      </c>
      <c r="H4" s="2" t="inlineStr"/>
      <c r="I4" s="2" t="inlineStr">
        <is>
          <t>Umowa ma pierwszeństwo przed Wnioskiem</t>
        </is>
      </c>
    </row>
    <row r="5">
      <c r="A5" s="2" t="n">
        <v>4</v>
      </c>
      <c r="B5" s="2" t="inlineStr">
        <is>
          <t>1. Formalne i umowne</t>
        </is>
      </c>
      <c r="C5" s="2" t="inlineStr">
        <is>
          <t>Aktualny odpis KRS i dokumenty umocowania osób podpisujących</t>
        </is>
      </c>
      <c r="D5" s="2" t="inlineStr">
        <is>
          <t>Umowa zał. 2</t>
        </is>
      </c>
      <c r="E5" s="2" t="inlineStr">
        <is>
          <t>ESA HUB</t>
        </is>
      </c>
      <c r="F5" s="2" t="inlineStr"/>
      <c r="G5" s="2" t="inlineStr">
        <is>
          <t>Do zebrania</t>
        </is>
      </c>
      <c r="H5" s="2" t="inlineStr"/>
      <c r="I5" s="2" t="inlineStr"/>
    </row>
    <row r="6">
      <c r="A6" s="2" t="n">
        <v>5</v>
      </c>
      <c r="B6" s="2" t="inlineStr">
        <is>
          <t>1. Formalne i umowne</t>
        </is>
      </c>
      <c r="C6" s="2" t="inlineStr">
        <is>
          <t>Porozumienie partnerskie z PW i SGGW</t>
        </is>
      </c>
      <c r="D6" s="2" t="inlineStr">
        <is>
          <t>Umowa §2 ust. 8</t>
        </is>
      </c>
      <c r="E6" s="2" t="inlineStr">
        <is>
          <t>ESA HUB + Partnerzy</t>
        </is>
      </c>
      <c r="F6" s="2" t="inlineStr"/>
      <c r="G6" s="2" t="inlineStr">
        <is>
          <t>Do zebrania</t>
        </is>
      </c>
      <c r="H6" s="2" t="inlineStr"/>
      <c r="I6" s="2" t="inlineStr">
        <is>
          <t>Role i obowiązki stron, odpowiedzialność za eksploatację</t>
        </is>
      </c>
    </row>
    <row r="7">
      <c r="A7" s="2" t="n">
        <v>6</v>
      </c>
      <c r="B7" s="2" t="inlineStr">
        <is>
          <t>1. Formalne i umowne</t>
        </is>
      </c>
      <c r="C7" s="2" t="inlineStr">
        <is>
          <t>Dowód, że OOW i Partnerzy nie są wzajemnie podwykonawcami/dostawcami i nie zatrudniają swoich pracowników</t>
        </is>
      </c>
      <c r="D7" s="2" t="inlineStr">
        <is>
          <t>Umowa §2 ust. 11</t>
        </is>
      </c>
      <c r="E7" s="2" t="inlineStr">
        <is>
          <t>ESA HUB + PW + SGGW</t>
        </is>
      </c>
      <c r="F7" s="2" t="inlineStr"/>
      <c r="G7" s="2" t="inlineStr">
        <is>
          <t>Do zebrania</t>
        </is>
      </c>
      <c r="H7" s="2" t="inlineStr"/>
      <c r="I7" s="2" t="inlineStr">
        <is>
          <t>Przegląd faktur i umów między podmiotami</t>
        </is>
      </c>
    </row>
    <row r="8">
      <c r="A8" s="2" t="n">
        <v>7</v>
      </c>
      <c r="B8" s="2" t="inlineStr">
        <is>
          <t>1. Formalne i umowne</t>
        </is>
      </c>
      <c r="C8" s="2" t="inlineStr">
        <is>
          <t>Oświadczenia o braku konfliktu interesów</t>
        </is>
      </c>
      <c r="D8" s="2" t="inlineStr">
        <is>
          <t>Umowa §2 ust. 12</t>
        </is>
      </c>
      <c r="E8" s="2" t="inlineStr">
        <is>
          <t>ESA HUB + PW + SGGW</t>
        </is>
      </c>
      <c r="F8" s="2" t="inlineStr"/>
      <c r="G8" s="2" t="inlineStr">
        <is>
          <t>Do zebrania</t>
        </is>
      </c>
      <c r="H8" s="2" t="inlineStr"/>
      <c r="I8" s="2" t="inlineStr"/>
    </row>
    <row r="9">
      <c r="A9" s="2" t="n">
        <v>8</v>
      </c>
      <c r="B9" s="2" t="inlineStr">
        <is>
          <t>1. Formalne i umowne</t>
        </is>
      </c>
      <c r="C9" s="2" t="inlineStr">
        <is>
          <t>Dokumenty klastra energii: umowa klastra, wpis do rejestru klastrów, lista członków</t>
        </is>
      </c>
      <c r="D9" s="2" t="inlineStr">
        <is>
          <t>Opis Przedsięwzięcia</t>
        </is>
      </c>
      <c r="E9" s="2" t="inlineStr">
        <is>
          <t>ESA HUB</t>
        </is>
      </c>
      <c r="F9" s="2" t="inlineStr"/>
      <c r="G9" s="2" t="inlineStr">
        <is>
          <t>Do zebrania</t>
        </is>
      </c>
      <c r="H9" s="2" t="inlineStr"/>
      <c r="I9" s="2" t="inlineStr"/>
    </row>
    <row r="10">
      <c r="A10" s="2" t="n">
        <v>9</v>
      </c>
      <c r="B10" s="2" t="inlineStr">
        <is>
          <t>1. Formalne i umowne</t>
        </is>
      </c>
      <c r="C10" s="2" t="inlineStr">
        <is>
          <t>Zgłoszenie Osoby Zarządzającej Przedsięwzięciem w CST2021 oraz potwierdzenia zapoznania osób z Regulaminem bezpiecznego użytkowania CST2021</t>
        </is>
      </c>
      <c r="D10" s="2" t="inlineStr">
        <is>
          <t>Umowa §14 ust. 2-4</t>
        </is>
      </c>
      <c r="E10" s="2" t="inlineStr">
        <is>
          <t>ESA HUB</t>
        </is>
      </c>
      <c r="F10" s="2" t="inlineStr"/>
      <c r="G10" s="2" t="inlineStr">
        <is>
          <t>Do zebrania</t>
        </is>
      </c>
      <c r="H10" s="2" t="inlineStr"/>
      <c r="I10" s="2" t="inlineStr"/>
    </row>
    <row r="11">
      <c r="A11" s="2" t="n">
        <v>10</v>
      </c>
      <c r="B11" s="2" t="inlineStr">
        <is>
          <t>1. Formalne i umowne</t>
        </is>
      </c>
      <c r="C11" s="2" t="inlineStr">
        <is>
          <t>Korespondencja z IOI: decyzje o aktualizacji harmonogramu, wezwania, odpowiedzi</t>
        </is>
      </c>
      <c r="D11" s="2" t="inlineStr">
        <is>
          <t>Umowa §3, §12</t>
        </is>
      </c>
      <c r="E11" s="2" t="inlineStr">
        <is>
          <t>ESA HUB</t>
        </is>
      </c>
      <c r="F11" s="2" t="inlineStr"/>
      <c r="G11" s="2" t="inlineStr">
        <is>
          <t>Do zebrania</t>
        </is>
      </c>
      <c r="H11" s="2" t="inlineStr"/>
      <c r="I11" s="2" t="inlineStr">
        <is>
          <t>Wydruk z CST2021 + maile (b222@klimat.gov.pl)</t>
        </is>
      </c>
    </row>
    <row r="12">
      <c r="A12" s="2" t="n">
        <v>11</v>
      </c>
      <c r="B12" s="2" t="inlineStr">
        <is>
          <t>1. Formalne i umowne</t>
        </is>
      </c>
      <c r="C12" s="2" t="inlineStr">
        <is>
          <t>Rejestr zagrożeń, uchybień i nieprawidłowości zgłoszonych IOI</t>
        </is>
      </c>
      <c r="D12" s="2" t="inlineStr">
        <is>
          <t>Umowa §9 ust. 7</t>
        </is>
      </c>
      <c r="E12" s="2" t="inlineStr">
        <is>
          <t>ESA HUB + PW + SGGW</t>
        </is>
      </c>
      <c r="F12" s="2" t="inlineStr"/>
      <c r="G12" s="2" t="inlineStr">
        <is>
          <t>Do zebrania</t>
        </is>
      </c>
      <c r="H12" s="2" t="inlineStr"/>
      <c r="I12" s="2" t="inlineStr"/>
    </row>
    <row r="13">
      <c r="A13" s="2" t="n">
        <v>12</v>
      </c>
      <c r="B13" s="2" t="inlineStr">
        <is>
          <t>1. Formalne i umowne</t>
        </is>
      </c>
      <c r="C13" s="2" t="inlineStr">
        <is>
          <t>Informacje o innych kontrolach (NIK, KAS, UZP, UOKiK itp.) i przekazane ustalenia</t>
        </is>
      </c>
      <c r="D13" s="2" t="inlineStr">
        <is>
          <t>Umowa §10 ust. 16, §4 ust. 25</t>
        </is>
      </c>
      <c r="E13" s="2" t="inlineStr">
        <is>
          <t>ESA HUB + PW + SGGW</t>
        </is>
      </c>
      <c r="F13" s="2" t="inlineStr"/>
      <c r="G13" s="2" t="inlineStr">
        <is>
          <t>Do zebrania</t>
        </is>
      </c>
      <c r="H13" s="2" t="inlineStr"/>
      <c r="I13" s="2" t="inlineStr">
        <is>
          <t>Termin przekazania: 7 dni</t>
        </is>
      </c>
    </row>
    <row r="14">
      <c r="A14" s="2" t="n">
        <v>13</v>
      </c>
      <c r="B14" s="2" t="inlineStr">
        <is>
          <t>1. Formalne i umowne</t>
        </is>
      </c>
      <c r="C14" s="2" t="inlineStr">
        <is>
          <t>Dokumenty z poprzednich kontroli IOI i dowody wdrożenia zaleceń</t>
        </is>
      </c>
      <c r="D14" s="2" t="inlineStr">
        <is>
          <t>Umowa §10, §16 ust. 1 pkt 4</t>
        </is>
      </c>
      <c r="E14" s="2" t="inlineStr">
        <is>
          <t>ESA HUB + PW + SGGW</t>
        </is>
      </c>
      <c r="F14" s="2" t="inlineStr"/>
      <c r="G14" s="2" t="inlineStr">
        <is>
          <t>Do zebrania</t>
        </is>
      </c>
      <c r="H14" s="2" t="inlineStr"/>
      <c r="I14" s="2" t="inlineStr">
        <is>
          <t>Jeśli była wcześniejsza kontrola</t>
        </is>
      </c>
    </row>
    <row r="15">
      <c r="A15" s="2" t="n">
        <v>14</v>
      </c>
      <c r="B15" s="2" t="inlineStr">
        <is>
          <t>2. Finanse i zabezpieczenie</t>
        </is>
      </c>
      <c r="C15" s="2" t="inlineStr">
        <is>
          <t>Weksel in blanco z deklaracją wekslową (zał. 8 do umowy) lub gwarancja + potwierdzenie złożenia przed 1. WoP</t>
        </is>
      </c>
      <c r="D15" s="2" t="inlineStr">
        <is>
          <t>Umowa §6</t>
        </is>
      </c>
      <c r="E15" s="2" t="inlineStr">
        <is>
          <t>ESA HUB</t>
        </is>
      </c>
      <c r="F15" s="2" t="inlineStr"/>
      <c r="G15" s="2" t="inlineStr">
        <is>
          <t>Do zebrania</t>
        </is>
      </c>
      <c r="H15" s="2" t="inlineStr"/>
      <c r="I15" s="2" t="inlineStr"/>
    </row>
    <row r="16">
      <c r="A16" s="2" t="n">
        <v>15</v>
      </c>
      <c r="B16" s="2" t="inlineStr">
        <is>
          <t>2. Finanse i zabezpieczenie</t>
        </is>
      </c>
      <c r="C16" s="2" t="inlineStr">
        <is>
          <t>Zaświadczenia banku o rachunkach NEST BANK (zaliczkowy i refundacyjny) oraz wyciągi</t>
        </is>
      </c>
      <c r="D16" s="2" t="inlineStr">
        <is>
          <t>Umowa §3 ust. 13, zał. 5</t>
        </is>
      </c>
      <c r="E16" s="2" t="inlineStr">
        <is>
          <t>ESA HUB</t>
        </is>
      </c>
      <c r="F16" s="2" t="inlineStr"/>
      <c r="G16" s="2" t="inlineStr">
        <is>
          <t>Do zebrania</t>
        </is>
      </c>
      <c r="H16" s="2" t="inlineStr"/>
      <c r="I16" s="2" t="inlineStr"/>
    </row>
    <row r="17">
      <c r="A17" s="2" t="n">
        <v>16</v>
      </c>
      <c r="B17" s="2" t="inlineStr">
        <is>
          <t>2. Finanse i zabezpieczenie</t>
        </is>
      </c>
      <c r="C17" s="2" t="inlineStr">
        <is>
          <t>Zatwierdzone WoP z załącznikami i historia weryfikacji w CST2021</t>
        </is>
      </c>
      <c r="D17" s="2" t="inlineStr">
        <is>
          <t>Umowa §4</t>
        </is>
      </c>
      <c r="E17" s="2" t="inlineStr">
        <is>
          <t>ESA HUB</t>
        </is>
      </c>
      <c r="F17" s="2" t="inlineStr"/>
      <c r="G17" s="2" t="inlineStr">
        <is>
          <t>Do zebrania</t>
        </is>
      </c>
      <c r="H17" s="2" t="inlineStr"/>
      <c r="I17" s="2" t="inlineStr">
        <is>
          <t>WoP nie rzadziej niż raz na kwartał</t>
        </is>
      </c>
    </row>
    <row r="18">
      <c r="A18" s="2" t="n">
        <v>17</v>
      </c>
      <c r="B18" s="2" t="inlineStr">
        <is>
          <t>2. Finanse i zabezpieczenie</t>
        </is>
      </c>
      <c r="C18" s="2" t="inlineStr">
        <is>
          <t>Rozliczenie zaliczek (3 miesiące, próg 70% przed kolejną transzą)</t>
        </is>
      </c>
      <c r="D18" s="2" t="inlineStr">
        <is>
          <t>Umowa §3 ust. 10-11</t>
        </is>
      </c>
      <c r="E18" s="2" t="inlineStr">
        <is>
          <t>ESA HUB</t>
        </is>
      </c>
      <c r="F18" s="2" t="inlineStr"/>
      <c r="G18" s="2" t="inlineStr">
        <is>
          <t>Do zebrania</t>
        </is>
      </c>
      <c r="H18" s="2" t="inlineStr"/>
      <c r="I18" s="2" t="inlineStr"/>
    </row>
    <row r="19">
      <c r="A19" s="2" t="n">
        <v>18</v>
      </c>
      <c r="B19" s="2" t="inlineStr">
        <is>
          <t>2. Finanse i zabezpieczenie</t>
        </is>
      </c>
      <c r="C19" s="2" t="inlineStr">
        <is>
          <t>Zwrot odsetek od środków zaliczki na konto PFR (jeśli dotyczy)</t>
        </is>
      </c>
      <c r="D19" s="2" t="inlineStr">
        <is>
          <t>Umowa §3 ust. 16</t>
        </is>
      </c>
      <c r="E19" s="2" t="inlineStr">
        <is>
          <t>ESA HUB</t>
        </is>
      </c>
      <c r="F19" s="2" t="inlineStr"/>
      <c r="G19" s="2" t="inlineStr">
        <is>
          <t>Do zebrania</t>
        </is>
      </c>
      <c r="H19" s="2" t="inlineStr"/>
      <c r="I19" s="2" t="inlineStr"/>
    </row>
    <row r="20">
      <c r="A20" s="2" t="n">
        <v>19</v>
      </c>
      <c r="B20" s="2" t="inlineStr">
        <is>
          <t>2. Finanse i zabezpieczenie</t>
        </is>
      </c>
      <c r="C20" s="2" t="inlineStr">
        <is>
          <t>Aktualizacje Harmonogramu Płatności (co najmniej raz na 6 mies.) i Harmonogramu Przedsięwzięcia</t>
        </is>
      </c>
      <c r="D20" s="2" t="inlineStr">
        <is>
          <t>Umowa §3 ust. 3-5</t>
        </is>
      </c>
      <c r="E20" s="2" t="inlineStr">
        <is>
          <t>ESA HUB</t>
        </is>
      </c>
      <c r="F20" s="2" t="inlineStr"/>
      <c r="G20" s="2" t="inlineStr">
        <is>
          <t>Do zebrania</t>
        </is>
      </c>
      <c r="H20" s="2" t="inlineStr"/>
      <c r="I20" s="2" t="inlineStr"/>
    </row>
    <row r="21">
      <c r="A21" s="2" t="n">
        <v>20</v>
      </c>
      <c r="B21" s="2" t="inlineStr">
        <is>
          <t>2. Finanse i zabezpieczenie</t>
        </is>
      </c>
      <c r="C21" s="2" t="inlineStr">
        <is>
          <t>Polityka rachunkowości, zakładowy plan kont, dowód wyodrębnionej ewidencji księgowej projektu</t>
        </is>
      </c>
      <c r="D21" s="2" t="inlineStr">
        <is>
          <t>Umowa §7 ust. 1-2</t>
        </is>
      </c>
      <c r="E21" s="2" t="inlineStr">
        <is>
          <t>ESA HUB + PW + SGGW</t>
        </is>
      </c>
      <c r="F21" s="2" t="inlineStr"/>
      <c r="G21" s="2" t="inlineStr">
        <is>
          <t>Do zebrania</t>
        </is>
      </c>
      <c r="H21" s="2" t="inlineStr"/>
      <c r="I21" s="2" t="inlineStr"/>
    </row>
    <row r="22">
      <c r="A22" s="2" t="n">
        <v>21</v>
      </c>
      <c r="B22" s="2" t="inlineStr">
        <is>
          <t>2. Finanse i zabezpieczenie</t>
        </is>
      </c>
      <c r="C22" s="2" t="inlineStr">
        <is>
          <t>Procedury bezpieczeństwa systemu finansowo-księgowego</t>
        </is>
      </c>
      <c r="D22" s="2" t="inlineStr">
        <is>
          <t>Umowa §7 ust. 7</t>
        </is>
      </c>
      <c r="E22" s="2" t="inlineStr">
        <is>
          <t>ESA HUB + PW + SGGW</t>
        </is>
      </c>
      <c r="F22" s="2" t="inlineStr"/>
      <c r="G22" s="2" t="inlineStr">
        <is>
          <t>Do zebrania</t>
        </is>
      </c>
      <c r="H22" s="2" t="inlineStr"/>
      <c r="I22" s="2" t="inlineStr">
        <is>
          <t>Art. 10 ust. 1 pkt 3 lit. c ustawy o rachunkowości</t>
        </is>
      </c>
    </row>
    <row r="23">
      <c r="A23" s="2" t="n">
        <v>22</v>
      </c>
      <c r="B23" s="2" t="inlineStr">
        <is>
          <t>2. Finanse i zabezpieczenie</t>
        </is>
      </c>
      <c r="C23" s="2" t="inlineStr">
        <is>
          <t>Dowód wniesienia Wkładu finansowego 3 335 932,50 zł i oświadczenia o źródle (nie ze środków publicznych innego programu)</t>
        </is>
      </c>
      <c r="D23" s="2" t="inlineStr">
        <is>
          <t>Umowa §2 ust. 6</t>
        </is>
      </c>
      <c r="E23" s="2" t="inlineStr">
        <is>
          <t>ESA HUB + PW + SGGW</t>
        </is>
      </c>
      <c r="F23" s="2" t="inlineStr"/>
      <c r="G23" s="2" t="inlineStr">
        <is>
          <t>Do zebrania</t>
        </is>
      </c>
      <c r="H23" s="2" t="inlineStr"/>
      <c r="I23" s="2" t="inlineStr">
        <is>
          <t>Zweryfikować dla PW i SGGW jako jednostek publicznych</t>
        </is>
      </c>
    </row>
    <row r="24">
      <c r="A24" s="2" t="n">
        <v>23</v>
      </c>
      <c r="B24" s="2" t="inlineStr">
        <is>
          <t>2. Finanse i zabezpieczenie</t>
        </is>
      </c>
      <c r="C24" s="2" t="inlineStr">
        <is>
          <t>Oświadczenie o braku podwójnego finansowania</t>
        </is>
      </c>
      <c r="D24" s="2" t="inlineStr">
        <is>
          <t>Umowa §2 ust. 13</t>
        </is>
      </c>
      <c r="E24" s="2" t="inlineStr">
        <is>
          <t>ESA HUB + PW + SGGW</t>
        </is>
      </c>
      <c r="F24" s="2" t="inlineStr"/>
      <c r="G24" s="2" t="inlineStr">
        <is>
          <t>Do zebrania</t>
        </is>
      </c>
      <c r="H24" s="2" t="inlineStr"/>
      <c r="I24" s="2" t="inlineStr"/>
    </row>
    <row r="25">
      <c r="A25" s="2" t="n">
        <v>24</v>
      </c>
      <c r="B25" s="2" t="inlineStr">
        <is>
          <t>2. Finanse i zabezpieczenie</t>
        </is>
      </c>
      <c r="C25" s="2" t="inlineStr">
        <is>
          <t>Pomoc publiczna GBER art. 49 (zadania Z.3, Z.13): dokumenty uzasadniające intensywność 80%, efekt zachęty (wniosek przed rozpoczęciem prac)</t>
        </is>
      </c>
      <c r="D25" s="2" t="inlineStr">
        <is>
          <t>Wniosek, zał. 9 do Regulaminu</t>
        </is>
      </c>
      <c r="E25" s="2" t="inlineStr">
        <is>
          <t>ESA HUB</t>
        </is>
      </c>
      <c r="F25" s="2" t="inlineStr"/>
      <c r="G25" s="2" t="inlineStr">
        <is>
          <t>Do zebrania</t>
        </is>
      </c>
      <c r="H25" s="2" t="inlineStr"/>
      <c r="I25" s="2" t="inlineStr">
        <is>
          <t>Zadanie 3 startuje 2025-06-02 – sprawdzić datę wniosku</t>
        </is>
      </c>
    </row>
    <row r="26">
      <c r="A26" s="2" t="n">
        <v>25</v>
      </c>
      <c r="B26" s="2" t="inlineStr">
        <is>
          <t>2. Finanse i zabezpieczenie</t>
        </is>
      </c>
      <c r="C26" s="2" t="inlineStr">
        <is>
          <t>Pomoc de minimis (Z.11 i koszty pośrednie): zaświadczenia i oświadczenia de minimis, rejestr udzielonej pomocy</t>
        </is>
      </c>
      <c r="D26" s="2" t="inlineStr">
        <is>
          <t>Wniosek, zał. 9 do Regulaminu</t>
        </is>
      </c>
      <c r="E26" s="2" t="inlineStr">
        <is>
          <t>ESA HUB</t>
        </is>
      </c>
      <c r="F26" s="2" t="inlineStr"/>
      <c r="G26" s="2" t="inlineStr">
        <is>
          <t>Do zebrania</t>
        </is>
      </c>
      <c r="H26" s="2" t="inlineStr"/>
      <c r="I26" s="2" t="inlineStr"/>
    </row>
    <row r="27">
      <c r="A27" s="2" t="n">
        <v>26</v>
      </c>
      <c r="B27" s="2" t="inlineStr">
        <is>
          <t>2. Finanse i zabezpieczenie</t>
        </is>
      </c>
      <c r="C27" s="2" t="inlineStr">
        <is>
          <t>Dokumenty pomocy publicznej – przechowywanie 10 lat od przyznania</t>
        </is>
      </c>
      <c r="D27" s="2" t="inlineStr">
        <is>
          <t>Umowa §7 ust. 4</t>
        </is>
      </c>
      <c r="E27" s="2" t="inlineStr">
        <is>
          <t>ESA HUB</t>
        </is>
      </c>
      <c r="F27" s="2" t="inlineStr"/>
      <c r="G27" s="2" t="inlineStr">
        <is>
          <t>Do zebrania</t>
        </is>
      </c>
      <c r="H27" s="2" t="inlineStr"/>
      <c r="I27" s="2" t="inlineStr"/>
    </row>
    <row r="28">
      <c r="A28" s="2" t="n">
        <v>27</v>
      </c>
      <c r="B28" s="2" t="inlineStr">
        <is>
          <t>3. Wydatki (każde z 15 zadań)</t>
        </is>
      </c>
      <c r="C28" s="2" t="inlineStr">
        <is>
          <t>Faktury i dokumenty równoważne (skany z oryginałów lub e-oryginały z podpisem)</t>
        </is>
      </c>
      <c r="D28" s="2" t="inlineStr">
        <is>
          <t>Umowa §4 ust. 17, zał. 8</t>
        </is>
      </c>
      <c r="E28" s="2" t="inlineStr">
        <is>
          <t>ESA HUB + PW + SGGW</t>
        </is>
      </c>
      <c r="F28" s="2" t="inlineStr"/>
      <c r="G28" s="2" t="inlineStr">
        <is>
          <t>Do zebrania</t>
        </is>
      </c>
      <c r="H28" s="2" t="inlineStr"/>
      <c r="I28" s="2" t="inlineStr">
        <is>
          <t>Oryginały dostępne na kontroli (§14 ust. 10)</t>
        </is>
      </c>
    </row>
    <row r="29">
      <c r="A29" s="2" t="n">
        <v>28</v>
      </c>
      <c r="B29" s="2" t="inlineStr">
        <is>
          <t>3. Wydatki (każde z 15 zadań)</t>
        </is>
      </c>
      <c r="C29" s="2" t="inlineStr">
        <is>
          <t>Dowody zapłaty i wyciągi bankowe z rachunków projektowych</t>
        </is>
      </c>
      <c r="D29" s="2" t="inlineStr">
        <is>
          <t>Umowa §3 ust. 13, §4</t>
        </is>
      </c>
      <c r="E29" s="2" t="inlineStr">
        <is>
          <t>ESA HUB + PW + SGGW</t>
        </is>
      </c>
      <c r="F29" s="2" t="inlineStr"/>
      <c r="G29" s="2" t="inlineStr">
        <is>
          <t>Do zebrania</t>
        </is>
      </c>
      <c r="H29" s="2" t="inlineStr"/>
      <c r="I29" s="2" t="inlineStr"/>
    </row>
    <row r="30">
      <c r="A30" s="2" t="n">
        <v>29</v>
      </c>
      <c r="B30" s="2" t="inlineStr">
        <is>
          <t>3. Wydatki (każde z 15 zadań)</t>
        </is>
      </c>
      <c r="C30" s="2" t="inlineStr">
        <is>
          <t>Umowy z wykonawcami wraz z aneksami, protokoły odbioru, zestawienia</t>
        </is>
      </c>
      <c r="D30" s="2" t="inlineStr">
        <is>
          <t>Zał. 8 do Regulaminu</t>
        </is>
      </c>
      <c r="E30" s="2" t="inlineStr">
        <is>
          <t>ESA HUB + PW + SGGW</t>
        </is>
      </c>
      <c r="F30" s="2" t="inlineStr"/>
      <c r="G30" s="2" t="inlineStr">
        <is>
          <t>Do zebrania</t>
        </is>
      </c>
      <c r="H30" s="2" t="inlineStr"/>
      <c r="I30" s="2" t="inlineStr"/>
    </row>
    <row r="31">
      <c r="A31" s="2" t="n">
        <v>30</v>
      </c>
      <c r="B31" s="2" t="inlineStr">
        <is>
          <t>3. Wydatki (każde z 15 zadań)</t>
        </is>
      </c>
      <c r="C31" s="2" t="inlineStr">
        <is>
          <t>Dekretacja i wydruki z ewidencji wyodrębnionej</t>
        </is>
      </c>
      <c r="D31" s="2" t="inlineStr">
        <is>
          <t>Umowa §7 ust. 2</t>
        </is>
      </c>
      <c r="E31" s="2" t="inlineStr">
        <is>
          <t>ESA HUB + PW + SGGW</t>
        </is>
      </c>
      <c r="F31" s="2" t="inlineStr"/>
      <c r="G31" s="2" t="inlineStr">
        <is>
          <t>Do zebrania</t>
        </is>
      </c>
      <c r="H31" s="2" t="inlineStr"/>
      <c r="I31" s="2" t="inlineStr"/>
    </row>
    <row r="32">
      <c r="A32" s="2" t="n">
        <v>31</v>
      </c>
      <c r="B32" s="2" t="inlineStr">
        <is>
          <t>3. Wydatki (każde z 15 zadań)</t>
        </is>
      </c>
      <c r="C32" s="2" t="inlineStr">
        <is>
          <t>Weryfikacja okresu kwalifikowalności (od 28.03.2024 do 30.06.2027) i VAT jako niekwalifikowanego</t>
        </is>
      </c>
      <c r="D32" s="2" t="inlineStr">
        <is>
          <t>Umowa §4 ust. 1, 15; Aneks</t>
        </is>
      </c>
      <c r="E32" s="2" t="inlineStr">
        <is>
          <t>ESA HUB + PW + SGGW</t>
        </is>
      </c>
      <c r="F32" s="2" t="inlineStr"/>
      <c r="G32" s="2" t="inlineStr">
        <is>
          <t>Do zebrania</t>
        </is>
      </c>
      <c r="H32" s="2" t="inlineStr"/>
      <c r="I32" s="2" t="inlineStr">
        <is>
          <t>Zadania SGGW zaczynają się od 2024-06-07</t>
        </is>
      </c>
    </row>
    <row r="33">
      <c r="A33" s="2" t="n">
        <v>32</v>
      </c>
      <c r="B33" s="2" t="inlineStr">
        <is>
          <t>3. Wydatki (każde z 15 zadań)</t>
        </is>
      </c>
      <c r="C33" s="2" t="inlineStr">
        <is>
          <t>Opis i uzasadnienie wydatków we WoP, zgodność z Harmonogramem Przedsięwzięcia</t>
        </is>
      </c>
      <c r="D33" s="2" t="inlineStr">
        <is>
          <t>Umowa §4 ust. 14</t>
        </is>
      </c>
      <c r="E33" s="2" t="inlineStr">
        <is>
          <t>ESA HUB</t>
        </is>
      </c>
      <c r="F33" s="2" t="inlineStr"/>
      <c r="G33" s="2" t="inlineStr">
        <is>
          <t>Do zebrania</t>
        </is>
      </c>
      <c r="H33" s="2" t="inlineStr"/>
      <c r="I33" s="2" t="inlineStr"/>
    </row>
    <row r="34">
      <c r="A34" s="2" t="n">
        <v>33</v>
      </c>
      <c r="B34" s="2" t="inlineStr">
        <is>
          <t>3. Wydatki (każde z 15 zadań)</t>
        </is>
      </c>
      <c r="C34" s="2" t="inlineStr">
        <is>
          <t>Wyliczenie ryczałtu kosztów pośrednich 1% (140 883,25 zł)</t>
        </is>
      </c>
      <c r="D34" s="2" t="inlineStr">
        <is>
          <t>Umowa §4 ust. 13</t>
        </is>
      </c>
      <c r="E34" s="2" t="inlineStr">
        <is>
          <t>ESA HUB</t>
        </is>
      </c>
      <c r="F34" s="2" t="inlineStr"/>
      <c r="G34" s="2" t="inlineStr">
        <is>
          <t>Do zebrania</t>
        </is>
      </c>
      <c r="H34" s="2" t="inlineStr"/>
      <c r="I34" s="2" t="inlineStr">
        <is>
          <t>Wypłata po wykazaniu wydatków bezpośrednich; nie dla zaliczki</t>
        </is>
      </c>
    </row>
    <row r="35">
      <c r="A35" s="2" t="n">
        <v>34</v>
      </c>
      <c r="B35" s="2" t="inlineStr">
        <is>
          <t>3. Wydatki (każde z 15 zadań)</t>
        </is>
      </c>
      <c r="C35" s="2" t="inlineStr">
        <is>
          <t>Dokumenty personelu: umowy, zakresy, karty czasu pracy, listy płac, ZUS; wpis w module Baza personelu CST2021</t>
        </is>
      </c>
      <c r="D35" s="2" t="inlineStr">
        <is>
          <t>Umowa §14 ust. 13</t>
        </is>
      </c>
      <c r="E35" s="2" t="inlineStr">
        <is>
          <t>ESA HUB + PW + SGGW</t>
        </is>
      </c>
      <c r="F35" s="2" t="inlineStr"/>
      <c r="G35" s="2" t="inlineStr">
        <is>
          <t>Do zebrania</t>
        </is>
      </c>
      <c r="H35" s="2" t="inlineStr"/>
      <c r="I35" s="2" t="inlineStr">
        <is>
          <t>Nie dotyczy personelu rozliczanego w kosztach pośrednich</t>
        </is>
      </c>
    </row>
    <row r="36">
      <c r="A36" s="2" t="n">
        <v>35</v>
      </c>
      <c r="B36" s="2" t="inlineStr">
        <is>
          <t>4. Zamówienia</t>
        </is>
      </c>
      <c r="C36" s="2" t="inlineStr">
        <is>
          <t>Dokumentacja postępowań Pzp (SWZ, ogłoszenia, oferty, protokół, umowa, informacja o wyniku, rejestr w CST2021)</t>
        </is>
      </c>
      <c r="D36" s="2" t="inlineStr">
        <is>
          <t>Umowa §4 ust. 21, §14 ust. 1</t>
        </is>
      </c>
      <c r="E36" s="2" t="inlineStr">
        <is>
          <t>PW + SGGW</t>
        </is>
      </c>
      <c r="F36" s="2" t="inlineStr"/>
      <c r="G36" s="2" t="inlineStr">
        <is>
          <t>Do zebrania</t>
        </is>
      </c>
      <c r="H36" s="2" t="inlineStr"/>
      <c r="I36" s="2" t="inlineStr">
        <is>
          <t>W tym przetargi: nowy kampus SGGW, systemy zarządzania energią</t>
        </is>
      </c>
    </row>
    <row r="37">
      <c r="A37" s="2" t="n">
        <v>36</v>
      </c>
      <c r="B37" s="2" t="inlineStr">
        <is>
          <t>4. Zamówienia</t>
        </is>
      </c>
      <c r="C37" s="2" t="inlineStr">
        <is>
          <t>Postępowania poza Pzp: zapytania ofertowe, oferty, tabela porównawcza, uzasadnienie wyboru, umowa pisemna</t>
        </is>
      </c>
      <c r="D37" s="2" t="inlineStr">
        <is>
          <t>Umowa §4 ust. 22</t>
        </is>
      </c>
      <c r="E37" s="2" t="inlineStr">
        <is>
          <t>ESA HUB</t>
        </is>
      </c>
      <c r="F37" s="2" t="inlineStr"/>
      <c r="G37" s="2" t="inlineStr">
        <is>
          <t>Do zebrania</t>
        </is>
      </c>
      <c r="H37" s="2" t="inlineStr"/>
      <c r="I37" s="2" t="inlineStr">
        <is>
          <t>Jeśli ESA HUB nie jest zamawiającym w rozumieniu Pzp</t>
        </is>
      </c>
    </row>
    <row r="38">
      <c r="A38" s="2" t="n">
        <v>37</v>
      </c>
      <c r="B38" s="2" t="inlineStr">
        <is>
          <t>4. Zamówienia</t>
        </is>
      </c>
      <c r="C38" s="2" t="inlineStr">
        <is>
          <t>Oświadczenia o bezstronności osób przygotowujących i przeprowadzających postępowania</t>
        </is>
      </c>
      <c r="D38" s="2" t="inlineStr">
        <is>
          <t>Umowa §4 ust. 22 pkt 4</t>
        </is>
      </c>
      <c r="E38" s="2" t="inlineStr">
        <is>
          <t>ESA HUB + PW + SGGW</t>
        </is>
      </c>
      <c r="F38" s="2" t="inlineStr"/>
      <c r="G38" s="2" t="inlineStr">
        <is>
          <t>Do zebrania</t>
        </is>
      </c>
      <c r="H38" s="2" t="inlineStr"/>
      <c r="I38" s="2" t="inlineStr"/>
    </row>
    <row r="39">
      <c r="A39" s="2" t="n">
        <v>38</v>
      </c>
      <c r="B39" s="2" t="inlineStr">
        <is>
          <t>5. Dokumentacja techniczna</t>
        </is>
      </c>
      <c r="C39" s="2" t="inlineStr">
        <is>
          <t>Dokumentacja inwestycyjna: PFU, koncepcje, projekty, ekspertyzy, pozwolenia na budowę/zgłoszenia</t>
        </is>
      </c>
      <c r="D39" s="2" t="inlineStr">
        <is>
          <t>Wniosek (CZ II)</t>
        </is>
      </c>
      <c r="E39" s="2" t="inlineStr">
        <is>
          <t>PW + SGGW</t>
        </is>
      </c>
      <c r="F39" s="2" t="inlineStr"/>
      <c r="G39" s="2" t="inlineStr">
        <is>
          <t>Do zebrania</t>
        </is>
      </c>
      <c r="H39" s="2" t="inlineStr"/>
      <c r="I39" s="2" t="inlineStr"/>
    </row>
    <row r="40">
      <c r="A40" s="2" t="n">
        <v>39</v>
      </c>
      <c r="B40" s="2" t="inlineStr">
        <is>
          <t>5. Dokumentacja techniczna</t>
        </is>
      </c>
      <c r="C40" s="2" t="inlineStr">
        <is>
          <t>Umowy o przyłączenie do sieci i dokumenty przyłączeniowe OSD</t>
        </is>
      </c>
      <c r="D40" s="2" t="inlineStr">
        <is>
          <t>Wniosek</t>
        </is>
      </c>
      <c r="E40" s="2" t="inlineStr">
        <is>
          <t>PW + SGGW</t>
        </is>
      </c>
      <c r="F40" s="2" t="inlineStr"/>
      <c r="G40" s="2" t="inlineStr">
        <is>
          <t>Do zebrania</t>
        </is>
      </c>
      <c r="H40" s="2" t="inlineStr"/>
      <c r="I40" s="2" t="inlineStr"/>
    </row>
    <row r="41">
      <c r="A41" s="2" t="n">
        <v>40</v>
      </c>
      <c r="B41" s="2" t="inlineStr">
        <is>
          <t>5. Dokumentacja techniczna</t>
        </is>
      </c>
      <c r="C41" s="2" t="inlineStr">
        <is>
          <t>Protokoły odbioru końcowego, dowody OT, dokumentacja powykonawcza (PV, magazyn, wodór, EMS/HoP)</t>
        </is>
      </c>
      <c r="D41" s="2" t="inlineStr">
        <is>
          <t>Zał. 4 do Aneksu</t>
        </is>
      </c>
      <c r="E41" s="2" t="inlineStr">
        <is>
          <t>PW + SGGW + ESA HUB</t>
        </is>
      </c>
      <c r="F41" s="2" t="inlineStr"/>
      <c r="G41" s="2" t="inlineStr">
        <is>
          <t>Do zebrania</t>
        </is>
      </c>
      <c r="H41" s="2" t="inlineStr"/>
      <c r="I41" s="2" t="inlineStr"/>
    </row>
    <row r="42">
      <c r="A42" s="2" t="n">
        <v>41</v>
      </c>
      <c r="B42" s="2" t="inlineStr">
        <is>
          <t>5. Dokumentacja techniczna</t>
        </is>
      </c>
      <c r="C42" s="2" t="inlineStr">
        <is>
          <t>Wpis do rejestru wytwórców / koncesja lub dowód zwolnienia; certyfikaty urządzeń</t>
        </is>
      </c>
      <c r="D42" s="2" t="inlineStr">
        <is>
          <t>Przepisy o OZE</t>
        </is>
      </c>
      <c r="E42" s="2" t="inlineStr">
        <is>
          <t>PW + SGGW</t>
        </is>
      </c>
      <c r="F42" s="2" t="inlineStr"/>
      <c r="G42" s="2" t="inlineStr">
        <is>
          <t>Do zebrania</t>
        </is>
      </c>
      <c r="H42" s="2" t="inlineStr"/>
      <c r="I42" s="2" t="inlineStr"/>
    </row>
    <row r="43">
      <c r="A43" s="2" t="n">
        <v>42</v>
      </c>
      <c r="B43" s="2" t="inlineStr">
        <is>
          <t>5. Dokumentacja techniczna</t>
        </is>
      </c>
      <c r="C43" s="2" t="inlineStr">
        <is>
          <t>Oprogramowanie: umowy licencyjne, protokoły wdrożenia i odbioru, dokumentacja testów, prawa do dysponowania systemem</t>
        </is>
      </c>
      <c r="D43" s="2" t="inlineStr">
        <is>
          <t>Wniosek (Z.3, Z.4, Z.5)</t>
        </is>
      </c>
      <c r="E43" s="2" t="inlineStr">
        <is>
          <t>ESA HUB + PW</t>
        </is>
      </c>
      <c r="F43" s="2" t="inlineStr"/>
      <c r="G43" s="2" t="inlineStr">
        <is>
          <t>Do zebrania</t>
        </is>
      </c>
      <c r="H43" s="2" t="inlineStr"/>
      <c r="I43" s="2" t="inlineStr"/>
    </row>
    <row r="44">
      <c r="A44" s="2" t="n">
        <v>43</v>
      </c>
      <c r="B44" s="2" t="inlineStr">
        <is>
          <t>5. Dokumentacja techniczna</t>
        </is>
      </c>
      <c r="C44" s="2" t="inlineStr">
        <is>
          <t>Dokumentacja fotograficzna z postępu prac z oznaczeniami KPO</t>
        </is>
      </c>
      <c r="D44" s="2" t="inlineStr">
        <is>
          <t>Umowa §11</t>
        </is>
      </c>
      <c r="E44" s="2" t="inlineStr">
        <is>
          <t>ESA HUB + PW + SGGW</t>
        </is>
      </c>
      <c r="F44" s="2" t="inlineStr"/>
      <c r="G44" s="2" t="inlineStr">
        <is>
          <t>Do zebrania</t>
        </is>
      </c>
      <c r="H44" s="2" t="inlineStr"/>
      <c r="I44" s="2" t="inlineStr"/>
    </row>
    <row r="45">
      <c r="A45" s="2" t="n">
        <v>44</v>
      </c>
      <c r="B45" s="2" t="inlineStr">
        <is>
          <t>5. Dokumentacja techniczna</t>
        </is>
      </c>
      <c r="C45" s="2" t="inlineStr">
        <is>
          <t>Analizy i ekspertyzy (Z.13, Z.14) z protokołami odbioru – 8 szt.</t>
        </is>
      </c>
      <c r="D45" s="2" t="inlineStr">
        <is>
          <t>Zał. 4 do Aneksu</t>
        </is>
      </c>
      <c r="E45" s="2" t="inlineStr">
        <is>
          <t>ESA HUB + PW</t>
        </is>
      </c>
      <c r="F45" s="2" t="inlineStr"/>
      <c r="G45" s="2" t="inlineStr">
        <is>
          <t>Do zebrania</t>
        </is>
      </c>
      <c r="H45" s="2" t="inlineStr"/>
      <c r="I45" s="2" t="inlineStr"/>
    </row>
    <row r="46">
      <c r="A46" s="2" t="n">
        <v>45</v>
      </c>
      <c r="B46" s="2" t="inlineStr">
        <is>
          <t>5. Dokumentacja techniczna</t>
        </is>
      </c>
      <c r="C46" s="2" t="inlineStr">
        <is>
          <t>Prawa do dysponowania nieruchomościami (dachy, grunty): CEZAMAT PW i 4 lokalizacje SGGW</t>
        </is>
      </c>
      <c r="D46" s="2" t="inlineStr">
        <is>
          <t>Wniosek</t>
        </is>
      </c>
      <c r="E46" s="2" t="inlineStr">
        <is>
          <t>PW + SGGW</t>
        </is>
      </c>
      <c r="F46" s="2" t="inlineStr"/>
      <c r="G46" s="2" t="inlineStr">
        <is>
          <t>Do zebrania</t>
        </is>
      </c>
      <c r="H46" s="2" t="inlineStr"/>
      <c r="I46" s="2" t="inlineStr"/>
    </row>
    <row r="47">
      <c r="A47" s="2" t="n">
        <v>46</v>
      </c>
      <c r="B47" s="2" t="inlineStr">
        <is>
          <t>6. Wskaźniki</t>
        </is>
      </c>
      <c r="C47" s="2" t="inlineStr">
        <is>
          <t>Wyliczenie osiągniętych wartości wszystkich wskaźników produktu na dzień kontroli – patrz arkusz „Wskaźniki”</t>
        </is>
      </c>
      <c r="D47" s="2" t="inlineStr">
        <is>
          <t>Umowa §9, zał. 4</t>
        </is>
      </c>
      <c r="E47" s="2" t="inlineStr">
        <is>
          <t>ESA HUB + PW + SGGW</t>
        </is>
      </c>
      <c r="F47" s="2" t="inlineStr"/>
      <c r="G47" s="2" t="inlineStr">
        <is>
          <t>Do zebrania</t>
        </is>
      </c>
      <c r="H47" s="2" t="inlineStr"/>
      <c r="I47" s="2" t="inlineStr"/>
    </row>
    <row r="48">
      <c r="A48" s="2" t="n">
        <v>47</v>
      </c>
      <c r="B48" s="2" t="inlineStr">
        <is>
          <t>7. DNSH i horyzontalne</t>
        </is>
      </c>
      <c r="C48" s="2" t="inlineStr">
        <is>
          <t>Bieżący zbiór dokumentacji DNSH (do przekazania IOI w 14 dni)</t>
        </is>
      </c>
      <c r="D48" s="2" t="inlineStr">
        <is>
          <t>Umowa §5 ust. 1, 4</t>
        </is>
      </c>
      <c r="E48" s="2" t="inlineStr">
        <is>
          <t>ESA HUB + PW + SGGW</t>
        </is>
      </c>
      <c r="F48" s="2" t="inlineStr"/>
      <c r="G48" s="2" t="inlineStr">
        <is>
          <t>Do zebrania</t>
        </is>
      </c>
      <c r="H48" s="2" t="inlineStr"/>
      <c r="I48" s="2" t="inlineStr">
        <is>
          <t>Zakres wg dokumentu „Ocena DNSH reform i inwestycji” (przypis 31 umowy)</t>
        </is>
      </c>
    </row>
    <row r="49">
      <c r="A49" s="2" t="n">
        <v>48</v>
      </c>
      <c r="B49" s="2" t="inlineStr">
        <is>
          <t>7. DNSH i horyzontalne</t>
        </is>
      </c>
      <c r="C49" s="2" t="inlineStr">
        <is>
          <t>Raport końcowy DNSH – wersja robocza i materiały źródłowe (złożyć min. 14 dni przed WoPK)</t>
        </is>
      </c>
      <c r="D49" s="2" t="inlineStr">
        <is>
          <t>Umowa §5 ust. 2-3</t>
        </is>
      </c>
      <c r="E49" s="2" t="inlineStr">
        <is>
          <t>ESA HUB</t>
        </is>
      </c>
      <c r="F49" s="2" t="inlineStr"/>
      <c r="G49" s="2" t="inlineStr">
        <is>
          <t>Do zebrania</t>
        </is>
      </c>
      <c r="H49" s="2" t="inlineStr"/>
      <c r="I49" s="2" t="inlineStr"/>
    </row>
    <row r="50">
      <c r="A50" s="2" t="n">
        <v>49</v>
      </c>
      <c r="B50" s="2" t="inlineStr">
        <is>
          <t>7. DNSH i horyzontalne</t>
        </is>
      </c>
      <c r="C50" s="2" t="inlineStr">
        <is>
          <t>Dowody równości szans, niedyskryminacji i dostępności (strona, materiały)</t>
        </is>
      </c>
      <c r="D50" s="2" t="inlineStr">
        <is>
          <t>Umowa §2 ust. 14</t>
        </is>
      </c>
      <c r="E50" s="2" t="inlineStr">
        <is>
          <t>ESA HUB + PW + SGGW</t>
        </is>
      </c>
      <c r="F50" s="2" t="inlineStr"/>
      <c r="G50" s="2" t="inlineStr">
        <is>
          <t>Do zebrania</t>
        </is>
      </c>
      <c r="H50" s="2" t="inlineStr"/>
      <c r="I50" s="2" t="inlineStr"/>
    </row>
    <row r="51">
      <c r="A51" s="2" t="n">
        <v>50</v>
      </c>
      <c r="B51" s="2" t="inlineStr">
        <is>
          <t>8. Promocja (§11)</t>
        </is>
      </c>
      <c r="C51" s="2" t="inlineStr">
        <is>
          <t>Strona projektu z godłem UE i hasłem „Sfinansowane przez Unię Europejską – NextGenerationEU”, aktualizowana co kwartał (archiwum zrzutów)</t>
        </is>
      </c>
      <c r="D51" s="2" t="inlineStr">
        <is>
          <t>Umowa §11 ust. 2, 4</t>
        </is>
      </c>
      <c r="E51" s="2" t="inlineStr">
        <is>
          <t>ESA HUB + PW + SGGW</t>
        </is>
      </c>
      <c r="F51" s="2" t="inlineStr"/>
      <c r="G51" s="2" t="inlineStr">
        <is>
          <t>Do zebrania</t>
        </is>
      </c>
      <c r="H51" s="2" t="inlineStr"/>
      <c r="I51" s="2" t="inlineStr"/>
    </row>
    <row r="52">
      <c r="A52" s="2" t="n">
        <v>51</v>
      </c>
      <c r="B52" s="2" t="inlineStr">
        <is>
          <t>8. Promocja (§11)</t>
        </is>
      </c>
      <c r="C52" s="2" t="inlineStr">
        <is>
          <t>Materiały drukowane/elektroniczne i posty w mediach społecznościowych z oznaczeniami KPO</t>
        </is>
      </c>
      <c r="D52" s="2" t="inlineStr">
        <is>
          <t>Umowa §11 ust. 2</t>
        </is>
      </c>
      <c r="E52" s="2" t="inlineStr">
        <is>
          <t>ESA HUB + PW + SGGW</t>
        </is>
      </c>
      <c r="F52" s="2" t="inlineStr"/>
      <c r="G52" s="2" t="inlineStr">
        <is>
          <t>Do zebrania</t>
        </is>
      </c>
      <c r="H52" s="2" t="inlineStr"/>
      <c r="I52" s="2" t="inlineStr"/>
    </row>
    <row r="53">
      <c r="A53" s="2" t="n">
        <v>52</v>
      </c>
      <c r="B53" s="2" t="inlineStr">
        <is>
          <t>8. Promocja (§11)</t>
        </is>
      </c>
      <c r="C53" s="2" t="inlineStr">
        <is>
          <t>Trzy filmy w wersji krótkiej (min. 2 min) i długiej (min. 10 min): przygotowanie, realizacja, eksploatacja</t>
        </is>
      </c>
      <c r="D53" s="2" t="inlineStr">
        <is>
          <t>Umowa §11 ust. 4 pkt 2</t>
        </is>
      </c>
      <c r="E53" s="2" t="inlineStr">
        <is>
          <t>ESA HUB</t>
        </is>
      </c>
      <c r="F53" s="2" t="inlineStr"/>
      <c r="G53" s="2" t="inlineStr">
        <is>
          <t>Do zebrania</t>
        </is>
      </c>
      <c r="H53" s="2" t="inlineStr"/>
      <c r="I53" s="2" t="inlineStr">
        <is>
          <t>Jeśli IOI wezwał</t>
        </is>
      </c>
    </row>
    <row r="54">
      <c r="A54" s="2" t="n">
        <v>53</v>
      </c>
      <c r="B54" s="2" t="inlineStr">
        <is>
          <t>8. Promocja (§11)</t>
        </is>
      </c>
      <c r="C54" s="2" t="inlineStr">
        <is>
          <t>Raport 40-80 stron i raport popularny 20-30 stron</t>
        </is>
      </c>
      <c r="D54" s="2" t="inlineStr">
        <is>
          <t>Umowa §11 ust. 4 pkt 3-4</t>
        </is>
      </c>
      <c r="E54" s="2" t="inlineStr">
        <is>
          <t>ESA HUB</t>
        </is>
      </c>
      <c r="F54" s="2" t="inlineStr"/>
      <c r="G54" s="2" t="inlineStr">
        <is>
          <t>Do zebrania</t>
        </is>
      </c>
      <c r="H54" s="2" t="inlineStr"/>
      <c r="I54" s="2" t="inlineStr"/>
    </row>
    <row r="55">
      <c r="A55" s="2" t="n">
        <v>54</v>
      </c>
      <c r="B55" s="2" t="inlineStr">
        <is>
          <t>8. Promocja (§11)</t>
        </is>
      </c>
      <c r="C55" s="2" t="inlineStr">
        <is>
          <t>Wydarzenia: programy, listy obecności, zdjęcia; wizyty studyjne (3 po max. 40 os.; 15 indywidualnych), konferencje max. 2/rok</t>
        </is>
      </c>
      <c r="D55" s="2" t="inlineStr">
        <is>
          <t>Umowa §11 ust. 6</t>
        </is>
      </c>
      <c r="E55" s="2" t="inlineStr">
        <is>
          <t>ESA HUB + PW</t>
        </is>
      </c>
      <c r="F55" s="2" t="inlineStr"/>
      <c r="G55" s="2" t="inlineStr">
        <is>
          <t>Do zebrania</t>
        </is>
      </c>
      <c r="H55" s="2" t="inlineStr"/>
      <c r="I55" s="2" t="inlineStr">
        <is>
          <t>Jeśli IOI wezwał</t>
        </is>
      </c>
    </row>
    <row r="56">
      <c r="A56" s="2" t="n">
        <v>55</v>
      </c>
      <c r="B56" s="2" t="inlineStr">
        <is>
          <t>8. Promocja (§11)</t>
        </is>
      </c>
      <c r="C56" s="2" t="inlineStr">
        <is>
          <t>Licencje do utworów promocyjnych (także od Partnerów i autorów)</t>
        </is>
      </c>
      <c r="D56" s="2" t="inlineStr">
        <is>
          <t>Umowa §11 ust. 6 pkt 4, ust. 9</t>
        </is>
      </c>
      <c r="E56" s="2" t="inlineStr">
        <is>
          <t>ESA HUB + PW + SGGW</t>
        </is>
      </c>
      <c r="F56" s="2" t="inlineStr"/>
      <c r="G56" s="2" t="inlineStr">
        <is>
          <t>Do zebrania</t>
        </is>
      </c>
      <c r="H56" s="2" t="inlineStr"/>
      <c r="I56" s="2" t="inlineStr"/>
    </row>
    <row r="57">
      <c r="A57" s="2" t="n">
        <v>56</v>
      </c>
      <c r="B57" s="2" t="inlineStr">
        <is>
          <t>9. Trwałość (§13)</t>
        </is>
      </c>
      <c r="C57" s="2" t="inlineStr">
        <is>
          <t>Plan eksploatacji i konserwacji infrastruktury; wzór rocznego sprawozdania z trwałości; dowody utrzymania praw do majątku</t>
        </is>
      </c>
      <c r="D57" s="2" t="inlineStr">
        <is>
          <t>Umowa §13</t>
        </is>
      </c>
      <c r="E57" s="2" t="inlineStr">
        <is>
          <t>ESA HUB + PW + SGGW</t>
        </is>
      </c>
      <c r="F57" s="2" t="inlineStr"/>
      <c r="G57" s="2" t="inlineStr">
        <is>
          <t>Do zebrania</t>
        </is>
      </c>
      <c r="H57" s="2" t="inlineStr"/>
      <c r="I57" s="2" t="inlineStr">
        <is>
          <t>Okres 3 lat liczy się od płatności końcowej</t>
        </is>
      </c>
    </row>
    <row r="58">
      <c r="A58" s="2" t="n">
        <v>57</v>
      </c>
      <c r="B58" s="2" t="inlineStr">
        <is>
          <t>10. Dane osobowe (§15)</t>
        </is>
      </c>
      <c r="C58" s="2" t="inlineStr">
        <is>
          <t>Klauzule informacyjne MKiŚ i dowód przekazania osobom, których dane trafiły do IOI</t>
        </is>
      </c>
      <c r="D58" s="2" t="inlineStr">
        <is>
          <t>Umowa §15 ust. 4</t>
        </is>
      </c>
      <c r="E58" s="2" t="inlineStr">
        <is>
          <t>ESA HUB + PW + SGGW</t>
        </is>
      </c>
      <c r="F58" s="2" t="inlineStr"/>
      <c r="G58" s="2" t="inlineStr">
        <is>
          <t>Do zebrania</t>
        </is>
      </c>
      <c r="H58" s="2" t="inlineStr"/>
      <c r="I58" s="2" t="inlineStr"/>
    </row>
    <row r="59">
      <c r="A59" s="2" t="n">
        <v>58</v>
      </c>
      <c r="B59" s="2" t="inlineStr">
        <is>
          <t>10. Dane osobowe (§15)</t>
        </is>
      </c>
      <c r="C59" s="2" t="inlineStr">
        <is>
          <t>Zasady współpracy w zakresie danych (zał. 7), umowy powierzenia, upoważnienia</t>
        </is>
      </c>
      <c r="D59" s="2" t="inlineStr">
        <is>
          <t>Umowa §15 ust. 7</t>
        </is>
      </c>
      <c r="E59" s="2" t="inlineStr">
        <is>
          <t>ESA HUB + PW + SGGW</t>
        </is>
      </c>
      <c r="F59" s="2" t="inlineStr"/>
      <c r="G59" s="2" t="inlineStr">
        <is>
          <t>Do zebrania</t>
        </is>
      </c>
      <c r="H59" s="2" t="inlineStr"/>
      <c r="I59" s="2" t="inlineStr"/>
    </row>
    <row r="61">
      <c r="B61" s="3" t="inlineStr">
        <is>
          <t>Postęp:</t>
        </is>
      </c>
      <c r="C61">
        <f>COUNTIF(G2:G61,"Gotowe")&amp;" z "&amp;(COUNTA(G2:G61)-COUNTIF(G2:G61,"Nie dotyczy"))&amp;" gotowych"</f>
        <v/>
      </c>
    </row>
  </sheetData>
  <autoFilter ref="A1:I59"/>
  <conditionalFormatting sqref="A2:I59">
    <cfRule type="expression" priority="1" dxfId="0">
      <formula>$G2="Gotowe"</formula>
    </cfRule>
    <cfRule type="expression" priority="2" dxfId="1">
      <formula>$G2="W przygotowaniu"</formula>
    </cfRule>
    <cfRule type="expression" priority="3" dxfId="2">
      <formula>$G2="Nie dotyczy"</formula>
    </cfRule>
  </conditionalFormatting>
  <dataValidations count="1">
    <dataValidation sqref="G2:G59" showDropDown="0" showInputMessage="0" showErrorMessage="0" allowBlank="0" type="list">
      <formula1>"Do zebrania,W przygotowaniu,Gotowe,Nie dotyczy"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34" customWidth="1" min="7" max="7"/>
    <col width="30" customWidth="1" min="8" max="8"/>
    <col width="36" customWidth="1" min="9" max="9"/>
  </cols>
  <sheetData>
    <row r="1">
      <c r="A1" s="1" t="inlineStr">
        <is>
          <t>Lp.</t>
        </is>
      </c>
      <c r="B1" s="1" t="inlineStr">
        <is>
          <t>Wskaźnik produktu</t>
        </is>
      </c>
      <c r="C1" s="1" t="inlineStr">
        <is>
          <t>Jedn.</t>
        </is>
      </c>
      <c r="D1" s="1" t="inlineStr">
        <is>
          <t>Wartość docelowa (2027)</t>
        </is>
      </c>
      <c r="E1" s="1" t="inlineStr">
        <is>
          <t>Osiągnięto na dzień kontroli</t>
        </is>
      </c>
      <c r="F1" s="1" t="inlineStr">
        <is>
          <t>% realizacji</t>
        </is>
      </c>
      <c r="G1" s="1" t="inlineStr">
        <is>
          <t>Źródło weryfikacji</t>
        </is>
      </c>
      <c r="H1" s="1" t="inlineStr">
        <is>
          <t>Dokument potwierdzający (nr / lokalizacja)</t>
        </is>
      </c>
      <c r="I1" s="1" t="inlineStr">
        <is>
          <t>Uwagi / wyjaśnienie rozbieżności</t>
        </is>
      </c>
    </row>
    <row r="2">
      <c r="A2" s="2" t="n">
        <v>1</v>
      </c>
      <c r="B2" s="2" t="inlineStr">
        <is>
          <t>Produkcja zielonego wodoru</t>
        </is>
      </c>
      <c r="C2" s="2" t="inlineStr">
        <is>
          <t>kg/m-c</t>
        </is>
      </c>
      <c r="D2" s="2" t="n">
        <v>5</v>
      </c>
      <c r="E2" s="2" t="n"/>
      <c r="F2" s="4">
        <f>IF(E2="","",E2/D2)</f>
        <v/>
      </c>
      <c r="G2" s="2" t="inlineStr">
        <is>
          <t>odczyty z liczników instalacji</t>
        </is>
      </c>
      <c r="H2" s="2" t="inlineStr"/>
      <c r="I2" s="2" t="inlineStr"/>
    </row>
    <row r="3">
      <c r="A3" s="2" t="n">
        <v>2</v>
      </c>
      <c r="B3" s="2" t="inlineStr">
        <is>
          <t>Pojemność magazynów energii elektrycznej</t>
        </is>
      </c>
      <c r="C3" s="2" t="inlineStr">
        <is>
          <t>MWh</t>
        </is>
      </c>
      <c r="D3" s="2" t="n">
        <v>0.215</v>
      </c>
      <c r="E3" s="2" t="n"/>
      <c r="F3" s="4">
        <f>IF(E3="","",E3/D3)</f>
        <v/>
      </c>
      <c r="G3" s="2" t="inlineStr">
        <is>
          <t>protokoły odbioru, dowody OT</t>
        </is>
      </c>
      <c r="H3" s="2" t="inlineStr"/>
      <c r="I3" s="2" t="inlineStr"/>
    </row>
    <row r="4">
      <c r="A4" s="2" t="n">
        <v>3</v>
      </c>
      <c r="B4" s="2" t="inlineStr">
        <is>
          <t>Liczba systemów wspomagających zarządzanie społecznością energetyczną</t>
        </is>
      </c>
      <c r="C4" s="2" t="inlineStr">
        <is>
          <t>szt.</t>
        </is>
      </c>
      <c r="D4" s="2" t="n">
        <v>1</v>
      </c>
      <c r="E4" s="2" t="n"/>
      <c r="F4" s="4">
        <f>IF(E4="","",E4/D4)</f>
        <v/>
      </c>
      <c r="G4" s="2" t="inlineStr">
        <is>
          <t>protokoły odbioru</t>
        </is>
      </c>
      <c r="H4" s="2" t="inlineStr"/>
      <c r="I4" s="2" t="inlineStr"/>
    </row>
    <row r="5">
      <c r="A5" s="2" t="n">
        <v>4</v>
      </c>
      <c r="B5" s="2" t="inlineStr">
        <is>
          <t>Model profilu energii budynków (obiekty z monitoringiem)</t>
        </is>
      </c>
      <c r="C5" s="2" t="inlineStr">
        <is>
          <t>szt.</t>
        </is>
      </c>
      <c r="D5" s="2" t="n">
        <v>20</v>
      </c>
      <c r="E5" s="2" t="n"/>
      <c r="F5" s="4">
        <f>IF(E5="","",E5/D5)</f>
        <v/>
      </c>
      <c r="G5" s="2" t="inlineStr">
        <is>
          <t>protokoły odbioru, dowody OT</t>
        </is>
      </c>
      <c r="H5" s="2" t="inlineStr"/>
      <c r="I5" s="2" t="inlineStr"/>
    </row>
    <row r="6">
      <c r="A6" s="2" t="n">
        <v>5</v>
      </c>
      <c r="B6" s="2" t="inlineStr">
        <is>
          <t>Liczba inteligentnych systemów zarządzania energią</t>
        </is>
      </c>
      <c r="C6" s="2" t="inlineStr">
        <is>
          <t>szt.</t>
        </is>
      </c>
      <c r="D6" s="2" t="n">
        <v>1</v>
      </c>
      <c r="E6" s="2" t="n"/>
      <c r="F6" s="4">
        <f>IF(E6="","",E6/D6)</f>
        <v/>
      </c>
      <c r="G6" s="2" t="inlineStr">
        <is>
          <t>protokoły odbioru</t>
        </is>
      </c>
      <c r="H6" s="2" t="inlineStr"/>
      <c r="I6" s="2" t="inlineStr"/>
    </row>
    <row r="7">
      <c r="A7" s="2" t="n">
        <v>6</v>
      </c>
      <c r="B7" s="2" t="inlineStr">
        <is>
          <t>Dodatkowa zdolność wytwarzania energii z OZE</t>
        </is>
      </c>
      <c r="C7" s="2" t="inlineStr">
        <is>
          <t>MW</t>
        </is>
      </c>
      <c r="D7" s="2" t="n">
        <v>1.44</v>
      </c>
      <c r="E7" s="2" t="n"/>
      <c r="F7" s="4">
        <f>IF(E7="","",E7/D7)</f>
        <v/>
      </c>
      <c r="G7" s="2" t="inlineStr">
        <is>
          <t>protokoły odbioru, dowody OT</t>
        </is>
      </c>
      <c r="H7" s="2" t="inlineStr"/>
      <c r="I7" s="2" t="inlineStr"/>
    </row>
    <row r="8">
      <c r="A8" s="2" t="n">
        <v>7</v>
      </c>
      <c r="B8" s="2" t="inlineStr">
        <is>
          <t>Spotkania, wizyty studyjne, warsztaty, szkolenia</t>
        </is>
      </c>
      <c r="C8" s="2" t="inlineStr">
        <is>
          <t>szt.</t>
        </is>
      </c>
      <c r="D8" s="2" t="n">
        <v>14</v>
      </c>
      <c r="E8" s="2" t="n"/>
      <c r="F8" s="4">
        <f>IF(E8="","",E8/D8)</f>
        <v/>
      </c>
      <c r="G8" s="2" t="inlineStr">
        <is>
          <t>listy obecności</t>
        </is>
      </c>
      <c r="H8" s="2" t="inlineStr"/>
      <c r="I8" s="2" t="inlineStr"/>
    </row>
    <row r="9">
      <c r="A9" s="2" t="n">
        <v>8</v>
      </c>
      <c r="B9" s="2" t="inlineStr">
        <is>
          <t>Opracowane analizy, ekspertyzy, dokumenty</t>
        </is>
      </c>
      <c r="C9" s="2" t="inlineStr">
        <is>
          <t>szt.</t>
        </is>
      </c>
      <c r="D9" s="2" t="n">
        <v>8</v>
      </c>
      <c r="E9" s="2" t="n"/>
      <c r="F9" s="4">
        <f>IF(E9="","",E9/D9)</f>
        <v/>
      </c>
      <c r="G9" s="2" t="inlineStr">
        <is>
          <t>protokoły odbioru</t>
        </is>
      </c>
      <c r="H9" s="2" t="inlineStr"/>
      <c r="I9" s="2" t="inlineStr"/>
    </row>
    <row r="11">
      <c r="B11" t="inlineStr">
        <is>
          <t>Wskaźniki rezultatu (przedsiębiorstwa objęte wsparciem; dodatkowa moc OZE) są tylko monitorowane przez IOI – bez wartości docelowej.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Sporządzono na podstawie: umowy KPOD.03.12-IP.05-0095/24, Aneksu nr 1, Wniosku i skoroszytu.</t>
        </is>
      </c>
    </row>
    <row r="2">
      <c r="A2" s="5" t="inlineStr">
        <is>
          <t>Brak Regulaminu naboru i zał. 8-10 (Wytyczne kwalifikowania, pomoc publiczna, DNSH) – sprawdzić pełny katalog dokumentów do WoP i DNSH.</t>
        </is>
      </c>
    </row>
    <row r="3">
      <c r="A3" s="5" t="inlineStr">
        <is>
          <t>Kontrola IOI: kontrola wykonania + weryfikacja wydatków, zdalnie lub na miejscu; obejmuje też Partnerów (Umowa §10).</t>
        </is>
      </c>
    </row>
    <row r="4">
      <c r="A4" s="5" t="inlineStr">
        <is>
          <t>Oryginały dokumentów muszą być dostępne na kontroli mimo skanów w CST2021 (§14 ust. 10).</t>
        </is>
      </c>
    </row>
    <row r="5">
      <c r="A5" s="5" t="inlineStr">
        <is>
          <t>Do wyjaśnienia: efekt zachęty GBER (zadanie 3), źródło Wkładu finansowego PW/SGGW, rozbieżność dat (start 08.04.2024 vs kwalifikowalność od 28.03.2024), stan przetargów SGGW/PW.</t>
        </is>
      </c>
    </row>
    <row r="6">
      <c r="A6" s="5" t="inlineStr">
        <is>
          <t>Zastrzeżenia do informacji pokontrolnej: 14 dni od jej otrzymania (§10 ust. 13).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2026-10-29T09:02:02Z</dcterms:created>
  <dcterms:modified xmlns:dcterms="http://purl.org/dc/terms/" xmlns:xsi="http://www.w3.org/2001/XMLSchema-instance" xsi:type="dcterms:W3CDTF">2026-10-29T09:02:02Z</dcterms:modified>
</cp:coreProperties>
</file>