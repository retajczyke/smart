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dsumowanie" sheetId="1" state="visible" r:id="rId3"/>
    <sheet name="Kontrola" sheetId="2" state="visible" r:id="rId4"/>
    <sheet name="Uwagi" sheetId="3" state="visible" r:id="rId5"/>
    <sheet name="nowy format" sheetId="4" state="visible" r:id="rId6"/>
    <sheet name="zmiana" sheetId="5" state="visible" r:id="rId7"/>
    <sheet name="założenia" sheetId="6" state="visible" r:id="rId8"/>
    <sheet name="plan etatów" sheetId="7" state="visible" r:id="rId9"/>
    <sheet name="budżet po miesiącach" sheetId="8" state="visible" r:id="rId10"/>
    <sheet name="nowy format 2" sheetId="9" state="visible" r:id="rId11"/>
  </sheets>
  <definedNames>
    <definedName function="false" hidden="true" localSheetId="3" name="_xlnm._FilterDatabase" vbProcedure="false">'nowy format'!$A$2:$G$43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<sst xmlns="http://schemas.openxmlformats.org/spreadsheetml/2006/main" count="1120" uniqueCount="268">
  <si>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</si>
  <si>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</si>
  <si>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</si>
  <si>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</si>
  <si>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</si>
  <si>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</si>
  <si>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</si>
  <si>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</si>
  <si>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</si>
  <si>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</si>
  <si>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</si>
  <si>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</si>
  <si>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</si>
  <si>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</si>
  <si>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</si>
  <si>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</si>
  <si>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</si>
  <si>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</si>
  <si>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</si>
  <si>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</si>
  <si>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</si>
  <si>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</si>
  <si>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</si>
  <si>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</si>
  <si>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</si>
  <si>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</si>
  <si>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</si>
  <si>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</si>
  <si>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</si>
  <si>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</si>
  <si>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</si>
  <si>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</si>
  <si>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</si>
  <si>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</si>
  <si>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</si>
  <si>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</si>
  <si>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</si>
  <si>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</si>
  <si>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</si>
  <si>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</si>
  <si>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</si>
  <si>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</si>
  <si>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</si>
  <si>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</si>
  <si>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</si>
  <si>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</si>
  <si>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</si>
  <si>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</si>
  <si>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</si>
  <si>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</si>
  <si>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</si>
  <si>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</si>
  <si>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</si>
  <si>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</si>
  <si>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</si>
  <si>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</si>
  <si>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</si>
  <si>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</si>
  <si>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</si>
  <si>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</si>
  <si>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</si>
  <si>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</si>
  <si>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</si>
  <si>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</si>
  <si>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</si>
  <si>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</si>
  <si>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</si>
  <si>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</si>
  <si>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</si>
  <si>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</si>
  <si>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</si>
  <si>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</si>
  <si>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</si>
  <si>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</si>
  <si>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</si>
  <si>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</si>
  <si>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</si>
  <si>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</si>
  <si>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</si>
  <si>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</si>
  <si>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</si>
  <si>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</si>
  <si>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</si>
  <si>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</si>
  <si>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</si>
  <si>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</si>
  <si>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</si>
  <si>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</si>
  <si>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</si>
  <si>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</si>
  <si>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</si>
  <si>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</si>
  <si>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</si>
  <si>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</si>
  <si>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</si>
  <si>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</si>
  <si>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</si>
  <si>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</si>
  <si>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</si>
  <si>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</si>
  <si>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</si>
  <si>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</si>
  <si>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</si>
  <si>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</si>
  <si>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</si>
  <si>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</si>
  <si>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</si>
  <si>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</si>
  <si>
    <t xml:space="preserve">wydatki narastająco</t>
  </si>
  <si>
    <t xml:space="preserve">wydatki w projekcie</t>
  </si>
  <si>
    <t xml:space="preserve">oszczędnosci</t>
  </si>
  <si>
    <t xml:space="preserve">m-czne wynagrodzenie</t>
  </si>
  <si>
    <t xml:space="preserve">liczba osób</t>
  </si>
  <si>
    <t xml:space="preserve">budżet per m-c</t>
  </si>
  <si>
    <t xml:space="preserve">liczba m-cy</t>
  </si>
  <si>
    <t xml:space="preserve">wydatki ogółem</t>
  </si>
  <si>
    <t xml:space="preserve">wydatki kwalifikowane</t>
  </si>
  <si>
    <t xml:space="preserve">dofinansowanie</t>
  </si>
  <si>
    <t xml:space="preserve">wakat</t>
  </si>
  <si>
    <t xml:space="preserve">zadanie 1</t>
  </si>
  <si>
    <t xml:space="preserve">zadanie 2</t>
  </si>
  <si>
    <t xml:space="preserve">zadanie 3</t>
  </si>
  <si>
    <t xml:space="preserve">zadanie 4</t>
  </si>
  <si>
    <t xml:space="preserve">imię i nazwisko</t>
  </si>
  <si>
    <t xml:space="preserve">stanowisko</t>
  </si>
  <si>
    <t xml:space="preserve">budżet zadanie</t>
  </si>
  <si>
    <t xml:space="preserve">Czerw Monika</t>
  </si>
  <si>
    <t xml:space="preserve">Automation QA Engineer</t>
  </si>
  <si>
    <t xml:space="preserve">Kubicka Małgorzata</t>
  </si>
  <si>
    <t xml:space="preserve">Big Data Engineer</t>
  </si>
  <si>
    <t xml:space="preserve">Orzechowska Melania</t>
  </si>
  <si>
    <t xml:space="preserve">Ekspert ds. psychometrii</t>
  </si>
  <si>
    <t xml:space="preserve">Di Giusto Anna</t>
  </si>
  <si>
    <t xml:space="preserve">Staszewski Paweł</t>
  </si>
  <si>
    <t xml:space="preserve">Ekspert AI</t>
  </si>
  <si>
    <t xml:space="preserve">Suska Marta</t>
  </si>
  <si>
    <t xml:space="preserve">Grafik-Ilustrator</t>
  </si>
  <si>
    <t xml:space="preserve">Suski Krzysztof</t>
  </si>
  <si>
    <t xml:space="preserve">Architekt rozwiązań chmurowych </t>
  </si>
  <si>
    <t xml:space="preserve">Woldan Piotr</t>
  </si>
  <si>
    <t xml:space="preserve">Zdebel Tomasz</t>
  </si>
  <si>
    <t xml:space="preserve">Analityk danych</t>
  </si>
  <si>
    <t xml:space="preserve">Zębik Mariusz</t>
  </si>
  <si>
    <t xml:space="preserve">Senior Developer</t>
  </si>
  <si>
    <t xml:space="preserve">suma</t>
  </si>
  <si>
    <t xml:space="preserve">ZAŁOŻENIA ZMIANY BUDŻETU – finalna wersja</t>
  </si>
  <si>
    <t xml:space="preserve">PARAMETRY (żółte = do edycji)</t>
  </si>
  <si>
    <t xml:space="preserve">Intensywność dofinansowania – Z1</t>
  </si>
  <si>
    <t xml:space="preserve">Intensywność dofinansowania – Z2</t>
  </si>
  <si>
    <t xml:space="preserve">Intensywność dofinansowania – Z3</t>
  </si>
  <si>
    <t xml:space="preserve">Intensywność dofinansowania – Z4</t>
  </si>
  <si>
    <t xml:space="preserve">Licencje: mnożnik ogółem / kwalifikowalne (VAT 23%)</t>
  </si>
  <si>
    <t xml:space="preserve">Licencje: dofinansowanie reszty = reszta kwalifikowalna × intensywność Z2</t>
  </si>
  <si>
    <t xml:space="preserve">CEL: wydatki kwalifikowalne razem (budżet pierwotny)</t>
  </si>
  <si>
    <t xml:space="preserve">CEL: dofinansowanie razem (budżet pierwotny)</t>
  </si>
  <si>
    <t xml:space="preserve">Cel kwalifikowalne – koszty bezpośrednie (PDF)</t>
  </si>
  <si>
    <t xml:space="preserve">Cel dofinansowanie – koszty bezpośrednie (PDF)</t>
  </si>
  <si>
    <t xml:space="preserve">Licencje (Z2) – kwalifikowalne po zmianie (podane przez użytkownika)</t>
  </si>
  <si>
    <t xml:space="preserve">Z4 – Grafik-Ilustrator (poz. 4.9): kwalifikowalne planowane (Suska), przed obniżeniem</t>
  </si>
  <si>
    <t xml:space="preserve">Z3 – dofinansowanie (80% kosztów kwalifikowalnych)</t>
  </si>
  <si>
    <t xml:space="preserve">Dofinansowanie Z1+Z2 (wykonanie, poz. 2.9 wg stawki, licencje) + Z3</t>
  </si>
  <si>
    <t xml:space="preserve">Dofinansowanie dostępne dla poz. 4.9 = cel D bezpośrednie − C17 − dofinansowanie reszty Z4 (bez zmian vs pierwotny budżet, amortyzacja wg stawki)</t>
  </si>
  <si>
    <t xml:space="preserve">Współczynnik obniżenia kosztów poz. 4.9 (= C15 × C19, tak by D = 60% mieściło się w C18)</t>
  </si>
  <si>
    <t xml:space="preserve">TEST: koszt wakatu grafika w Z4 (stawka × miesiące Z4), gdyby został</t>
  </si>
  <si>
    <t xml:space="preserve">TEST: dofinansowanie (60%), które dodałby wakat w Z4</t>
  </si>
  <si>
    <t xml:space="preserve">TEST: wniosek</t>
  </si>
  <si>
    <t xml:space="preserve">Z4 – poz. 4.9 Grafik: kwalifikowalne po obniżeniu</t>
  </si>
  <si>
    <t xml:space="preserve">KONTROLE</t>
  </si>
  <si>
    <t xml:space="preserve">nowy</t>
  </si>
  <si>
    <t xml:space="preserve">cel</t>
  </si>
  <si>
    <t xml:space="preserve">status</t>
  </si>
  <si>
    <t xml:space="preserve">różnica</t>
  </si>
  <si>
    <t xml:space="preserve">Kwalifikowalne razem nie przekraczają celu</t>
  </si>
  <si>
    <t xml:space="preserve">Dofinansowanie razem nie przekracza celu (nie może wzrosnąć)</t>
  </si>
  <si>
    <t xml:space="preserve">Z1 i Z2 w nowym budżecie = wydatki narastająco, bez poz. 2.9 i licencji (suma różnic)</t>
  </si>
  <si>
    <t xml:space="preserve">Suma miesięcy „będzie” (K) = nowy format 2 (koszty bezpośrednie)</t>
  </si>
  <si>
    <t xml:space="preserve">Suma miesięcy „było” (K) = PDF (koszty bezpośrednie)</t>
  </si>
  <si>
    <t xml:space="preserve">Suma miesięcy „było” (D) = PDF (koszty bezpośrednie)</t>
  </si>
  <si>
    <t xml:space="preserve">Suma miesięcy „będzie” (D) = nowy format 2 (koszty bezpośrednie)</t>
  </si>
  <si>
    <t xml:space="preserve">ZAŁOŻENIA (opis)</t>
  </si>
  <si>
    <t xml:space="preserve">1. Oś czasu: było Z1 m 1–5, Z2 m 6–11, Z3 m 12–17, Z4 m 18–21 (21 m-cy). Będzie Z1 m 1–5, Z2 m 6–11, Z3 m 12–19 (8 m-cy), Z4 m 20–23 (23 m-ce).</t>
  </si>
  <si>
    <t xml:space="preserve">2. Cel: dofinansowanie razem (3 699 933,17 zł) nie może wzrosnąć; wydatki kwalifikowalne razem (4 843 115,61 zł) mogą się zmniejszyć, ale nie wzrosnąć. Stałe zasady: intensywność Z1–Z3 = 80%, Z4 = 60%, koszty pośrednie = 25% kwalifikowalnych oraz 25% dofinansowania kosztów bezpośrednich (pochodne – nie są sterowane ręcznie).</t>
  </si>
  <si>
    <t xml:space="preserve">3. Z1 i Z2 w nowym budżecie = wydatki narastająco (ogółem, kwalifikowalne, dofinansowanie) per pozycja, z wyjątkiem poz. 2.9 (amortyzacja laptopów w Z2) – liczona wg stawki 569,02 zł/mies. × 6 m-cy. Poz. 2.1 (Ekspert AI, Z2): przyjęto 332 400 zł kwalifikowalnych / 265 920 zł dofinansowania (PARP wstrzymał wypłatę, budżet nie jest tracony).</t>
  </si>
  <si>
    <t xml:space="preserve">4. Licencje (Z2): w nowym budżecie zostaje 630,08 zł kwalifikowalnych (podane przez użytkownika), dofinansowanie 80% = 504,06 zł, ogółem z VAT 775,00 zł. Brakująca wartość kwalifikowalnych jest zdejmowana z Z4 (poz. 4.9 Grafik).</t>
  </si>
  <si>
    <t xml:space="preserve">5. Z3 i Z4 = prognoza: stawka × etat × miesiące (arkusz „plan etatów”). Z3 nie jest przycinane.</t>
  </si>
  <si>
    <t xml:space="preserve">6. Psychometria (13 555 zł/etat): m 1–3 = 2 etaty, m 4–13 = 1,5 etatu, od m 14 = 2 etaty (dotyczy też Z3 od m 14 i całego Z4).</t>
  </si>
  <si>
    <t xml:space="preserve">7. Senior Developer (20 625 zł/etat): 0,5 etatu w Z1, pełny etat w Z2–Z4 (w arkuszu „zmiana” 10 312,50 zł = 0,5 etatu – nie uwzględniał pełnego etatu w kolejnych zadaniach).</t>
  </si>
  <si>
    <t xml:space="preserve">8. Big Data Engineer: 1 etat w Z1–Z3, 0,5 etatu w Z4 (37 720 zł, zgodnie z PDF).</t>
  </si>
  <si>
    <t xml:space="preserve">9. Grafik-Ilustrator: wakat (8 545 zł/mies.) wyzerowany w całym projekcie, w tym w Z4; zostaje Suska (4 920 zł/mies.). Zadanie 3 jest składane w pełnej kwocie, a w Z4 różnice vs pierwotny budżet mogą dotyczyć tylko amortyzacji laptopów i grafika – dlatego obniżenie mieszczące się w limicie dofinansowania jest wyłącznie w poz. 4.9 (współczynnik C19).</t>
  </si>
  <si>
    <t xml:space="preserve">10. Amortyzacja laptopów: 569,02 zł/mies. (Z1 wykonanie 2 276,08 = 4 × 569,02). Poz. 2.9 (Z2, 6 m-cy) = 3 414,12 zł, poz. 3.8 (Z3, 8 m-cy) = 4 552,16 zł, poz. 4.7 (Z4, 4 m-ce) = 2 276,08 zł.</t>
  </si>
  <si>
    <t xml:space="preserve">11. Dofinansowanie: Z1–Z3 po 80%, Z4 po 60% (bez żadnych korekt intensywności). Dofinansowanie razem nie może wzrosnąć, więc po odjęciu dofinansowania Z1, Z2 (z licencją 630,08 zł) i Z3 oraz pozostałych pozycji Z4 (bez zmian vs pierwotny budżet) na poz. 4.9 zostaje kwota z C18. Kwalifikowalne razem spadają poniżej celu – różnica to niewykorzystany budżet.</t>
  </si>
  <si>
    <t xml:space="preserve">12. Koszty pośrednie: 25% kwalifikowalnych kosztów bezpośrednich; dofinansowanie do nich = ta sama proporcja co w kosztach bezpośrednich (25% dofinansowania bezpośredniego, zaokrąglone w dół). Zmieniają się wraz z kosztami bezpośrednimi.</t>
  </si>
  <si>
    <t xml:space="preserve">14. Daty zadań (PDF): Z1 2025-10-01 – 2026-02-28, Z2 2026-03-01 – 2026-08-31, Z3 2026-09-01 – 2027-04-30, Z4 2027-05-01 – 2027-08-31 (poprawione).</t>
  </si>
  <si>
    <t xml:space="preserve">13. Miesięczne dane dla Z1 i Z2 to rozkład wykonania proporcjonalnie do planu etatów (brak miesięcznych danych rzeczywistych); reszta na licencjach wpisana w ostatnim miesiącu Z2 (m 11).</t>
  </si>
  <si>
    <t xml:space="preserve">PLAN ETATÓW I KOSZTÓW (model) – było (PDF) vs będzie</t>
  </si>
  <si>
    <t xml:space="preserve">Niebieskie pola = dane wejściowe. Etat 1 = pełny etat; stawka = miesięczny koszt pełnego etatu (kwalifikowalny).</t>
  </si>
  <si>
    <t xml:space="preserve">Zadanie</t>
  </si>
  <si>
    <t xml:space="preserve">było: start m-c</t>
  </si>
  <si>
    <t xml:space="preserve">było: koniec m-c</t>
  </si>
  <si>
    <t xml:space="preserve">będzie: start m-c</t>
  </si>
  <si>
    <t xml:space="preserve">będzie: koniec m-c</t>
  </si>
  <si>
    <t xml:space="preserve">status w nowym budżecie</t>
  </si>
  <si>
    <t xml:space="preserve">Zadanie 1</t>
  </si>
  <si>
    <t xml:space="preserve">wykonanie</t>
  </si>
  <si>
    <t xml:space="preserve">Zadanie 2</t>
  </si>
  <si>
    <t xml:space="preserve">Zadanie 3</t>
  </si>
  <si>
    <t xml:space="preserve">prognoza</t>
  </si>
  <si>
    <t xml:space="preserve">Zadanie 4</t>
  </si>
  <si>
    <t xml:space="preserve">FTE – BYŁO (zgodnie z PDF; miesiące wg osi czasu „było”)</t>
  </si>
  <si>
    <t xml:space="preserve">linia / pozycja</t>
  </si>
  <si>
    <t xml:space="preserve">stawka / etat 1</t>
  </si>
  <si>
    <t xml:space="preserve">zadanie</t>
  </si>
  <si>
    <t xml:space="preserve">razem</t>
  </si>
  <si>
    <t xml:space="preserve">Ekspert AI (2 osoby)</t>
  </si>
  <si>
    <t xml:space="preserve">Architekt rozwiązań chmurowych</t>
  </si>
  <si>
    <t xml:space="preserve">Amortyzacja laptopów (stawka = amortyzacja miesięczna)</t>
  </si>
  <si>
    <t xml:space="preserve">FTE – BĘDZIE (nowy budżet)</t>
  </si>
  <si>
    <t xml:space="preserve">Big Data: 0,5 etatu w Z4</t>
  </si>
  <si>
    <t xml:space="preserve">Psychometria: m 1–3 = 2; 4–13 = 1,5; 14–23 = 2</t>
  </si>
  <si>
    <t xml:space="preserve">Senior Developer: 0,5 w Z1, 1 później</t>
  </si>
  <si>
    <t xml:space="preserve">Grafik: tylko Suska (4 920); wakat (8 545) wyzerowany</t>
  </si>
  <si>
    <t xml:space="preserve">KOSZT PLANU wg etatów – BYŁO (stawka × FTE w oknie zadania)</t>
  </si>
  <si>
    <t xml:space="preserve">KOSZT PLANU wg etatów – BĘDZIE (stawka × FTE w oknie zadania)</t>
  </si>
  <si>
    <t xml:space="preserve">BUDŻET PO MIESIĄCACH – było (PDF) / będzie (nowy budżet)</t>
  </si>
  <si>
    <t xml:space="preserve">Z1 i Z2 w „będzie” = wykonanie (wydatki narastająco) rozłożone na miesiące proporcjonalnie do planu etatów (brak danych miesięcznych); Z3 i Z4 = prognoza (stawka × etat). Reszta na licencjach wpisana w ostatnim miesiącu Z2. Kwoty kwalifikowalne i dofinansowanie.</t>
  </si>
  <si>
    <t xml:space="preserve">status (będzie)</t>
  </si>
  <si>
    <t xml:space="preserve">miesiąc projektu</t>
  </si>
  <si>
    <t xml:space="preserve">RAZEM</t>
  </si>
  <si>
    <t xml:space="preserve">zadanie (będzie)</t>
  </si>
  <si>
    <t xml:space="preserve">zadanie (było)</t>
  </si>
  <si>
    <t xml:space="preserve">BYŁO – KWALIFIKOWALNE (PDF)</t>
  </si>
  <si>
    <t xml:space="preserve">Zadanie 1 – razem</t>
  </si>
  <si>
    <t xml:space="preserve">Zadanie 2 – razem</t>
  </si>
  <si>
    <t xml:space="preserve">Zadanie 3 – razem</t>
  </si>
  <si>
    <t xml:space="preserve">Zadanie 4 – razem</t>
  </si>
  <si>
    <t xml:space="preserve">Koszty pośrednie (ryczałt 25% kwalifikowalnych bezpośrednich)</t>
  </si>
  <si>
    <t xml:space="preserve">RAZEM w projekcie</t>
  </si>
  <si>
    <t xml:space="preserve">narastająco (razem)</t>
  </si>
  <si>
    <t xml:space="preserve">BĘDZIE – KWALIFIKOWALNE</t>
  </si>
  <si>
    <t xml:space="preserve">BYŁO – DOFINANSOWANIE (PDF)</t>
  </si>
  <si>
    <t xml:space="preserve">BĘDZIE – DOFINANSOWANIE</t>
  </si>
  <si>
    <t xml:space="preserve">wydatki narastająco (wykonanie)</t>
  </si>
  <si>
    <t xml:space="preserve">wydatki w projekcie – NOWY BUDŻET</t>
  </si>
  <si>
    <t xml:space="preserve">aktualnie w projekcie (PDF)</t>
  </si>
  <si>
    <t xml:space="preserve">zmiana vs PDF</t>
  </si>
  <si>
    <t xml:space="preserve">ogółem</t>
  </si>
  <si>
    <t xml:space="preserve">kwalifikowane</t>
  </si>
  <si>
    <t xml:space="preserve">kontrola: nowy projekt ≥ narastająco</t>
  </si>
  <si>
    <t xml:space="preserve">G: różnica zaokrągleń (≤0,02 zł) domykająca sumę dofinansowania</t>
  </si>
  <si>
    <t xml:space="preserve">PODSUMOWANIE I KONTROLA SUM</t>
  </si>
  <si>
    <t xml:space="preserve">Pozycja</t>
  </si>
  <si>
    <t xml:space="preserve">narastająco ogółem</t>
  </si>
  <si>
    <t xml:space="preserve">narastająco kwal.</t>
  </si>
  <si>
    <t xml:space="preserve">narastająco dofin.</t>
  </si>
  <si>
    <t xml:space="preserve">NOWY ogółem</t>
  </si>
  <si>
    <t xml:space="preserve">NOWY kwal.</t>
  </si>
  <si>
    <t xml:space="preserve">NOWY dofin.</t>
  </si>
  <si>
    <t xml:space="preserve">PDF ogółem</t>
  </si>
  <si>
    <t xml:space="preserve">PDF kwal.</t>
  </si>
  <si>
    <t xml:space="preserve">PDF dofin.</t>
  </si>
  <si>
    <t xml:space="preserve">zmiana ogółem</t>
  </si>
  <si>
    <t xml:space="preserve">zmiana kwal.</t>
  </si>
  <si>
    <t xml:space="preserve">zmiana dofin.</t>
  </si>
  <si>
    <t xml:space="preserve">Koszty bezpośrednie (suma zadań 1–4)</t>
  </si>
  <si>
    <t xml:space="preserve">Koszty pośrednie – ryczałt 25% kwalifikowalnych bezpośrednich</t>
  </si>
  <si>
    <t xml:space="preserve">Cel: budżet pierwotny (podany przez użytkownika)</t>
  </si>
  <si>
    <t xml:space="preserve">Różnica nowy − cel</t>
  </si>
  <si>
    <t xml:space="preserve">Status (kwota nie może przekroczyć celu)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</si>
</sst>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%"/>
    <numFmt numFmtId="167" formatCode="0.00"/>
    <numFmt numFmtId="168" formatCode="#,##0.00;[RED]\-#,##0.00;\-"/>
    <numFmt numFmtId="169" formatCode="0.000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FFFFFF"/>
      </font>
    </dxf>
    <dxf>
      <fill>
        <patternFill>
          <bgColor theme="0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6" activePane="bottomRight" state="frozen"/>
      <selection pane="topLeft" activeCell="A1" activeCellId="0" sqref="A1"/>
      <selection pane="topRight" activeCell="C1" activeCellId="0" sqref="C1"/>
      <selection pane="bottomLeft" activeCell="A46" activeCellId="0" sqref="A46"/>
      <selection pane="bottomRight" activeCell="A59" activeCellId="0" sqref="A59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5" min="4" style="1" width="18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1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27.75" hidden="false" customHeight="true" outlineLevel="0" collapsed="false">
      <c r="A5" s="5" t="s">
        <v>10</v>
      </c>
      <c r="B5" s="6" t="s">
        <v>11</v>
      </c>
      <c r="C5" s="7" t="n">
        <v>0</v>
      </c>
      <c r="D5" s="7" t="n">
        <v>807424.87</v>
      </c>
      <c r="E5" s="7" t="n">
        <v>868383.93</v>
      </c>
      <c r="F5" s="7" t="n">
        <v>92.98</v>
      </c>
      <c r="G5" s="8" t="n">
        <f aca="false">IF(E5=0,0,D5/E5*100)</f>
        <v>92.9801718002773</v>
      </c>
      <c r="H5" s="8" t="n">
        <f aca="false">ROUND(G5-F5,2)</f>
        <v>0</v>
      </c>
    </row>
    <row r="6" customFormat="false" ht="15" hidden="false" customHeight="true" outlineLevel="0" collapsed="false">
      <c r="A6" s="9"/>
      <c r="B6" s="6" t="s">
        <v>12</v>
      </c>
      <c r="C6" s="7" t="n">
        <v>0</v>
      </c>
      <c r="D6" s="7" t="n">
        <v>807424.87</v>
      </c>
      <c r="E6" s="7" t="n">
        <v>868383.93</v>
      </c>
      <c r="F6" s="7" t="n">
        <v>92.98</v>
      </c>
      <c r="G6" s="8" t="n">
        <f aca="false">IF(E6=0,0,D6/E6*100)</f>
        <v>92.9801718002773</v>
      </c>
      <c r="H6" s="8" t="n">
        <f aca="false">ROUND(G6-F6,2)</f>
        <v>0</v>
      </c>
    </row>
    <row r="7" customFormat="false" ht="15" hidden="false" customHeight="true" outlineLevel="0" collapsed="false">
      <c r="A7" s="9"/>
      <c r="B7" s="6" t="s">
        <v>13</v>
      </c>
      <c r="C7" s="7" t="n">
        <v>0</v>
      </c>
      <c r="D7" s="7" t="n">
        <v>645939.9</v>
      </c>
      <c r="E7" s="7" t="n">
        <v>694707.14</v>
      </c>
      <c r="F7" s="7" t="n">
        <v>92.98</v>
      </c>
      <c r="G7" s="8" t="n">
        <f aca="false">IF(E7=0,0,D7/E7*100)</f>
        <v>92.9801729114228</v>
      </c>
      <c r="H7" s="8" t="n">
        <f aca="false">ROUND(G7-F7,2)</f>
        <v>0</v>
      </c>
    </row>
    <row r="8" customFormat="false" ht="15" hidden="false" customHeight="true" outlineLevel="0" collapsed="false">
      <c r="A8" s="10" t="s">
        <v>14</v>
      </c>
      <c r="B8" s="11" t="s">
        <v>11</v>
      </c>
      <c r="C8" s="12" t="n">
        <v>0</v>
      </c>
      <c r="D8" s="12" t="n">
        <v>277000</v>
      </c>
      <c r="E8" s="12" t="n">
        <v>277000</v>
      </c>
      <c r="F8" s="12" t="n">
        <v>100</v>
      </c>
      <c r="G8" s="13" t="n">
        <f aca="false">IF(E8=0,0,D8/E8*100)</f>
        <v>100</v>
      </c>
      <c r="H8" s="13" t="n">
        <f aca="false">ROUND(G8-F8,2)</f>
        <v>0</v>
      </c>
    </row>
    <row r="9" customFormat="false" ht="15" hidden="false" customHeight="true" outlineLevel="0" collapsed="false">
      <c r="A9" s="14"/>
      <c r="B9" s="11" t="s">
        <v>12</v>
      </c>
      <c r="C9" s="12" t="n">
        <v>0</v>
      </c>
      <c r="D9" s="12" t="n">
        <v>277000</v>
      </c>
      <c r="E9" s="12" t="n">
        <v>277000</v>
      </c>
      <c r="F9" s="12" t="n">
        <v>100</v>
      </c>
      <c r="G9" s="13" t="n">
        <f aca="false">IF(E9=0,0,D9/E9*100)</f>
        <v>100</v>
      </c>
      <c r="H9" s="13" t="n">
        <f aca="false">ROUND(G9-F9,2)</f>
        <v>0</v>
      </c>
    </row>
    <row r="10" customFormat="false" ht="15" hidden="false" customHeight="true" outlineLevel="0" collapsed="false">
      <c r="A10" s="14"/>
      <c r="B10" s="11" t="s">
        <v>13</v>
      </c>
      <c r="C10" s="12" t="n">
        <v>0</v>
      </c>
      <c r="D10" s="12" t="n">
        <v>221600</v>
      </c>
      <c r="E10" s="12" t="n">
        <v>221600</v>
      </c>
      <c r="F10" s="12" t="n">
        <v>100</v>
      </c>
      <c r="G10" s="13" t="n">
        <f aca="false">IF(E10=0,0,D10/E10*100)</f>
        <v>100</v>
      </c>
      <c r="H10" s="13" t="n">
        <f aca="false">ROUND(G10-F10,2)</f>
        <v>0</v>
      </c>
    </row>
    <row r="11" customFormat="false" ht="15" hidden="false" customHeight="true" outlineLevel="0" collapsed="false">
      <c r="A11" s="10" t="s">
        <v>15</v>
      </c>
      <c r="B11" s="11" t="s">
        <v>11</v>
      </c>
      <c r="C11" s="12" t="n">
        <v>0</v>
      </c>
      <c r="D11" s="12" t="n">
        <v>94300</v>
      </c>
      <c r="E11" s="12" t="n">
        <v>94300</v>
      </c>
      <c r="F11" s="12" t="n">
        <v>100</v>
      </c>
      <c r="G11" s="13" t="n">
        <f aca="false">IF(E11=0,0,D11/E11*100)</f>
        <v>100</v>
      </c>
      <c r="H11" s="13" t="n">
        <f aca="false">ROUND(G11-F11,2)</f>
        <v>0</v>
      </c>
    </row>
    <row r="12" customFormat="false" ht="15" hidden="false" customHeight="true" outlineLevel="0" collapsed="false">
      <c r="A12" s="14"/>
      <c r="B12" s="11" t="s">
        <v>12</v>
      </c>
      <c r="C12" s="12" t="n">
        <v>0</v>
      </c>
      <c r="D12" s="12" t="n">
        <v>94300</v>
      </c>
      <c r="E12" s="12" t="n">
        <v>94300</v>
      </c>
      <c r="F12" s="12" t="n">
        <v>100</v>
      </c>
      <c r="G12" s="13" t="n">
        <f aca="false">IF(E12=0,0,D12/E12*100)</f>
        <v>100</v>
      </c>
      <c r="H12" s="13" t="n">
        <f aca="false">ROUND(G12-F12,2)</f>
        <v>0</v>
      </c>
    </row>
    <row r="13" customFormat="false" ht="15" hidden="false" customHeight="true" outlineLevel="0" collapsed="false">
      <c r="A13" s="14"/>
      <c r="B13" s="11" t="s">
        <v>13</v>
      </c>
      <c r="C13" s="12" t="n">
        <v>0</v>
      </c>
      <c r="D13" s="12" t="n">
        <v>75440</v>
      </c>
      <c r="E13" s="12" t="n">
        <v>75440</v>
      </c>
      <c r="F13" s="12" t="n">
        <v>100</v>
      </c>
      <c r="G13" s="13" t="n">
        <f aca="false">IF(E13=0,0,D13/E13*100)</f>
        <v>100</v>
      </c>
      <c r="H13" s="13" t="n">
        <f aca="false">ROUND(G13-F13,2)</f>
        <v>0</v>
      </c>
    </row>
    <row r="14" customFormat="false" ht="15" hidden="false" customHeight="true" outlineLevel="0" collapsed="false">
      <c r="A14" s="10" t="s">
        <v>16</v>
      </c>
      <c r="B14" s="11" t="s">
        <v>11</v>
      </c>
      <c r="C14" s="12" t="n">
        <v>0</v>
      </c>
      <c r="D14" s="12" t="n">
        <v>121994.98</v>
      </c>
      <c r="E14" s="12" t="n">
        <v>135550</v>
      </c>
      <c r="F14" s="12" t="n">
        <v>90</v>
      </c>
      <c r="G14" s="13" t="n">
        <f aca="false">IF(E14=0,0,D14/E14*100)</f>
        <v>89.9999852452969</v>
      </c>
      <c r="H14" s="13" t="n">
        <f aca="false">ROUND(G14-F14,2)</f>
        <v>-0</v>
      </c>
    </row>
    <row r="15" customFormat="false" ht="15" hidden="false" customHeight="true" outlineLevel="0" collapsed="false">
      <c r="A15" s="14"/>
      <c r="B15" s="11" t="s">
        <v>12</v>
      </c>
      <c r="C15" s="12" t="n">
        <v>0</v>
      </c>
      <c r="D15" s="12" t="n">
        <v>121994.98</v>
      </c>
      <c r="E15" s="12" t="n">
        <v>135550</v>
      </c>
      <c r="F15" s="12" t="n">
        <v>90</v>
      </c>
      <c r="G15" s="13" t="n">
        <f aca="false">IF(E15=0,0,D15/E15*100)</f>
        <v>89.9999852452969</v>
      </c>
      <c r="H15" s="13" t="n">
        <f aca="false">ROUND(G15-F15,2)</f>
        <v>-0</v>
      </c>
    </row>
    <row r="16" customFormat="false" ht="15" hidden="false" customHeight="true" outlineLevel="0" collapsed="false">
      <c r="A16" s="14"/>
      <c r="B16" s="11" t="s">
        <v>13</v>
      </c>
      <c r="C16" s="12" t="n">
        <v>0</v>
      </c>
      <c r="D16" s="12" t="n">
        <v>97595.98</v>
      </c>
      <c r="E16" s="12" t="n">
        <v>108440</v>
      </c>
      <c r="F16" s="12" t="n">
        <v>90</v>
      </c>
      <c r="G16" s="13" t="n">
        <f aca="false">IF(E16=0,0,D16/E16*100)</f>
        <v>89.9999815566212</v>
      </c>
      <c r="H16" s="13" t="n">
        <f aca="false">ROUND(G16-F16,2)</f>
        <v>-0</v>
      </c>
    </row>
    <row r="17" customFormat="false" ht="15" hidden="false" customHeight="true" outlineLevel="0" collapsed="false">
      <c r="A17" s="10" t="s">
        <v>17</v>
      </c>
      <c r="B17" s="11" t="s">
        <v>11</v>
      </c>
      <c r="C17" s="12" t="n">
        <v>0</v>
      </c>
      <c r="D17" s="12" t="n">
        <v>50828.54</v>
      </c>
      <c r="E17" s="12" t="n">
        <v>51562.5</v>
      </c>
      <c r="F17" s="12" t="n">
        <v>98.58</v>
      </c>
      <c r="G17" s="13" t="n">
        <f aca="false">IF(E17=0,0,D17/E17*100)</f>
        <v>98.5765624242424</v>
      </c>
      <c r="H17" s="13" t="n">
        <f aca="false">ROUND(G17-F17,2)</f>
        <v>-0</v>
      </c>
    </row>
    <row r="18" customFormat="false" ht="15" hidden="false" customHeight="true" outlineLevel="0" collapsed="false">
      <c r="A18" s="14"/>
      <c r="B18" s="11" t="s">
        <v>12</v>
      </c>
      <c r="C18" s="12" t="n">
        <v>0</v>
      </c>
      <c r="D18" s="12" t="n">
        <v>50828.54</v>
      </c>
      <c r="E18" s="12" t="n">
        <v>51562.5</v>
      </c>
      <c r="F18" s="12" t="n">
        <v>98.58</v>
      </c>
      <c r="G18" s="13" t="n">
        <f aca="false">IF(E18=0,0,D18/E18*100)</f>
        <v>98.5765624242424</v>
      </c>
      <c r="H18" s="13" t="n">
        <f aca="false">ROUND(G18-F18,2)</f>
        <v>-0</v>
      </c>
    </row>
    <row r="19" customFormat="false" ht="15" hidden="false" customHeight="true" outlineLevel="0" collapsed="false">
      <c r="A19" s="14"/>
      <c r="B19" s="11" t="s">
        <v>13</v>
      </c>
      <c r="C19" s="12" t="n">
        <v>0</v>
      </c>
      <c r="D19" s="12" t="n">
        <v>40662.83</v>
      </c>
      <c r="E19" s="12" t="n">
        <v>41250</v>
      </c>
      <c r="F19" s="12" t="n">
        <v>98.58</v>
      </c>
      <c r="G19" s="13" t="n">
        <f aca="false">IF(E19=0,0,D19/E19*100)</f>
        <v>98.5765575757576</v>
      </c>
      <c r="H19" s="13" t="n">
        <f aca="false">ROUND(G19-F19,2)</f>
        <v>-0</v>
      </c>
    </row>
    <row r="20" customFormat="false" ht="15" hidden="false" customHeight="true" outlineLevel="0" collapsed="false">
      <c r="A20" s="10" t="s">
        <v>18</v>
      </c>
      <c r="B20" s="11" t="s">
        <v>11</v>
      </c>
      <c r="C20" s="12" t="n">
        <v>0</v>
      </c>
      <c r="D20" s="12" t="n">
        <v>34550.27</v>
      </c>
      <c r="E20" s="12" t="n">
        <v>37200</v>
      </c>
      <c r="F20" s="12" t="n">
        <v>92.88</v>
      </c>
      <c r="G20" s="13" t="n">
        <f aca="false">IF(E20=0,0,D20/E20*100)</f>
        <v>92.8770698924731</v>
      </c>
      <c r="H20" s="13" t="n">
        <f aca="false">ROUND(G20-F20,2)</f>
        <v>-0</v>
      </c>
    </row>
    <row r="21" customFormat="false" ht="15" hidden="false" customHeight="true" outlineLevel="0" collapsed="false">
      <c r="A21" s="14"/>
      <c r="B21" s="11" t="s">
        <v>12</v>
      </c>
      <c r="C21" s="12" t="n">
        <v>0</v>
      </c>
      <c r="D21" s="12" t="n">
        <v>34550.27</v>
      </c>
      <c r="E21" s="12" t="n">
        <v>37200</v>
      </c>
      <c r="F21" s="12" t="n">
        <v>92.88</v>
      </c>
      <c r="G21" s="13" t="n">
        <f aca="false">IF(E21=0,0,D21/E21*100)</f>
        <v>92.8770698924731</v>
      </c>
      <c r="H21" s="13" t="n">
        <f aca="false">ROUND(G21-F21,2)</f>
        <v>-0</v>
      </c>
    </row>
    <row r="22" customFormat="false" ht="15" hidden="false" customHeight="true" outlineLevel="0" collapsed="false">
      <c r="A22" s="14"/>
      <c r="B22" s="11" t="s">
        <v>13</v>
      </c>
      <c r="C22" s="12" t="n">
        <v>0</v>
      </c>
      <c r="D22" s="12" t="n">
        <v>27640.23</v>
      </c>
      <c r="E22" s="12" t="n">
        <v>29760</v>
      </c>
      <c r="F22" s="12" t="n">
        <v>92.88</v>
      </c>
      <c r="G22" s="13" t="n">
        <f aca="false">IF(E22=0,0,D22/E22*100)</f>
        <v>92.8771169354839</v>
      </c>
      <c r="H22" s="13" t="n">
        <f aca="false">ROUND(G22-F22,2)</f>
        <v>-0</v>
      </c>
    </row>
    <row r="23" customFormat="false" ht="15" hidden="false" customHeight="true" outlineLevel="0" collapsed="false">
      <c r="A23" s="10" t="s">
        <v>19</v>
      </c>
      <c r="B23" s="11" t="s">
        <v>11</v>
      </c>
      <c r="C23" s="12" t="n">
        <v>0</v>
      </c>
      <c r="D23" s="12" t="n">
        <v>24600</v>
      </c>
      <c r="E23" s="12" t="n">
        <v>67325</v>
      </c>
      <c r="F23" s="12" t="n">
        <v>36.54</v>
      </c>
      <c r="G23" s="13" t="n">
        <f aca="false">IF(E23=0,0,D23/E23*100)</f>
        <v>36.5391756405496</v>
      </c>
      <c r="H23" s="13" t="n">
        <f aca="false">ROUND(G23-F23,2)</f>
        <v>-0</v>
      </c>
    </row>
    <row r="24" customFormat="false" ht="15" hidden="false" customHeight="true" outlineLevel="0" collapsed="false">
      <c r="A24" s="14"/>
      <c r="B24" s="11" t="s">
        <v>12</v>
      </c>
      <c r="C24" s="12" t="n">
        <v>0</v>
      </c>
      <c r="D24" s="12" t="n">
        <v>24600</v>
      </c>
      <c r="E24" s="12" t="n">
        <v>67325</v>
      </c>
      <c r="F24" s="12" t="n">
        <v>36.54</v>
      </c>
      <c r="G24" s="13" t="n">
        <f aca="false">IF(E24=0,0,D24/E24*100)</f>
        <v>36.5391756405496</v>
      </c>
      <c r="H24" s="13" t="n">
        <f aca="false">ROUND(G24-F24,2)</f>
        <v>-0</v>
      </c>
    </row>
    <row r="25" customFormat="false" ht="15" hidden="false" customHeight="true" outlineLevel="0" collapsed="false">
      <c r="A25" s="14"/>
      <c r="B25" s="11" t="s">
        <v>13</v>
      </c>
      <c r="C25" s="12" t="n">
        <v>0</v>
      </c>
      <c r="D25" s="12" t="n">
        <v>19680</v>
      </c>
      <c r="E25" s="12" t="n">
        <v>53860</v>
      </c>
      <c r="F25" s="12" t="n">
        <v>36.54</v>
      </c>
      <c r="G25" s="13" t="n">
        <f aca="false">IF(E25=0,0,D25/E25*100)</f>
        <v>36.5391756405496</v>
      </c>
      <c r="H25" s="13" t="n">
        <f aca="false">ROUND(G25-F25,2)</f>
        <v>-0</v>
      </c>
    </row>
    <row r="26" customFormat="false" ht="15" hidden="false" customHeight="true" outlineLevel="0" collapsed="false">
      <c r="A26" s="10" t="s">
        <v>20</v>
      </c>
      <c r="B26" s="11" t="s">
        <v>11</v>
      </c>
      <c r="C26" s="12" t="n">
        <v>0</v>
      </c>
      <c r="D26" s="12" t="n">
        <v>103125</v>
      </c>
      <c r="E26" s="12" t="n">
        <v>103125</v>
      </c>
      <c r="F26" s="12" t="n">
        <v>100</v>
      </c>
      <c r="G26" s="13" t="n">
        <f aca="false">IF(E26=0,0,D26/E26*100)</f>
        <v>100</v>
      </c>
      <c r="H26" s="13" t="n">
        <f aca="false">ROUND(G26-F26,2)</f>
        <v>0</v>
      </c>
    </row>
    <row r="27" customFormat="false" ht="15" hidden="false" customHeight="true" outlineLevel="0" collapsed="false">
      <c r="A27" s="14"/>
      <c r="B27" s="11" t="s">
        <v>12</v>
      </c>
      <c r="C27" s="12" t="n">
        <v>0</v>
      </c>
      <c r="D27" s="12" t="n">
        <v>103125</v>
      </c>
      <c r="E27" s="12" t="n">
        <v>103125</v>
      </c>
      <c r="F27" s="12" t="n">
        <v>100</v>
      </c>
      <c r="G27" s="13" t="n">
        <f aca="false">IF(E27=0,0,D27/E27*100)</f>
        <v>100</v>
      </c>
      <c r="H27" s="13" t="n">
        <f aca="false">ROUND(G27-F27,2)</f>
        <v>0</v>
      </c>
    </row>
    <row r="28" customFormat="false" ht="15" hidden="false" customHeight="true" outlineLevel="0" collapsed="false">
      <c r="A28" s="14"/>
      <c r="B28" s="11" t="s">
        <v>13</v>
      </c>
      <c r="C28" s="12" t="n">
        <v>0</v>
      </c>
      <c r="D28" s="12" t="n">
        <v>82500</v>
      </c>
      <c r="E28" s="12" t="n">
        <v>82500</v>
      </c>
      <c r="F28" s="12" t="n">
        <v>100</v>
      </c>
      <c r="G28" s="13" t="n">
        <f aca="false">IF(E28=0,0,D28/E28*100)</f>
        <v>100</v>
      </c>
      <c r="H28" s="13" t="n">
        <f aca="false">ROUND(G28-F28,2)</f>
        <v>0</v>
      </c>
    </row>
    <row r="29" customFormat="false" ht="15" hidden="false" customHeight="true" outlineLevel="0" collapsed="false">
      <c r="A29" s="10" t="s">
        <v>21</v>
      </c>
      <c r="B29" s="11" t="s">
        <v>11</v>
      </c>
      <c r="C29" s="12" t="n">
        <v>0</v>
      </c>
      <c r="D29" s="12" t="n">
        <v>2276.08</v>
      </c>
      <c r="E29" s="12" t="n">
        <v>3571.43</v>
      </c>
      <c r="F29" s="12" t="n">
        <v>63.73</v>
      </c>
      <c r="G29" s="13" t="n">
        <f aca="false">IF(E29=0,0,D29/E29*100)</f>
        <v>63.7302145079142</v>
      </c>
      <c r="H29" s="13" t="n">
        <f aca="false">ROUND(G29-F29,2)</f>
        <v>0</v>
      </c>
    </row>
    <row r="30" customFormat="false" ht="15" hidden="false" customHeight="true" outlineLevel="0" collapsed="false">
      <c r="A30" s="14"/>
      <c r="B30" s="11" t="s">
        <v>12</v>
      </c>
      <c r="C30" s="12" t="n">
        <v>0</v>
      </c>
      <c r="D30" s="12" t="n">
        <v>2276.08</v>
      </c>
      <c r="E30" s="12" t="n">
        <v>3571.43</v>
      </c>
      <c r="F30" s="12" t="n">
        <v>63.73</v>
      </c>
      <c r="G30" s="13" t="n">
        <f aca="false">IF(E30=0,0,D30/E30*100)</f>
        <v>63.7302145079142</v>
      </c>
      <c r="H30" s="13" t="n">
        <f aca="false">ROUND(G30-F30,2)</f>
        <v>0</v>
      </c>
    </row>
    <row r="31" customFormat="false" ht="15" hidden="false" customHeight="true" outlineLevel="0" collapsed="false">
      <c r="A31" s="14"/>
      <c r="B31" s="11" t="s">
        <v>13</v>
      </c>
      <c r="C31" s="12" t="n">
        <v>0</v>
      </c>
      <c r="D31" s="12" t="n">
        <v>1820.86</v>
      </c>
      <c r="E31" s="12" t="n">
        <v>2857.14</v>
      </c>
      <c r="F31" s="12" t="n">
        <v>63.73</v>
      </c>
      <c r="G31" s="13" t="n">
        <f aca="false">IF(E31=0,0,D31/E31*100)</f>
        <v>63.7301637301637</v>
      </c>
      <c r="H31" s="13" t="n">
        <f aca="false">ROUND(G31-F31,2)</f>
        <v>0</v>
      </c>
    </row>
    <row r="32" customFormat="false" ht="15" hidden="false" customHeight="true" outlineLevel="0" collapsed="false">
      <c r="A32" s="10" t="s">
        <v>22</v>
      </c>
      <c r="B32" s="11" t="s">
        <v>11</v>
      </c>
      <c r="C32" s="12" t="n">
        <v>0</v>
      </c>
      <c r="D32" s="12" t="n">
        <v>98750</v>
      </c>
      <c r="E32" s="12" t="n">
        <v>98750</v>
      </c>
      <c r="F32" s="12" t="n">
        <v>100</v>
      </c>
      <c r="G32" s="13" t="n">
        <f aca="false">IF(E32=0,0,D32/E32*100)</f>
        <v>100</v>
      </c>
      <c r="H32" s="13" t="n">
        <f aca="false">ROUND(G32-F32,2)</f>
        <v>0</v>
      </c>
    </row>
    <row r="33" customFormat="false" ht="15" hidden="false" customHeight="true" outlineLevel="0" collapsed="false">
      <c r="A33" s="14"/>
      <c r="B33" s="11" t="s">
        <v>12</v>
      </c>
      <c r="C33" s="12" t="n">
        <v>0</v>
      </c>
      <c r="D33" s="12" t="n">
        <v>98750</v>
      </c>
      <c r="E33" s="12" t="n">
        <v>98750</v>
      </c>
      <c r="F33" s="12" t="n">
        <v>100</v>
      </c>
      <c r="G33" s="13" t="n">
        <f aca="false">IF(E33=0,0,D33/E33*100)</f>
        <v>100</v>
      </c>
      <c r="H33" s="13" t="n">
        <f aca="false">ROUND(G33-F33,2)</f>
        <v>0</v>
      </c>
    </row>
    <row r="34" customFormat="false" ht="15" hidden="false" customHeight="true" outlineLevel="0" collapsed="false">
      <c r="A34" s="14"/>
      <c r="B34" s="11" t="s">
        <v>13</v>
      </c>
      <c r="C34" s="12" t="n">
        <v>0</v>
      </c>
      <c r="D34" s="12" t="n">
        <v>79000</v>
      </c>
      <c r="E34" s="12" t="n">
        <v>79000</v>
      </c>
      <c r="F34" s="12" t="n">
        <v>100</v>
      </c>
      <c r="G34" s="13" t="n">
        <f aca="false">IF(E34=0,0,D34/E34*100)</f>
        <v>100</v>
      </c>
      <c r="H34" s="13" t="n">
        <f aca="false">ROUND(G34-F34,2)</f>
        <v>0</v>
      </c>
    </row>
    <row r="35" customFormat="false" ht="27.75" hidden="false" customHeight="true" outlineLevel="0" collapsed="false">
      <c r="A35" s="5" t="s">
        <v>23</v>
      </c>
      <c r="B35" s="6" t="s">
        <v>11</v>
      </c>
      <c r="C35" s="7" t="n">
        <v>335904.98</v>
      </c>
      <c r="D35" s="7" t="n">
        <v>1008769.29</v>
      </c>
      <c r="E35" s="7" t="n">
        <v>1226935.71</v>
      </c>
      <c r="F35" s="7" t="n">
        <v>82.22</v>
      </c>
      <c r="G35" s="8" t="n">
        <f aca="false">IF(E35=0,0,D35/E35*100)</f>
        <v>82.2185939962576</v>
      </c>
      <c r="H35" s="8" t="n">
        <f aca="false">ROUND(G35-F35,2)</f>
        <v>-0</v>
      </c>
    </row>
    <row r="36" customFormat="false" ht="15" hidden="false" customHeight="true" outlineLevel="0" collapsed="false">
      <c r="A36" s="9"/>
      <c r="B36" s="6" t="s">
        <v>12</v>
      </c>
      <c r="C36" s="7" t="n">
        <v>335904.98</v>
      </c>
      <c r="D36" s="7" t="n">
        <v>842569.29</v>
      </c>
      <c r="E36" s="7" t="n">
        <v>1203935.71</v>
      </c>
      <c r="F36" s="7" t="n">
        <v>69.98</v>
      </c>
      <c r="G36" s="8" t="n">
        <f aca="false">IF(E36=0,0,D36/E36*100)</f>
        <v>69.9845750069163</v>
      </c>
      <c r="H36" s="8" t="n">
        <f aca="false">ROUND(G36-F36,2)</f>
        <v>0</v>
      </c>
    </row>
    <row r="37" customFormat="false" ht="15" hidden="false" customHeight="true" outlineLevel="0" collapsed="false">
      <c r="A37" s="9"/>
      <c r="B37" s="6" t="s">
        <v>13</v>
      </c>
      <c r="C37" s="7" t="n">
        <v>268723.98</v>
      </c>
      <c r="D37" s="7" t="n">
        <v>674055.43</v>
      </c>
      <c r="E37" s="7" t="n">
        <v>963148.56</v>
      </c>
      <c r="F37" s="7" t="n">
        <v>69.98</v>
      </c>
      <c r="G37" s="8" t="n">
        <f aca="false">IF(E37=0,0,D37/E37*100)</f>
        <v>69.9845753805623</v>
      </c>
      <c r="H37" s="8" t="n">
        <f aca="false">ROUND(G37-F37,2)</f>
        <v>0</v>
      </c>
    </row>
    <row r="38" customFormat="false" ht="15" hidden="false" customHeight="true" outlineLevel="0" collapsed="false">
      <c r="A38" s="10" t="s">
        <v>24</v>
      </c>
      <c r="B38" s="11" t="s">
        <v>11</v>
      </c>
      <c r="C38" s="12" t="n">
        <v>110800</v>
      </c>
      <c r="D38" s="12" t="n">
        <v>332400</v>
      </c>
      <c r="E38" s="12" t="n">
        <v>332400</v>
      </c>
      <c r="F38" s="12" t="n">
        <v>100</v>
      </c>
      <c r="G38" s="13" t="n">
        <f aca="false">IF(E38=0,0,D38/E38*100)</f>
        <v>100</v>
      </c>
      <c r="H38" s="13" t="n">
        <f aca="false">ROUND(G38-F38,2)</f>
        <v>0</v>
      </c>
    </row>
    <row r="39" customFormat="false" ht="15" hidden="false" customHeight="true" outlineLevel="0" collapsed="false">
      <c r="A39" s="14"/>
      <c r="B39" s="11" t="s">
        <v>12</v>
      </c>
      <c r="C39" s="12" t="n">
        <v>110800</v>
      </c>
      <c r="D39" s="12" t="n">
        <v>166200</v>
      </c>
      <c r="E39" s="12" t="n">
        <v>332400</v>
      </c>
      <c r="F39" s="12" t="n">
        <v>50</v>
      </c>
      <c r="G39" s="13" t="n">
        <f aca="false">IF(E39=0,0,D39/E39*100)</f>
        <v>50</v>
      </c>
      <c r="H39" s="13" t="n">
        <f aca="false">ROUND(G39-F39,2)</f>
        <v>0</v>
      </c>
    </row>
    <row r="40" customFormat="false" ht="15" hidden="false" customHeight="true" outlineLevel="0" collapsed="false">
      <c r="A40" s="14"/>
      <c r="B40" s="11" t="s">
        <v>13</v>
      </c>
      <c r="C40" s="12" t="n">
        <v>88640</v>
      </c>
      <c r="D40" s="12" t="n">
        <v>132960</v>
      </c>
      <c r="E40" s="12" t="n">
        <v>265920</v>
      </c>
      <c r="F40" s="12" t="n">
        <v>50</v>
      </c>
      <c r="G40" s="13" t="n">
        <f aca="false">IF(E40=0,0,D40/E40*100)</f>
        <v>50</v>
      </c>
      <c r="H40" s="13" t="n">
        <f aca="false">ROUND(G40-F40,2)</f>
        <v>0</v>
      </c>
    </row>
    <row r="41" customFormat="false" ht="15" hidden="false" customHeight="true" outlineLevel="0" collapsed="false">
      <c r="A41" s="10" t="s">
        <v>25</v>
      </c>
      <c r="B41" s="11" t="s">
        <v>11</v>
      </c>
      <c r="C41" s="12" t="n">
        <v>37720</v>
      </c>
      <c r="D41" s="12" t="n">
        <v>113168.16</v>
      </c>
      <c r="E41" s="12" t="n">
        <v>113160</v>
      </c>
      <c r="F41" s="12" t="n">
        <v>100.01</v>
      </c>
      <c r="G41" s="13" t="n">
        <f aca="false">IF(E41=0,0,D41/E41*100)</f>
        <v>100.007211028632</v>
      </c>
      <c r="H41" s="13" t="n">
        <f aca="false">ROUND(G41-F41,2)</f>
        <v>-0</v>
      </c>
    </row>
    <row r="42" customFormat="false" ht="15" hidden="false" customHeight="true" outlineLevel="0" collapsed="false">
      <c r="A42" s="14"/>
      <c r="B42" s="11" t="s">
        <v>12</v>
      </c>
      <c r="C42" s="12" t="n">
        <v>37720</v>
      </c>
      <c r="D42" s="12" t="n">
        <v>113168.16</v>
      </c>
      <c r="E42" s="12" t="n">
        <v>113160</v>
      </c>
      <c r="F42" s="12" t="n">
        <v>100.01</v>
      </c>
      <c r="G42" s="13" t="n">
        <f aca="false">IF(E42=0,0,D42/E42*100)</f>
        <v>100.007211028632</v>
      </c>
      <c r="H42" s="13" t="n">
        <f aca="false">ROUND(G42-F42,2)</f>
        <v>-0</v>
      </c>
    </row>
    <row r="43" customFormat="false" ht="15" hidden="false" customHeight="true" outlineLevel="0" collapsed="false">
      <c r="A43" s="14"/>
      <c r="B43" s="11" t="s">
        <v>13</v>
      </c>
      <c r="C43" s="12" t="n">
        <v>30176</v>
      </c>
      <c r="D43" s="12" t="n">
        <v>90534.53</v>
      </c>
      <c r="E43" s="12" t="n">
        <v>90528</v>
      </c>
      <c r="F43" s="12" t="n">
        <v>100.01</v>
      </c>
      <c r="G43" s="13" t="n">
        <f aca="false">IF(E43=0,0,D43/E43*100)</f>
        <v>100.007213237893</v>
      </c>
      <c r="H43" s="13" t="n">
        <f aca="false">ROUND(G43-F43,2)</f>
        <v>-0</v>
      </c>
    </row>
    <row r="44" customFormat="false" ht="15" hidden="false" customHeight="true" outlineLevel="0" collapsed="false">
      <c r="A44" s="10" t="s">
        <v>26</v>
      </c>
      <c r="B44" s="11" t="s">
        <v>11</v>
      </c>
      <c r="C44" s="12" t="n">
        <v>40664.98</v>
      </c>
      <c r="D44" s="12" t="n">
        <v>121024.78</v>
      </c>
      <c r="E44" s="12" t="n">
        <v>162660</v>
      </c>
      <c r="F44" s="12" t="n">
        <v>74.4</v>
      </c>
      <c r="G44" s="13" t="n">
        <f aca="false">IF(E44=0,0,D44/E44*100)</f>
        <v>74.4035288331489</v>
      </c>
      <c r="H44" s="13" t="n">
        <f aca="false">ROUND(G44-F44,2)</f>
        <v>0</v>
      </c>
    </row>
    <row r="45" customFormat="false" ht="15" hidden="false" customHeight="true" outlineLevel="0" collapsed="false">
      <c r="A45" s="14"/>
      <c r="B45" s="11" t="s">
        <v>12</v>
      </c>
      <c r="C45" s="12" t="n">
        <v>40664.98</v>
      </c>
      <c r="D45" s="12" t="n">
        <v>121024.78</v>
      </c>
      <c r="E45" s="12" t="n">
        <v>162660</v>
      </c>
      <c r="F45" s="12" t="n">
        <v>74.4</v>
      </c>
      <c r="G45" s="13" t="n">
        <f aca="false">IF(E45=0,0,D45/E45*100)</f>
        <v>74.4035288331489</v>
      </c>
      <c r="H45" s="13" t="n">
        <f aca="false">ROUND(G45-F45,2)</f>
        <v>0</v>
      </c>
    </row>
    <row r="46" customFormat="false" ht="15" hidden="false" customHeight="true" outlineLevel="0" collapsed="false">
      <c r="A46" s="14"/>
      <c r="B46" s="11" t="s">
        <v>13</v>
      </c>
      <c r="C46" s="12" t="n">
        <v>32531.98</v>
      </c>
      <c r="D46" s="12" t="n">
        <v>96819.8</v>
      </c>
      <c r="E46" s="12" t="n">
        <v>130128</v>
      </c>
      <c r="F46" s="12" t="n">
        <v>74.4</v>
      </c>
      <c r="G46" s="13" t="n">
        <f aca="false">IF(E46=0,0,D46/E46*100)</f>
        <v>74.4035103897701</v>
      </c>
      <c r="H46" s="13" t="n">
        <f aca="false">ROUND(G46-F46,2)</f>
        <v>0</v>
      </c>
    </row>
    <row r="47" customFormat="false" ht="15" hidden="false" customHeight="true" outlineLevel="0" collapsed="false">
      <c r="A47" s="10" t="s">
        <v>27</v>
      </c>
      <c r="B47" s="11" t="s">
        <v>11</v>
      </c>
      <c r="C47" s="12" t="n">
        <v>41250</v>
      </c>
      <c r="D47" s="12" t="n">
        <v>123750</v>
      </c>
      <c r="E47" s="12" t="n">
        <v>123750</v>
      </c>
      <c r="F47" s="12" t="n">
        <v>100</v>
      </c>
      <c r="G47" s="13" t="n">
        <f aca="false">IF(E47=0,0,D47/E47*100)</f>
        <v>100</v>
      </c>
      <c r="H47" s="13" t="n">
        <f aca="false">ROUND(G47-F47,2)</f>
        <v>0</v>
      </c>
    </row>
    <row r="48" customFormat="false" ht="15" hidden="false" customHeight="true" outlineLevel="0" collapsed="false">
      <c r="A48" s="14"/>
      <c r="B48" s="11" t="s">
        <v>12</v>
      </c>
      <c r="C48" s="12" t="n">
        <v>41250</v>
      </c>
      <c r="D48" s="12" t="n">
        <v>123750</v>
      </c>
      <c r="E48" s="12" t="n">
        <v>123750</v>
      </c>
      <c r="F48" s="12" t="n">
        <v>100</v>
      </c>
      <c r="G48" s="13" t="n">
        <f aca="false">IF(E48=0,0,D48/E48*100)</f>
        <v>100</v>
      </c>
      <c r="H48" s="13" t="n">
        <f aca="false">ROUND(G48-F48,2)</f>
        <v>0</v>
      </c>
    </row>
    <row r="49" customFormat="false" ht="15" hidden="false" customHeight="true" outlineLevel="0" collapsed="false">
      <c r="A49" s="14"/>
      <c r="B49" s="11" t="s">
        <v>13</v>
      </c>
      <c r="C49" s="12" t="n">
        <v>33000</v>
      </c>
      <c r="D49" s="12" t="n">
        <v>99000</v>
      </c>
      <c r="E49" s="12" t="n">
        <v>99000</v>
      </c>
      <c r="F49" s="12" t="n">
        <v>100</v>
      </c>
      <c r="G49" s="13" t="n">
        <f aca="false">IF(E49=0,0,D49/E49*100)</f>
        <v>100</v>
      </c>
      <c r="H49" s="13" t="n">
        <f aca="false">ROUND(G49-F49,2)</f>
        <v>0</v>
      </c>
    </row>
    <row r="50" customFormat="false" ht="15" hidden="false" customHeight="true" outlineLevel="0" collapsed="false">
      <c r="A50" s="10" t="s">
        <v>28</v>
      </c>
      <c r="B50" s="11" t="s">
        <v>11</v>
      </c>
      <c r="C50" s="12" t="n">
        <v>14880</v>
      </c>
      <c r="D50" s="12" t="n">
        <v>44388.77</v>
      </c>
      <c r="E50" s="12" t="n">
        <v>44640</v>
      </c>
      <c r="F50" s="12" t="n">
        <v>99.44</v>
      </c>
      <c r="G50" s="13" t="n">
        <f aca="false">IF(E50=0,0,D50/E50*100)</f>
        <v>99.437208781362</v>
      </c>
      <c r="H50" s="13" t="n">
        <f aca="false">ROUND(G50-F50,2)</f>
        <v>-0</v>
      </c>
    </row>
    <row r="51" customFormat="false" ht="15" hidden="false" customHeight="true" outlineLevel="0" collapsed="false">
      <c r="A51" s="14"/>
      <c r="B51" s="11" t="s">
        <v>12</v>
      </c>
      <c r="C51" s="12" t="n">
        <v>14880</v>
      </c>
      <c r="D51" s="12" t="n">
        <v>44388.77</v>
      </c>
      <c r="E51" s="12" t="n">
        <v>44640</v>
      </c>
      <c r="F51" s="12" t="n">
        <v>99.44</v>
      </c>
      <c r="G51" s="13" t="n">
        <f aca="false">IF(E51=0,0,D51/E51*100)</f>
        <v>99.437208781362</v>
      </c>
      <c r="H51" s="13" t="n">
        <f aca="false">ROUND(G51-F51,2)</f>
        <v>-0</v>
      </c>
    </row>
    <row r="52" customFormat="false" ht="15" hidden="false" customHeight="true" outlineLevel="0" collapsed="false">
      <c r="A52" s="14"/>
      <c r="B52" s="11" t="s">
        <v>13</v>
      </c>
      <c r="C52" s="12" t="n">
        <v>11904</v>
      </c>
      <c r="D52" s="12" t="n">
        <v>35511.02</v>
      </c>
      <c r="E52" s="12" t="n">
        <v>35712</v>
      </c>
      <c r="F52" s="12" t="n">
        <v>99.44</v>
      </c>
      <c r="G52" s="13" t="n">
        <f aca="false">IF(E52=0,0,D52/E52*100)</f>
        <v>99.4372199820788</v>
      </c>
      <c r="H52" s="13" t="n">
        <f aca="false">ROUND(G52-F52,2)</f>
        <v>-0</v>
      </c>
    </row>
    <row r="53" customFormat="false" ht="15" hidden="false" customHeight="true" outlineLevel="0" collapsed="false">
      <c r="A53" s="10" t="s">
        <v>29</v>
      </c>
      <c r="B53" s="11" t="s">
        <v>11</v>
      </c>
      <c r="C53" s="12" t="n">
        <v>41250</v>
      </c>
      <c r="D53" s="12" t="n">
        <v>123750</v>
      </c>
      <c r="E53" s="12" t="n">
        <v>123750</v>
      </c>
      <c r="F53" s="12" t="n">
        <v>100</v>
      </c>
      <c r="G53" s="13" t="n">
        <f aca="false">IF(E53=0,0,D53/E53*100)</f>
        <v>100</v>
      </c>
      <c r="H53" s="13" t="n">
        <f aca="false">ROUND(G53-F53,2)</f>
        <v>0</v>
      </c>
    </row>
    <row r="54" customFormat="false" ht="15" hidden="false" customHeight="true" outlineLevel="0" collapsed="false">
      <c r="A54" s="14"/>
      <c r="B54" s="11" t="s">
        <v>12</v>
      </c>
      <c r="C54" s="12" t="n">
        <v>41250</v>
      </c>
      <c r="D54" s="12" t="n">
        <v>123750</v>
      </c>
      <c r="E54" s="12" t="n">
        <v>123750</v>
      </c>
      <c r="F54" s="12" t="n">
        <v>100</v>
      </c>
      <c r="G54" s="13" t="n">
        <f aca="false">IF(E54=0,0,D54/E54*100)</f>
        <v>100</v>
      </c>
      <c r="H54" s="13" t="n">
        <f aca="false">ROUND(G54-F54,2)</f>
        <v>0</v>
      </c>
    </row>
    <row r="55" customFormat="false" ht="15" hidden="false" customHeight="true" outlineLevel="0" collapsed="false">
      <c r="A55" s="14"/>
      <c r="B55" s="11" t="s">
        <v>13</v>
      </c>
      <c r="C55" s="12" t="n">
        <v>33000</v>
      </c>
      <c r="D55" s="12" t="n">
        <v>99000</v>
      </c>
      <c r="E55" s="12" t="n">
        <v>99000</v>
      </c>
      <c r="F55" s="12" t="n">
        <v>100</v>
      </c>
      <c r="G55" s="13" t="n">
        <f aca="false">IF(E55=0,0,D55/E55*100)</f>
        <v>100</v>
      </c>
      <c r="H55" s="13" t="n">
        <f aca="false">ROUND(G55-F55,2)</f>
        <v>0</v>
      </c>
    </row>
    <row r="56" customFormat="false" ht="15" hidden="false" customHeight="true" outlineLevel="0" collapsed="false">
      <c r="A56" s="10" t="s">
        <v>30</v>
      </c>
      <c r="B56" s="11" t="s">
        <v>11</v>
      </c>
      <c r="C56" s="12" t="n">
        <v>9840</v>
      </c>
      <c r="D56" s="12" t="n">
        <v>29517.79</v>
      </c>
      <c r="E56" s="12" t="n">
        <v>80790</v>
      </c>
      <c r="F56" s="12" t="n">
        <v>36.54</v>
      </c>
      <c r="G56" s="13" t="n">
        <f aca="false">IF(E56=0,0,D56/E56*100)</f>
        <v>36.5364401534843</v>
      </c>
      <c r="H56" s="13" t="n">
        <f aca="false">ROUND(G56-F56,2)</f>
        <v>-0</v>
      </c>
    </row>
    <row r="57" customFormat="false" ht="15" hidden="false" customHeight="true" outlineLevel="0" collapsed="false">
      <c r="A57" s="14"/>
      <c r="B57" s="11" t="s">
        <v>12</v>
      </c>
      <c r="C57" s="12" t="n">
        <v>9840</v>
      </c>
      <c r="D57" s="12" t="n">
        <v>29517.79</v>
      </c>
      <c r="E57" s="12" t="n">
        <v>80790</v>
      </c>
      <c r="F57" s="12" t="n">
        <v>36.54</v>
      </c>
      <c r="G57" s="13" t="n">
        <f aca="false">IF(E57=0,0,D57/E57*100)</f>
        <v>36.5364401534843</v>
      </c>
      <c r="H57" s="13" t="n">
        <f aca="false">ROUND(G57-F57,2)</f>
        <v>-0</v>
      </c>
    </row>
    <row r="58" customFormat="false" ht="15" hidden="false" customHeight="true" outlineLevel="0" collapsed="false">
      <c r="A58" s="14"/>
      <c r="B58" s="11" t="s">
        <v>13</v>
      </c>
      <c r="C58" s="12" t="n">
        <v>7872</v>
      </c>
      <c r="D58" s="12" t="n">
        <v>23614.23</v>
      </c>
      <c r="E58" s="12" t="n">
        <v>64632</v>
      </c>
      <c r="F58" s="12" t="n">
        <v>36.54</v>
      </c>
      <c r="G58" s="13" t="n">
        <f aca="false">IF(E58=0,0,D58/E58*100)</f>
        <v>36.536437059042</v>
      </c>
      <c r="H58" s="13" t="n">
        <f aca="false">ROUND(G58-F58,2)</f>
        <v>-0</v>
      </c>
    </row>
    <row r="59" customFormat="false" ht="27.75" hidden="false" customHeight="true" outlineLevel="0" collapsed="false">
      <c r="A59" s="10" t="s">
        <v>31</v>
      </c>
      <c r="B59" s="11" t="s">
        <v>11</v>
      </c>
      <c r="C59" s="12" t="n">
        <v>0</v>
      </c>
      <c r="D59" s="12" t="n">
        <v>0</v>
      </c>
      <c r="E59" s="12" t="n">
        <v>123000</v>
      </c>
      <c r="F59" s="12" t="n">
        <v>0</v>
      </c>
      <c r="G59" s="13" t="n">
        <f aca="false">IF(E59=0,0,D59/E59*100)</f>
        <v>0</v>
      </c>
      <c r="H59" s="13" t="n">
        <f aca="false">ROUND(G59-F59,2)</f>
        <v>0</v>
      </c>
    </row>
    <row r="60" customFormat="false" ht="15" hidden="false" customHeight="true" outlineLevel="0" collapsed="false">
      <c r="A60" s="14"/>
      <c r="B60" s="11" t="s">
        <v>12</v>
      </c>
      <c r="C60" s="12" t="n">
        <v>0</v>
      </c>
      <c r="D60" s="12" t="n">
        <v>0</v>
      </c>
      <c r="E60" s="12" t="n">
        <v>100000</v>
      </c>
      <c r="F60" s="12" t="n">
        <v>0</v>
      </c>
      <c r="G60" s="13" t="n">
        <f aca="false">IF(E60=0,0,D60/E60*100)</f>
        <v>0</v>
      </c>
      <c r="H60" s="13" t="n">
        <f aca="false">ROUND(G60-F60,2)</f>
        <v>0</v>
      </c>
    </row>
    <row r="61" customFormat="false" ht="15" hidden="false" customHeight="true" outlineLevel="0" collapsed="false">
      <c r="A61" s="14"/>
      <c r="B61" s="11" t="s">
        <v>13</v>
      </c>
      <c r="C61" s="12" t="n">
        <v>0</v>
      </c>
      <c r="D61" s="12" t="n">
        <v>0</v>
      </c>
      <c r="E61" s="12" t="n">
        <v>80000</v>
      </c>
      <c r="F61" s="12" t="n">
        <v>0</v>
      </c>
      <c r="G61" s="13" t="n">
        <f aca="false">IF(E61=0,0,D61/E61*100)</f>
        <v>0</v>
      </c>
      <c r="H61" s="13" t="n">
        <f aca="false">ROUND(G61-F61,2)</f>
        <v>0</v>
      </c>
    </row>
    <row r="62" customFormat="false" ht="15" hidden="false" customHeight="true" outlineLevel="0" collapsed="false">
      <c r="A62" s="10" t="s">
        <v>32</v>
      </c>
      <c r="B62" s="11" t="s">
        <v>11</v>
      </c>
      <c r="C62" s="12" t="n">
        <v>0</v>
      </c>
      <c r="D62" s="12" t="n">
        <v>2276.08</v>
      </c>
      <c r="E62" s="12" t="n">
        <v>4285.71</v>
      </c>
      <c r="F62" s="12" t="n">
        <v>53.11</v>
      </c>
      <c r="G62" s="13" t="n">
        <f aca="false">IF(E62=0,0,D62/E62*100)</f>
        <v>53.1085864419198</v>
      </c>
      <c r="H62" s="13" t="n">
        <f aca="false">ROUND(G62-F62,2)</f>
        <v>-0</v>
      </c>
    </row>
    <row r="63" customFormat="false" ht="15" hidden="false" customHeight="true" outlineLevel="0" collapsed="false">
      <c r="A63" s="14"/>
      <c r="B63" s="11" t="s">
        <v>12</v>
      </c>
      <c r="C63" s="12" t="n">
        <v>0</v>
      </c>
      <c r="D63" s="12" t="n">
        <v>2276.08</v>
      </c>
      <c r="E63" s="12" t="n">
        <v>4285.71</v>
      </c>
      <c r="F63" s="12" t="n">
        <v>53.11</v>
      </c>
      <c r="G63" s="13" t="n">
        <f aca="false">IF(E63=0,0,D63/E63*100)</f>
        <v>53.1085864419198</v>
      </c>
      <c r="H63" s="13" t="n">
        <f aca="false">ROUND(G63-F63,2)</f>
        <v>-0</v>
      </c>
    </row>
    <row r="64" customFormat="false" ht="15" hidden="false" customHeight="true" outlineLevel="0" collapsed="false">
      <c r="A64" s="14"/>
      <c r="B64" s="11" t="s">
        <v>13</v>
      </c>
      <c r="C64" s="12" t="n">
        <v>0</v>
      </c>
      <c r="D64" s="12" t="n">
        <v>1820.88</v>
      </c>
      <c r="E64" s="12" t="n">
        <v>3428.56</v>
      </c>
      <c r="F64" s="12" t="n">
        <v>53.11</v>
      </c>
      <c r="G64" s="13" t="n">
        <f aca="false">IF(E64=0,0,D64/E64*100)</f>
        <v>53.1091770305901</v>
      </c>
      <c r="H64" s="13" t="n">
        <f aca="false">ROUND(G64-F64,2)</f>
        <v>-0</v>
      </c>
    </row>
    <row r="65" customFormat="false" ht="15" hidden="false" customHeight="true" outlineLevel="0" collapsed="false">
      <c r="A65" s="10" t="s">
        <v>33</v>
      </c>
      <c r="B65" s="11" t="s">
        <v>11</v>
      </c>
      <c r="C65" s="12" t="n">
        <v>39500</v>
      </c>
      <c r="D65" s="12" t="n">
        <v>118493.71</v>
      </c>
      <c r="E65" s="12" t="n">
        <v>118500</v>
      </c>
      <c r="F65" s="12" t="n">
        <v>99.99</v>
      </c>
      <c r="G65" s="13" t="n">
        <f aca="false">IF(E65=0,0,D65/E65*100)</f>
        <v>99.9946919831224</v>
      </c>
      <c r="H65" s="13" t="n">
        <f aca="false">ROUND(G65-F65,2)</f>
        <v>0</v>
      </c>
    </row>
    <row r="66" customFormat="false" ht="15" hidden="false" customHeight="true" outlineLevel="0" collapsed="false">
      <c r="A66" s="14"/>
      <c r="B66" s="11" t="s">
        <v>12</v>
      </c>
      <c r="C66" s="12" t="n">
        <v>39500</v>
      </c>
      <c r="D66" s="12" t="n">
        <v>118493.71</v>
      </c>
      <c r="E66" s="12" t="n">
        <v>118500</v>
      </c>
      <c r="F66" s="12" t="n">
        <v>99.99</v>
      </c>
      <c r="G66" s="13" t="n">
        <f aca="false">IF(E66=0,0,D66/E66*100)</f>
        <v>99.9946919831224</v>
      </c>
      <c r="H66" s="13" t="n">
        <f aca="false">ROUND(G66-F66,2)</f>
        <v>0</v>
      </c>
    </row>
    <row r="67" customFormat="false" ht="15" hidden="false" customHeight="true" outlineLevel="0" collapsed="false">
      <c r="A67" s="14"/>
      <c r="B67" s="11" t="s">
        <v>13</v>
      </c>
      <c r="C67" s="12" t="n">
        <v>31600</v>
      </c>
      <c r="D67" s="12" t="n">
        <v>94794.97</v>
      </c>
      <c r="E67" s="12" t="n">
        <v>94800</v>
      </c>
      <c r="F67" s="12" t="n">
        <v>99.99</v>
      </c>
      <c r="G67" s="13" t="n">
        <f aca="false">IF(E67=0,0,D67/E67*100)</f>
        <v>99.994694092827</v>
      </c>
      <c r="H67" s="13" t="n">
        <f aca="false">ROUND(G67-F67,2)</f>
        <v>0</v>
      </c>
    </row>
    <row r="68" customFormat="false" ht="27.75" hidden="false" customHeight="true" outlineLevel="0" collapsed="false">
      <c r="A68" s="5" t="s">
        <v>34</v>
      </c>
      <c r="B68" s="6" t="s">
        <v>11</v>
      </c>
      <c r="C68" s="7" t="n">
        <v>0</v>
      </c>
      <c r="D68" s="7" t="n">
        <v>0</v>
      </c>
      <c r="E68" s="7" t="n">
        <v>1103935.71</v>
      </c>
      <c r="F68" s="7" t="n">
        <v>0</v>
      </c>
      <c r="G68" s="8" t="n">
        <f aca="false">IF(E68=0,0,D68/E68*100)</f>
        <v>0</v>
      </c>
      <c r="H68" s="8" t="n">
        <f aca="false">ROUND(G68-F68,2)</f>
        <v>0</v>
      </c>
    </row>
    <row r="69" customFormat="false" ht="15" hidden="false" customHeight="true" outlineLevel="0" collapsed="false">
      <c r="A69" s="9"/>
      <c r="B69" s="6" t="s">
        <v>12</v>
      </c>
      <c r="C69" s="7" t="n">
        <v>0</v>
      </c>
      <c r="D69" s="7" t="n">
        <v>0</v>
      </c>
      <c r="E69" s="7" t="n">
        <v>1103935.71</v>
      </c>
      <c r="F69" s="7" t="n">
        <v>0</v>
      </c>
      <c r="G69" s="8" t="n">
        <f aca="false">IF(E69=0,0,D69/E69*100)</f>
        <v>0</v>
      </c>
      <c r="H69" s="8" t="n">
        <f aca="false">ROUND(G69-F69,2)</f>
        <v>0</v>
      </c>
    </row>
    <row r="70" customFormat="false" ht="15" hidden="false" customHeight="true" outlineLevel="0" collapsed="false">
      <c r="A70" s="9"/>
      <c r="B70" s="6" t="s">
        <v>13</v>
      </c>
      <c r="C70" s="7" t="n">
        <v>0</v>
      </c>
      <c r="D70" s="7" t="n">
        <v>0</v>
      </c>
      <c r="E70" s="7" t="n">
        <v>883148.56</v>
      </c>
      <c r="F70" s="7" t="n">
        <v>0</v>
      </c>
      <c r="G70" s="8" t="n">
        <f aca="false">IF(E70=0,0,D70/E70*100)</f>
        <v>0</v>
      </c>
      <c r="H70" s="8" t="n">
        <f aca="false">ROUND(G70-F70,2)</f>
        <v>0</v>
      </c>
    </row>
    <row r="71" customFormat="false" ht="15" hidden="false" customHeight="true" outlineLevel="0" collapsed="false">
      <c r="A71" s="10" t="s">
        <v>35</v>
      </c>
      <c r="B71" s="11" t="s">
        <v>11</v>
      </c>
      <c r="C71" s="12" t="n">
        <v>0</v>
      </c>
      <c r="D71" s="12" t="n">
        <v>0</v>
      </c>
      <c r="E71" s="12" t="n">
        <v>332400</v>
      </c>
      <c r="F71" s="12" t="n">
        <v>0</v>
      </c>
      <c r="G71" s="13" t="n">
        <f aca="false">IF(E71=0,0,D71/E71*100)</f>
        <v>0</v>
      </c>
      <c r="H71" s="13" t="n">
        <f aca="false">ROUND(G71-F71,2)</f>
        <v>0</v>
      </c>
    </row>
    <row r="72" customFormat="false" ht="15" hidden="false" customHeight="true" outlineLevel="0" collapsed="false">
      <c r="A72" s="14"/>
      <c r="B72" s="11" t="s">
        <v>12</v>
      </c>
      <c r="C72" s="12" t="n">
        <v>0</v>
      </c>
      <c r="D72" s="12" t="n">
        <v>0</v>
      </c>
      <c r="E72" s="12" t="n">
        <v>332400</v>
      </c>
      <c r="F72" s="12" t="n">
        <v>0</v>
      </c>
      <c r="G72" s="13" t="n">
        <f aca="false">IF(E72=0,0,D72/E72*100)</f>
        <v>0</v>
      </c>
      <c r="H72" s="13" t="n">
        <f aca="false">ROUND(G72-F72,2)</f>
        <v>0</v>
      </c>
    </row>
    <row r="73" customFormat="false" ht="15" hidden="false" customHeight="true" outlineLevel="0" collapsed="false">
      <c r="A73" s="14"/>
      <c r="B73" s="11" t="s">
        <v>13</v>
      </c>
      <c r="C73" s="12" t="n">
        <v>0</v>
      </c>
      <c r="D73" s="12" t="n">
        <v>0</v>
      </c>
      <c r="E73" s="12" t="n">
        <v>265920</v>
      </c>
      <c r="F73" s="12" t="n">
        <v>0</v>
      </c>
      <c r="G73" s="13" t="n">
        <f aca="false">IF(E73=0,0,D73/E73*100)</f>
        <v>0</v>
      </c>
      <c r="H73" s="13" t="n">
        <f aca="false">ROUND(G73-F73,2)</f>
        <v>0</v>
      </c>
    </row>
    <row r="74" customFormat="false" ht="15" hidden="false" customHeight="true" outlineLevel="0" collapsed="false">
      <c r="A74" s="10" t="s">
        <v>36</v>
      </c>
      <c r="B74" s="11" t="s">
        <v>11</v>
      </c>
      <c r="C74" s="12" t="n">
        <v>0</v>
      </c>
      <c r="D74" s="12" t="n">
        <v>0</v>
      </c>
      <c r="E74" s="12" t="n">
        <v>113160</v>
      </c>
      <c r="F74" s="12" t="n">
        <v>0</v>
      </c>
      <c r="G74" s="13" t="n">
        <f aca="false">IF(E74=0,0,D74/E74*100)</f>
        <v>0</v>
      </c>
      <c r="H74" s="13" t="n">
        <f aca="false">ROUND(G74-F74,2)</f>
        <v>0</v>
      </c>
    </row>
    <row r="75" customFormat="false" ht="15" hidden="false" customHeight="true" outlineLevel="0" collapsed="false">
      <c r="A75" s="14"/>
      <c r="B75" s="11" t="s">
        <v>12</v>
      </c>
      <c r="C75" s="12" t="n">
        <v>0</v>
      </c>
      <c r="D75" s="12" t="n">
        <v>0</v>
      </c>
      <c r="E75" s="12" t="n">
        <v>113160</v>
      </c>
      <c r="F75" s="12" t="n">
        <v>0</v>
      </c>
      <c r="G75" s="13" t="n">
        <f aca="false">IF(E75=0,0,D75/E75*100)</f>
        <v>0</v>
      </c>
      <c r="H75" s="13" t="n">
        <f aca="false">ROUND(G75-F75,2)</f>
        <v>0</v>
      </c>
    </row>
    <row r="76" customFormat="false" ht="15" hidden="false" customHeight="true" outlineLevel="0" collapsed="false">
      <c r="A76" s="14"/>
      <c r="B76" s="11" t="s">
        <v>13</v>
      </c>
      <c r="C76" s="12" t="n">
        <v>0</v>
      </c>
      <c r="D76" s="12" t="n">
        <v>0</v>
      </c>
      <c r="E76" s="12" t="n">
        <v>90528</v>
      </c>
      <c r="F76" s="12" t="n">
        <v>0</v>
      </c>
      <c r="G76" s="13" t="n">
        <f aca="false">IF(E76=0,0,D76/E76*100)</f>
        <v>0</v>
      </c>
      <c r="H76" s="13" t="n">
        <f aca="false">ROUND(G76-F76,2)</f>
        <v>0</v>
      </c>
    </row>
    <row r="77" customFormat="false" ht="15" hidden="false" customHeight="true" outlineLevel="0" collapsed="false">
      <c r="A77" s="10" t="s">
        <v>37</v>
      </c>
      <c r="B77" s="11" t="s">
        <v>11</v>
      </c>
      <c r="C77" s="12" t="n">
        <v>0</v>
      </c>
      <c r="D77" s="12" t="n">
        <v>0</v>
      </c>
      <c r="E77" s="12" t="n">
        <v>162660</v>
      </c>
      <c r="F77" s="12" t="n">
        <v>0</v>
      </c>
      <c r="G77" s="13" t="n">
        <f aca="false">IF(E77=0,0,D77/E77*100)</f>
        <v>0</v>
      </c>
      <c r="H77" s="13" t="n">
        <f aca="false">ROUND(G77-F77,2)</f>
        <v>0</v>
      </c>
    </row>
    <row r="78" customFormat="false" ht="15" hidden="false" customHeight="true" outlineLevel="0" collapsed="false">
      <c r="A78" s="14"/>
      <c r="B78" s="11" t="s">
        <v>12</v>
      </c>
      <c r="C78" s="12" t="n">
        <v>0</v>
      </c>
      <c r="D78" s="12" t="n">
        <v>0</v>
      </c>
      <c r="E78" s="12" t="n">
        <v>162660</v>
      </c>
      <c r="F78" s="12" t="n">
        <v>0</v>
      </c>
      <c r="G78" s="13" t="n">
        <f aca="false">IF(E78=0,0,D78/E78*100)</f>
        <v>0</v>
      </c>
      <c r="H78" s="13" t="n">
        <f aca="false">ROUND(G78-F78,2)</f>
        <v>0</v>
      </c>
    </row>
    <row r="79" customFormat="false" ht="15" hidden="false" customHeight="true" outlineLevel="0" collapsed="false">
      <c r="A79" s="14"/>
      <c r="B79" s="11" t="s">
        <v>13</v>
      </c>
      <c r="C79" s="12" t="n">
        <v>0</v>
      </c>
      <c r="D79" s="12" t="n">
        <v>0</v>
      </c>
      <c r="E79" s="12" t="n">
        <v>130128</v>
      </c>
      <c r="F79" s="12" t="n">
        <v>0</v>
      </c>
      <c r="G79" s="13" t="n">
        <f aca="false">IF(E79=0,0,D79/E79*100)</f>
        <v>0</v>
      </c>
      <c r="H79" s="13" t="n">
        <f aca="false">ROUND(G79-F79,2)</f>
        <v>0</v>
      </c>
    </row>
    <row r="80" customFormat="false" ht="15" hidden="false" customHeight="true" outlineLevel="0" collapsed="false">
      <c r="A80" s="10" t="s">
        <v>38</v>
      </c>
      <c r="B80" s="11" t="s">
        <v>11</v>
      </c>
      <c r="C80" s="12" t="n">
        <v>0</v>
      </c>
      <c r="D80" s="12" t="n">
        <v>0</v>
      </c>
      <c r="E80" s="12" t="n">
        <v>123750</v>
      </c>
      <c r="F80" s="12" t="n">
        <v>0</v>
      </c>
      <c r="G80" s="13" t="n">
        <f aca="false">IF(E80=0,0,D80/E80*100)</f>
        <v>0</v>
      </c>
      <c r="H80" s="13" t="n">
        <f aca="false">ROUND(G80-F80,2)</f>
        <v>0</v>
      </c>
    </row>
    <row r="81" customFormat="false" ht="15" hidden="false" customHeight="true" outlineLevel="0" collapsed="false">
      <c r="A81" s="14"/>
      <c r="B81" s="11" t="s">
        <v>12</v>
      </c>
      <c r="C81" s="12" t="n">
        <v>0</v>
      </c>
      <c r="D81" s="12" t="n">
        <v>0</v>
      </c>
      <c r="E81" s="12" t="n">
        <v>123750</v>
      </c>
      <c r="F81" s="12" t="n">
        <v>0</v>
      </c>
      <c r="G81" s="13" t="n">
        <f aca="false">IF(E81=0,0,D81/E81*100)</f>
        <v>0</v>
      </c>
      <c r="H81" s="13" t="n">
        <f aca="false">ROUND(G81-F81,2)</f>
        <v>0</v>
      </c>
    </row>
    <row r="82" customFormat="false" ht="15" hidden="false" customHeight="true" outlineLevel="0" collapsed="false">
      <c r="A82" s="14"/>
      <c r="B82" s="11" t="s">
        <v>13</v>
      </c>
      <c r="C82" s="12" t="n">
        <v>0</v>
      </c>
      <c r="D82" s="12" t="n">
        <v>0</v>
      </c>
      <c r="E82" s="12" t="n">
        <v>99000</v>
      </c>
      <c r="F82" s="12" t="n">
        <v>0</v>
      </c>
      <c r="G82" s="13" t="n">
        <f aca="false">IF(E82=0,0,D82/E82*100)</f>
        <v>0</v>
      </c>
      <c r="H82" s="13" t="n">
        <f aca="false">ROUND(G82-F82,2)</f>
        <v>0</v>
      </c>
    </row>
    <row r="83" customFormat="false" ht="15" hidden="false" customHeight="true" outlineLevel="0" collapsed="false">
      <c r="A83" s="10" t="s">
        <v>39</v>
      </c>
      <c r="B83" s="11" t="s">
        <v>11</v>
      </c>
      <c r="C83" s="12" t="n">
        <v>0</v>
      </c>
      <c r="D83" s="12" t="n">
        <v>0</v>
      </c>
      <c r="E83" s="12" t="n">
        <v>44640</v>
      </c>
      <c r="F83" s="12" t="n">
        <v>0</v>
      </c>
      <c r="G83" s="13" t="n">
        <f aca="false">IF(E83=0,0,D83/E83*100)</f>
        <v>0</v>
      </c>
      <c r="H83" s="13" t="n">
        <f aca="false">ROUND(G83-F83,2)</f>
        <v>0</v>
      </c>
    </row>
    <row r="84" customFormat="false" ht="15" hidden="false" customHeight="true" outlineLevel="0" collapsed="false">
      <c r="A84" s="14"/>
      <c r="B84" s="11" t="s">
        <v>12</v>
      </c>
      <c r="C84" s="12" t="n">
        <v>0</v>
      </c>
      <c r="D84" s="12" t="n">
        <v>0</v>
      </c>
      <c r="E84" s="12" t="n">
        <v>44640</v>
      </c>
      <c r="F84" s="12" t="n">
        <v>0</v>
      </c>
      <c r="G84" s="13" t="n">
        <f aca="false">IF(E84=0,0,D84/E84*100)</f>
        <v>0</v>
      </c>
      <c r="H84" s="13" t="n">
        <f aca="false">ROUND(G84-F84,2)</f>
        <v>0</v>
      </c>
    </row>
    <row r="85" customFormat="false" ht="15" hidden="false" customHeight="true" outlineLevel="0" collapsed="false">
      <c r="A85" s="14"/>
      <c r="B85" s="11" t="s">
        <v>13</v>
      </c>
      <c r="C85" s="12" t="n">
        <v>0</v>
      </c>
      <c r="D85" s="12" t="n">
        <v>0</v>
      </c>
      <c r="E85" s="12" t="n">
        <v>35712</v>
      </c>
      <c r="F85" s="12" t="n">
        <v>0</v>
      </c>
      <c r="G85" s="13" t="n">
        <f aca="false">IF(E85=0,0,D85/E85*100)</f>
        <v>0</v>
      </c>
      <c r="H85" s="13" t="n">
        <f aca="false">ROUND(G85-F85,2)</f>
        <v>0</v>
      </c>
    </row>
    <row r="86" customFormat="false" ht="15" hidden="false" customHeight="true" outlineLevel="0" collapsed="false">
      <c r="A86" s="10" t="s">
        <v>40</v>
      </c>
      <c r="B86" s="11" t="s">
        <v>11</v>
      </c>
      <c r="C86" s="12" t="n">
        <v>0</v>
      </c>
      <c r="D86" s="12" t="n">
        <v>0</v>
      </c>
      <c r="E86" s="12" t="n">
        <v>123750</v>
      </c>
      <c r="F86" s="12" t="n">
        <v>0</v>
      </c>
      <c r="G86" s="13" t="n">
        <f aca="false">IF(E86=0,0,D86/E86*100)</f>
        <v>0</v>
      </c>
      <c r="H86" s="13" t="n">
        <f aca="false">ROUND(G86-F86,2)</f>
        <v>0</v>
      </c>
    </row>
    <row r="87" customFormat="false" ht="15" hidden="false" customHeight="true" outlineLevel="0" collapsed="false">
      <c r="A87" s="14"/>
      <c r="B87" s="11" t="s">
        <v>12</v>
      </c>
      <c r="C87" s="12" t="n">
        <v>0</v>
      </c>
      <c r="D87" s="12" t="n">
        <v>0</v>
      </c>
      <c r="E87" s="12" t="n">
        <v>123750</v>
      </c>
      <c r="F87" s="12" t="n">
        <v>0</v>
      </c>
      <c r="G87" s="13" t="n">
        <f aca="false">IF(E87=0,0,D87/E87*100)</f>
        <v>0</v>
      </c>
      <c r="H87" s="13" t="n">
        <f aca="false">ROUND(G87-F87,2)</f>
        <v>0</v>
      </c>
    </row>
    <row r="88" customFormat="false" ht="15" hidden="false" customHeight="true" outlineLevel="0" collapsed="false">
      <c r="A88" s="14"/>
      <c r="B88" s="11" t="s">
        <v>13</v>
      </c>
      <c r="C88" s="12" t="n">
        <v>0</v>
      </c>
      <c r="D88" s="12" t="n">
        <v>0</v>
      </c>
      <c r="E88" s="12" t="n">
        <v>99000</v>
      </c>
      <c r="F88" s="12" t="n">
        <v>0</v>
      </c>
      <c r="G88" s="13" t="n">
        <f aca="false">IF(E88=0,0,D88/E88*100)</f>
        <v>0</v>
      </c>
      <c r="H88" s="13" t="n">
        <f aca="false">ROUND(G88-F88,2)</f>
        <v>0</v>
      </c>
    </row>
    <row r="89" customFormat="false" ht="15" hidden="false" customHeight="true" outlineLevel="0" collapsed="false">
      <c r="A89" s="10" t="s">
        <v>41</v>
      </c>
      <c r="B89" s="11" t="s">
        <v>11</v>
      </c>
      <c r="C89" s="12" t="n">
        <v>0</v>
      </c>
      <c r="D89" s="12" t="n">
        <v>0</v>
      </c>
      <c r="E89" s="12" t="n">
        <v>80790</v>
      </c>
      <c r="F89" s="12" t="n">
        <v>0</v>
      </c>
      <c r="G89" s="13" t="n">
        <f aca="false">IF(E89=0,0,D89/E89*100)</f>
        <v>0</v>
      </c>
      <c r="H89" s="13" t="n">
        <f aca="false">ROUND(G89-F89,2)</f>
        <v>0</v>
      </c>
    </row>
    <row r="90" customFormat="false" ht="15" hidden="false" customHeight="true" outlineLevel="0" collapsed="false">
      <c r="A90" s="14"/>
      <c r="B90" s="11" t="s">
        <v>12</v>
      </c>
      <c r="C90" s="12" t="n">
        <v>0</v>
      </c>
      <c r="D90" s="12" t="n">
        <v>0</v>
      </c>
      <c r="E90" s="12" t="n">
        <v>80790</v>
      </c>
      <c r="F90" s="12" t="n">
        <v>0</v>
      </c>
      <c r="G90" s="13" t="n">
        <f aca="false">IF(E90=0,0,D90/E90*100)</f>
        <v>0</v>
      </c>
      <c r="H90" s="13" t="n">
        <f aca="false">ROUND(G90-F90,2)</f>
        <v>0</v>
      </c>
    </row>
    <row r="91" customFormat="false" ht="15" hidden="false" customHeight="true" outlineLevel="0" collapsed="false">
      <c r="A91" s="14"/>
      <c r="B91" s="11" t="s">
        <v>13</v>
      </c>
      <c r="C91" s="12" t="n">
        <v>0</v>
      </c>
      <c r="D91" s="12" t="n">
        <v>0</v>
      </c>
      <c r="E91" s="12" t="n">
        <v>64632</v>
      </c>
      <c r="F91" s="12" t="n">
        <v>0</v>
      </c>
      <c r="G91" s="13" t="n">
        <f aca="false">IF(E91=0,0,D91/E91*100)</f>
        <v>0</v>
      </c>
      <c r="H91" s="13" t="n">
        <f aca="false">ROUND(G91-F91,2)</f>
        <v>0</v>
      </c>
    </row>
    <row r="92" customFormat="false" ht="15" hidden="false" customHeight="true" outlineLevel="0" collapsed="false">
      <c r="A92" s="10" t="s">
        <v>42</v>
      </c>
      <c r="B92" s="11" t="s">
        <v>11</v>
      </c>
      <c r="C92" s="12" t="n">
        <v>0</v>
      </c>
      <c r="D92" s="12" t="n">
        <v>0</v>
      </c>
      <c r="E92" s="12" t="n">
        <v>4285.71</v>
      </c>
      <c r="F92" s="12" t="n">
        <v>0</v>
      </c>
      <c r="G92" s="13" t="n">
        <f aca="false">IF(E92=0,0,D92/E92*100)</f>
        <v>0</v>
      </c>
      <c r="H92" s="13" t="n">
        <f aca="false">ROUND(G92-F92,2)</f>
        <v>0</v>
      </c>
    </row>
    <row r="93" customFormat="false" ht="15" hidden="false" customHeight="true" outlineLevel="0" collapsed="false">
      <c r="A93" s="14"/>
      <c r="B93" s="11" t="s">
        <v>12</v>
      </c>
      <c r="C93" s="12" t="n">
        <v>0</v>
      </c>
      <c r="D93" s="12" t="n">
        <v>0</v>
      </c>
      <c r="E93" s="12" t="n">
        <v>4285.71</v>
      </c>
      <c r="F93" s="12" t="n">
        <v>0</v>
      </c>
      <c r="G93" s="13" t="n">
        <f aca="false">IF(E93=0,0,D93/E93*100)</f>
        <v>0</v>
      </c>
      <c r="H93" s="13" t="n">
        <f aca="false">ROUND(G93-F93,2)</f>
        <v>0</v>
      </c>
    </row>
    <row r="94" customFormat="false" ht="15" hidden="false" customHeight="true" outlineLevel="0" collapsed="false">
      <c r="A94" s="14"/>
      <c r="B94" s="11" t="s">
        <v>13</v>
      </c>
      <c r="C94" s="12" t="n">
        <v>0</v>
      </c>
      <c r="D94" s="12" t="n">
        <v>0</v>
      </c>
      <c r="E94" s="12" t="n">
        <v>3428.56</v>
      </c>
      <c r="F94" s="12" t="n">
        <v>0</v>
      </c>
      <c r="G94" s="13" t="n">
        <f aca="false">IF(E94=0,0,D94/E94*100)</f>
        <v>0</v>
      </c>
      <c r="H94" s="13" t="n">
        <f aca="false">ROUND(G94-F94,2)</f>
        <v>0</v>
      </c>
    </row>
    <row r="95" customFormat="false" ht="15" hidden="false" customHeight="true" outlineLevel="0" collapsed="false">
      <c r="A95" s="10" t="s">
        <v>43</v>
      </c>
      <c r="B95" s="11" t="s">
        <v>11</v>
      </c>
      <c r="C95" s="12" t="n">
        <v>0</v>
      </c>
      <c r="D95" s="12" t="n">
        <v>0</v>
      </c>
      <c r="E95" s="12" t="n">
        <v>118500</v>
      </c>
      <c r="F95" s="12" t="n">
        <v>0</v>
      </c>
      <c r="G95" s="13" t="n">
        <f aca="false">IF(E95=0,0,D95/E95*100)</f>
        <v>0</v>
      </c>
      <c r="H95" s="13" t="n">
        <f aca="false">ROUND(G95-F95,2)</f>
        <v>0</v>
      </c>
    </row>
    <row r="96" customFormat="false" ht="15" hidden="false" customHeight="true" outlineLevel="0" collapsed="false">
      <c r="A96" s="14"/>
      <c r="B96" s="11" t="s">
        <v>12</v>
      </c>
      <c r="C96" s="12" t="n">
        <v>0</v>
      </c>
      <c r="D96" s="12" t="n">
        <v>0</v>
      </c>
      <c r="E96" s="12" t="n">
        <v>118500</v>
      </c>
      <c r="F96" s="12" t="n">
        <v>0</v>
      </c>
      <c r="G96" s="13" t="n">
        <f aca="false">IF(E96=0,0,D96/E96*100)</f>
        <v>0</v>
      </c>
      <c r="H96" s="13" t="n">
        <f aca="false">ROUND(G96-F96,2)</f>
        <v>0</v>
      </c>
    </row>
    <row r="97" customFormat="false" ht="15" hidden="false" customHeight="true" outlineLevel="0" collapsed="false">
      <c r="A97" s="14"/>
      <c r="B97" s="11" t="s">
        <v>13</v>
      </c>
      <c r="C97" s="12" t="n">
        <v>0</v>
      </c>
      <c r="D97" s="12" t="n">
        <v>0</v>
      </c>
      <c r="E97" s="12" t="n">
        <v>94800</v>
      </c>
      <c r="F97" s="12" t="n">
        <v>0</v>
      </c>
      <c r="G97" s="13" t="n">
        <f aca="false">IF(E97=0,0,D97/E97*100)</f>
        <v>0</v>
      </c>
      <c r="H97" s="13" t="n">
        <f aca="false">ROUND(G97-F97,2)</f>
        <v>0</v>
      </c>
    </row>
    <row r="98" customFormat="false" ht="15" hidden="false" customHeight="true" outlineLevel="0" collapsed="false">
      <c r="A98" s="5" t="s">
        <v>44</v>
      </c>
      <c r="B98" s="6" t="s">
        <v>11</v>
      </c>
      <c r="C98" s="7" t="n">
        <v>0</v>
      </c>
      <c r="D98" s="7" t="n">
        <v>0</v>
      </c>
      <c r="E98" s="7" t="n">
        <v>698237.14</v>
      </c>
      <c r="F98" s="7" t="n">
        <v>0</v>
      </c>
      <c r="G98" s="8" t="n">
        <f aca="false">IF(E98=0,0,D98/E98*100)</f>
        <v>0</v>
      </c>
      <c r="H98" s="8" t="n">
        <f aca="false">ROUND(G98-F98,2)</f>
        <v>0</v>
      </c>
    </row>
    <row r="99" customFormat="false" ht="15" hidden="false" customHeight="true" outlineLevel="0" collapsed="false">
      <c r="A99" s="9"/>
      <c r="B99" s="6" t="s">
        <v>12</v>
      </c>
      <c r="C99" s="7" t="n">
        <v>0</v>
      </c>
      <c r="D99" s="7" t="n">
        <v>0</v>
      </c>
      <c r="E99" s="7" t="n">
        <v>698237.14</v>
      </c>
      <c r="F99" s="7" t="n">
        <v>0</v>
      </c>
      <c r="G99" s="8" t="n">
        <f aca="false">IF(E99=0,0,D99/E99*100)</f>
        <v>0</v>
      </c>
      <c r="H99" s="8" t="n">
        <f aca="false">ROUND(G99-F99,2)</f>
        <v>0</v>
      </c>
    </row>
    <row r="100" customFormat="false" ht="15" hidden="false" customHeight="true" outlineLevel="0" collapsed="false">
      <c r="A100" s="9"/>
      <c r="B100" s="6" t="s">
        <v>13</v>
      </c>
      <c r="C100" s="7" t="n">
        <v>0</v>
      </c>
      <c r="D100" s="7" t="n">
        <v>0</v>
      </c>
      <c r="E100" s="7" t="n">
        <v>418942.28</v>
      </c>
      <c r="F100" s="7" t="n">
        <v>0</v>
      </c>
      <c r="G100" s="8" t="n">
        <f aca="false">IF(E100=0,0,D100/E100*100)</f>
        <v>0</v>
      </c>
      <c r="H100" s="8" t="n">
        <f aca="false">ROUND(G100-F100,2)</f>
        <v>0</v>
      </c>
    </row>
    <row r="101" customFormat="false" ht="15" hidden="false" customHeight="true" outlineLevel="0" collapsed="false">
      <c r="A101" s="10" t="s">
        <v>45</v>
      </c>
      <c r="B101" s="11" t="s">
        <v>11</v>
      </c>
      <c r="C101" s="12" t="n">
        <v>0</v>
      </c>
      <c r="D101" s="12" t="n">
        <v>0</v>
      </c>
      <c r="E101" s="12" t="n">
        <v>221600</v>
      </c>
      <c r="F101" s="12" t="n">
        <v>0</v>
      </c>
      <c r="G101" s="13" t="n">
        <f aca="false">IF(E101=0,0,D101/E101*100)</f>
        <v>0</v>
      </c>
      <c r="H101" s="13" t="n">
        <f aca="false">ROUND(G101-F101,2)</f>
        <v>0</v>
      </c>
    </row>
    <row r="102" customFormat="false" ht="15" hidden="false" customHeight="true" outlineLevel="0" collapsed="false">
      <c r="A102" s="14"/>
      <c r="B102" s="11" t="s">
        <v>12</v>
      </c>
      <c r="C102" s="12" t="n">
        <v>0</v>
      </c>
      <c r="D102" s="12" t="n">
        <v>0</v>
      </c>
      <c r="E102" s="12" t="n">
        <v>221600</v>
      </c>
      <c r="F102" s="12" t="n">
        <v>0</v>
      </c>
      <c r="G102" s="13" t="n">
        <f aca="false">IF(E102=0,0,D102/E102*100)</f>
        <v>0</v>
      </c>
      <c r="H102" s="13" t="n">
        <f aca="false">ROUND(G102-F102,2)</f>
        <v>0</v>
      </c>
    </row>
    <row r="103" customFormat="false" ht="15" hidden="false" customHeight="true" outlineLevel="0" collapsed="false">
      <c r="A103" s="14"/>
      <c r="B103" s="11" t="s">
        <v>13</v>
      </c>
      <c r="C103" s="12" t="n">
        <v>0</v>
      </c>
      <c r="D103" s="12" t="n">
        <v>0</v>
      </c>
      <c r="E103" s="12" t="n">
        <v>132960</v>
      </c>
      <c r="F103" s="12" t="n">
        <v>0</v>
      </c>
      <c r="G103" s="13" t="n">
        <f aca="false">IF(E103=0,0,D103/E103*100)</f>
        <v>0</v>
      </c>
      <c r="H103" s="13" t="n">
        <f aca="false">ROUND(G103-F103,2)</f>
        <v>0</v>
      </c>
    </row>
    <row r="104" customFormat="false" ht="15" hidden="false" customHeight="true" outlineLevel="0" collapsed="false">
      <c r="A104" s="10" t="s">
        <v>46</v>
      </c>
      <c r="B104" s="11" t="s">
        <v>11</v>
      </c>
      <c r="C104" s="12" t="n">
        <v>0</v>
      </c>
      <c r="D104" s="12" t="n">
        <v>0</v>
      </c>
      <c r="E104" s="12" t="n">
        <v>37720</v>
      </c>
      <c r="F104" s="12" t="n">
        <v>0</v>
      </c>
      <c r="G104" s="13" t="n">
        <f aca="false">IF(E104=0,0,D104/E104*100)</f>
        <v>0</v>
      </c>
      <c r="H104" s="13" t="n">
        <f aca="false">ROUND(G104-F104,2)</f>
        <v>0</v>
      </c>
    </row>
    <row r="105" customFormat="false" ht="15" hidden="false" customHeight="true" outlineLevel="0" collapsed="false">
      <c r="A105" s="14"/>
      <c r="B105" s="11" t="s">
        <v>12</v>
      </c>
      <c r="C105" s="12" t="n">
        <v>0</v>
      </c>
      <c r="D105" s="12" t="n">
        <v>0</v>
      </c>
      <c r="E105" s="12" t="n">
        <v>37720</v>
      </c>
      <c r="F105" s="12" t="n">
        <v>0</v>
      </c>
      <c r="G105" s="13" t="n">
        <f aca="false">IF(E105=0,0,D105/E105*100)</f>
        <v>0</v>
      </c>
      <c r="H105" s="13" t="n">
        <f aca="false">ROUND(G105-F105,2)</f>
        <v>0</v>
      </c>
    </row>
    <row r="106" customFormat="false" ht="15" hidden="false" customHeight="true" outlineLevel="0" collapsed="false">
      <c r="A106" s="14"/>
      <c r="B106" s="11" t="s">
        <v>13</v>
      </c>
      <c r="C106" s="12" t="n">
        <v>0</v>
      </c>
      <c r="D106" s="12" t="n">
        <v>0</v>
      </c>
      <c r="E106" s="12" t="n">
        <v>22632</v>
      </c>
      <c r="F106" s="12" t="n">
        <v>0</v>
      </c>
      <c r="G106" s="13" t="n">
        <f aca="false">IF(E106=0,0,D106/E106*100)</f>
        <v>0</v>
      </c>
      <c r="H106" s="13" t="n">
        <f aca="false">ROUND(G106-F106,2)</f>
        <v>0</v>
      </c>
    </row>
    <row r="107" customFormat="false" ht="15" hidden="false" customHeight="true" outlineLevel="0" collapsed="false">
      <c r="A107" s="10" t="s">
        <v>47</v>
      </c>
      <c r="B107" s="11" t="s">
        <v>11</v>
      </c>
      <c r="C107" s="12" t="n">
        <v>0</v>
      </c>
      <c r="D107" s="12" t="n">
        <v>0</v>
      </c>
      <c r="E107" s="12" t="n">
        <v>108440</v>
      </c>
      <c r="F107" s="12" t="n">
        <v>0</v>
      </c>
      <c r="G107" s="13" t="n">
        <f aca="false">IF(E107=0,0,D107/E107*100)</f>
        <v>0</v>
      </c>
      <c r="H107" s="13" t="n">
        <f aca="false">ROUND(G107-F107,2)</f>
        <v>0</v>
      </c>
    </row>
    <row r="108" customFormat="false" ht="15" hidden="false" customHeight="true" outlineLevel="0" collapsed="false">
      <c r="A108" s="14"/>
      <c r="B108" s="11" t="s">
        <v>12</v>
      </c>
      <c r="C108" s="12" t="n">
        <v>0</v>
      </c>
      <c r="D108" s="12" t="n">
        <v>0</v>
      </c>
      <c r="E108" s="12" t="n">
        <v>108440</v>
      </c>
      <c r="F108" s="12" t="n">
        <v>0</v>
      </c>
      <c r="G108" s="13" t="n">
        <f aca="false">IF(E108=0,0,D108/E108*100)</f>
        <v>0</v>
      </c>
      <c r="H108" s="13" t="n">
        <f aca="false">ROUND(G108-F108,2)</f>
        <v>0</v>
      </c>
    </row>
    <row r="109" customFormat="false" ht="15" hidden="false" customHeight="true" outlineLevel="0" collapsed="false">
      <c r="A109" s="14"/>
      <c r="B109" s="11" t="s">
        <v>13</v>
      </c>
      <c r="C109" s="12" t="n">
        <v>0</v>
      </c>
      <c r="D109" s="12" t="n">
        <v>0</v>
      </c>
      <c r="E109" s="12" t="n">
        <v>65064</v>
      </c>
      <c r="F109" s="12" t="n">
        <v>0</v>
      </c>
      <c r="G109" s="13" t="n">
        <f aca="false">IF(E109=0,0,D109/E109*100)</f>
        <v>0</v>
      </c>
      <c r="H109" s="13" t="n">
        <f aca="false">ROUND(G109-F109,2)</f>
        <v>0</v>
      </c>
    </row>
    <row r="110" customFormat="false" ht="15" hidden="false" customHeight="true" outlineLevel="0" collapsed="false">
      <c r="A110" s="10" t="s">
        <v>48</v>
      </c>
      <c r="B110" s="11" t="s">
        <v>11</v>
      </c>
      <c r="C110" s="12" t="n">
        <v>0</v>
      </c>
      <c r="D110" s="12" t="n">
        <v>0</v>
      </c>
      <c r="E110" s="12" t="n">
        <v>82500</v>
      </c>
      <c r="F110" s="12" t="n">
        <v>0</v>
      </c>
      <c r="G110" s="13" t="n">
        <f aca="false">IF(E110=0,0,D110/E110*100)</f>
        <v>0</v>
      </c>
      <c r="H110" s="13" t="n">
        <f aca="false">ROUND(G110-F110,2)</f>
        <v>0</v>
      </c>
    </row>
    <row r="111" customFormat="false" ht="15" hidden="false" customHeight="true" outlineLevel="0" collapsed="false">
      <c r="A111" s="14"/>
      <c r="B111" s="11" t="s">
        <v>12</v>
      </c>
      <c r="C111" s="12" t="n">
        <v>0</v>
      </c>
      <c r="D111" s="12" t="n">
        <v>0</v>
      </c>
      <c r="E111" s="12" t="n">
        <v>82500</v>
      </c>
      <c r="F111" s="12" t="n">
        <v>0</v>
      </c>
      <c r="G111" s="13" t="n">
        <f aca="false">IF(E111=0,0,D111/E111*100)</f>
        <v>0</v>
      </c>
      <c r="H111" s="13" t="n">
        <f aca="false">ROUND(G111-F111,2)</f>
        <v>0</v>
      </c>
    </row>
    <row r="112" customFormat="false" ht="15" hidden="false" customHeight="true" outlineLevel="0" collapsed="false">
      <c r="A112" s="14"/>
      <c r="B112" s="11" t="s">
        <v>13</v>
      </c>
      <c r="C112" s="12" t="n">
        <v>0</v>
      </c>
      <c r="D112" s="12" t="n">
        <v>0</v>
      </c>
      <c r="E112" s="12" t="n">
        <v>49500</v>
      </c>
      <c r="F112" s="12" t="n">
        <v>0</v>
      </c>
      <c r="G112" s="13" t="n">
        <f aca="false">IF(E112=0,0,D112/E112*100)</f>
        <v>0</v>
      </c>
      <c r="H112" s="13" t="n">
        <f aca="false">ROUND(G112-F112,2)</f>
        <v>0</v>
      </c>
    </row>
    <row r="113" customFormat="false" ht="15" hidden="false" customHeight="true" outlineLevel="0" collapsed="false">
      <c r="A113" s="10" t="s">
        <v>49</v>
      </c>
      <c r="B113" s="11" t="s">
        <v>11</v>
      </c>
      <c r="C113" s="12" t="n">
        <v>0</v>
      </c>
      <c r="D113" s="12" t="n">
        <v>0</v>
      </c>
      <c r="E113" s="12" t="n">
        <v>29760</v>
      </c>
      <c r="F113" s="12" t="n">
        <v>0</v>
      </c>
      <c r="G113" s="13" t="n">
        <f aca="false">IF(E113=0,0,D113/E113*100)</f>
        <v>0</v>
      </c>
      <c r="H113" s="13" t="n">
        <f aca="false">ROUND(G113-F113,2)</f>
        <v>0</v>
      </c>
    </row>
    <row r="114" customFormat="false" ht="15" hidden="false" customHeight="true" outlineLevel="0" collapsed="false">
      <c r="A114" s="14"/>
      <c r="B114" s="11" t="s">
        <v>12</v>
      </c>
      <c r="C114" s="12" t="n">
        <v>0</v>
      </c>
      <c r="D114" s="12" t="n">
        <v>0</v>
      </c>
      <c r="E114" s="12" t="n">
        <v>29760</v>
      </c>
      <c r="F114" s="12" t="n">
        <v>0</v>
      </c>
      <c r="G114" s="13" t="n">
        <f aca="false">IF(E114=0,0,D114/E114*100)</f>
        <v>0</v>
      </c>
      <c r="H114" s="13" t="n">
        <f aca="false">ROUND(G114-F114,2)</f>
        <v>0</v>
      </c>
    </row>
    <row r="115" customFormat="false" ht="15" hidden="false" customHeight="true" outlineLevel="0" collapsed="false">
      <c r="A115" s="14"/>
      <c r="B115" s="11" t="s">
        <v>13</v>
      </c>
      <c r="C115" s="12" t="n">
        <v>0</v>
      </c>
      <c r="D115" s="12" t="n">
        <v>0</v>
      </c>
      <c r="E115" s="12" t="n">
        <v>17856</v>
      </c>
      <c r="F115" s="12" t="n">
        <v>0</v>
      </c>
      <c r="G115" s="13" t="n">
        <f aca="false">IF(E115=0,0,D115/E115*100)</f>
        <v>0</v>
      </c>
      <c r="H115" s="13" t="n">
        <f aca="false">ROUND(G115-F115,2)</f>
        <v>0</v>
      </c>
    </row>
    <row r="116" customFormat="false" ht="15" hidden="false" customHeight="true" outlineLevel="0" collapsed="false">
      <c r="A116" s="10" t="s">
        <v>50</v>
      </c>
      <c r="B116" s="11" t="s">
        <v>11</v>
      </c>
      <c r="C116" s="12" t="n">
        <v>0</v>
      </c>
      <c r="D116" s="12" t="n">
        <v>0</v>
      </c>
      <c r="E116" s="12" t="n">
        <v>82500</v>
      </c>
      <c r="F116" s="12" t="n">
        <v>0</v>
      </c>
      <c r="G116" s="13" t="n">
        <f aca="false">IF(E116=0,0,D116/E116*100)</f>
        <v>0</v>
      </c>
      <c r="H116" s="13" t="n">
        <f aca="false">ROUND(G116-F116,2)</f>
        <v>0</v>
      </c>
    </row>
    <row r="117" customFormat="false" ht="15" hidden="false" customHeight="true" outlineLevel="0" collapsed="false">
      <c r="A117" s="14"/>
      <c r="B117" s="11" t="s">
        <v>12</v>
      </c>
      <c r="C117" s="12" t="n">
        <v>0</v>
      </c>
      <c r="D117" s="12" t="n">
        <v>0</v>
      </c>
      <c r="E117" s="12" t="n">
        <v>82500</v>
      </c>
      <c r="F117" s="12" t="n">
        <v>0</v>
      </c>
      <c r="G117" s="13" t="n">
        <f aca="false">IF(E117=0,0,D117/E117*100)</f>
        <v>0</v>
      </c>
      <c r="H117" s="13" t="n">
        <f aca="false">ROUND(G117-F117,2)</f>
        <v>0</v>
      </c>
    </row>
    <row r="118" customFormat="false" ht="15" hidden="false" customHeight="true" outlineLevel="0" collapsed="false">
      <c r="A118" s="14"/>
      <c r="B118" s="11" t="s">
        <v>13</v>
      </c>
      <c r="C118" s="12" t="n">
        <v>0</v>
      </c>
      <c r="D118" s="12" t="n">
        <v>0</v>
      </c>
      <c r="E118" s="12" t="n">
        <v>49500</v>
      </c>
      <c r="F118" s="12" t="n">
        <v>0</v>
      </c>
      <c r="G118" s="13" t="n">
        <f aca="false">IF(E118=0,0,D118/E118*100)</f>
        <v>0</v>
      </c>
      <c r="H118" s="13" t="n">
        <f aca="false">ROUND(G118-F118,2)</f>
        <v>0</v>
      </c>
    </row>
    <row r="119" customFormat="false" ht="15" hidden="false" customHeight="true" outlineLevel="0" collapsed="false">
      <c r="A119" s="10" t="s">
        <v>51</v>
      </c>
      <c r="B119" s="11" t="s">
        <v>11</v>
      </c>
      <c r="C119" s="12" t="n">
        <v>0</v>
      </c>
      <c r="D119" s="12" t="n">
        <v>0</v>
      </c>
      <c r="E119" s="12" t="n">
        <v>2857.14</v>
      </c>
      <c r="F119" s="12" t="n">
        <v>0</v>
      </c>
      <c r="G119" s="13" t="n">
        <f aca="false">IF(E119=0,0,D119/E119*100)</f>
        <v>0</v>
      </c>
      <c r="H119" s="13" t="n">
        <f aca="false">ROUND(G119-F119,2)</f>
        <v>0</v>
      </c>
    </row>
    <row r="120" customFormat="false" ht="15" hidden="false" customHeight="true" outlineLevel="0" collapsed="false">
      <c r="A120" s="14"/>
      <c r="B120" s="11" t="s">
        <v>12</v>
      </c>
      <c r="C120" s="12" t="n">
        <v>0</v>
      </c>
      <c r="D120" s="12" t="n">
        <v>0</v>
      </c>
      <c r="E120" s="12" t="n">
        <v>2857.14</v>
      </c>
      <c r="F120" s="12" t="n">
        <v>0</v>
      </c>
      <c r="G120" s="13" t="n">
        <f aca="false">IF(E120=0,0,D120/E120*100)</f>
        <v>0</v>
      </c>
      <c r="H120" s="13" t="n">
        <f aca="false">ROUND(G120-F120,2)</f>
        <v>0</v>
      </c>
    </row>
    <row r="121" customFormat="false" ht="15" hidden="false" customHeight="true" outlineLevel="0" collapsed="false">
      <c r="A121" s="14"/>
      <c r="B121" s="11" t="s">
        <v>13</v>
      </c>
      <c r="C121" s="12" t="n">
        <v>0</v>
      </c>
      <c r="D121" s="12" t="n">
        <v>0</v>
      </c>
      <c r="E121" s="12" t="n">
        <v>1714.28</v>
      </c>
      <c r="F121" s="12" t="n">
        <v>0</v>
      </c>
      <c r="G121" s="13" t="n">
        <f aca="false">IF(E121=0,0,D121/E121*100)</f>
        <v>0</v>
      </c>
      <c r="H121" s="13" t="n">
        <f aca="false">ROUND(G121-F121,2)</f>
        <v>0</v>
      </c>
    </row>
    <row r="122" customFormat="false" ht="15" hidden="false" customHeight="true" outlineLevel="0" collapsed="false">
      <c r="A122" s="10" t="s">
        <v>52</v>
      </c>
      <c r="B122" s="11" t="s">
        <v>11</v>
      </c>
      <c r="C122" s="12" t="n">
        <v>0</v>
      </c>
      <c r="D122" s="12" t="n">
        <v>0</v>
      </c>
      <c r="E122" s="12" t="n">
        <v>79000</v>
      </c>
      <c r="F122" s="12" t="n">
        <v>0</v>
      </c>
      <c r="G122" s="13" t="n">
        <f aca="false">IF(E122=0,0,D122/E122*100)</f>
        <v>0</v>
      </c>
      <c r="H122" s="13" t="n">
        <f aca="false">ROUND(G122-F122,2)</f>
        <v>0</v>
      </c>
    </row>
    <row r="123" customFormat="false" ht="15" hidden="false" customHeight="true" outlineLevel="0" collapsed="false">
      <c r="A123" s="14"/>
      <c r="B123" s="11" t="s">
        <v>12</v>
      </c>
      <c r="C123" s="12" t="n">
        <v>0</v>
      </c>
      <c r="D123" s="12" t="n">
        <v>0</v>
      </c>
      <c r="E123" s="12" t="n">
        <v>79000</v>
      </c>
      <c r="F123" s="12" t="n">
        <v>0</v>
      </c>
      <c r="G123" s="13" t="n">
        <f aca="false">IF(E123=0,0,D123/E123*100)</f>
        <v>0</v>
      </c>
      <c r="H123" s="13" t="n">
        <f aca="false">ROUND(G123-F123,2)</f>
        <v>0</v>
      </c>
    </row>
    <row r="124" customFormat="false" ht="15" hidden="false" customHeight="true" outlineLevel="0" collapsed="false">
      <c r="A124" s="14"/>
      <c r="B124" s="11" t="s">
        <v>13</v>
      </c>
      <c r="C124" s="12" t="n">
        <v>0</v>
      </c>
      <c r="D124" s="12" t="n">
        <v>0</v>
      </c>
      <c r="E124" s="12" t="n">
        <v>47400</v>
      </c>
      <c r="F124" s="12" t="n">
        <v>0</v>
      </c>
      <c r="G124" s="13" t="n">
        <f aca="false">IF(E124=0,0,D124/E124*100)</f>
        <v>0</v>
      </c>
      <c r="H124" s="13" t="n">
        <f aca="false">ROUND(G124-F124,2)</f>
        <v>0</v>
      </c>
    </row>
    <row r="125" customFormat="false" ht="15" hidden="false" customHeight="true" outlineLevel="0" collapsed="false">
      <c r="A125" s="10" t="s">
        <v>53</v>
      </c>
      <c r="B125" s="11" t="s">
        <v>11</v>
      </c>
      <c r="C125" s="12" t="n">
        <v>0</v>
      </c>
      <c r="D125" s="12" t="n">
        <v>0</v>
      </c>
      <c r="E125" s="12" t="n">
        <v>53860</v>
      </c>
      <c r="F125" s="12" t="n">
        <v>0</v>
      </c>
      <c r="G125" s="13" t="n">
        <f aca="false">IF(E125=0,0,D125/E125*100)</f>
        <v>0</v>
      </c>
      <c r="H125" s="13" t="n">
        <f aca="false">ROUND(G125-F125,2)</f>
        <v>0</v>
      </c>
    </row>
    <row r="126" customFormat="false" ht="15" hidden="false" customHeight="true" outlineLevel="0" collapsed="false">
      <c r="A126" s="14"/>
      <c r="B126" s="11" t="s">
        <v>12</v>
      </c>
      <c r="C126" s="12" t="n">
        <v>0</v>
      </c>
      <c r="D126" s="12" t="n">
        <v>0</v>
      </c>
      <c r="E126" s="12" t="n">
        <v>53860</v>
      </c>
      <c r="F126" s="12" t="n">
        <v>0</v>
      </c>
      <c r="G126" s="13" t="n">
        <f aca="false">IF(E126=0,0,D126/E126*100)</f>
        <v>0</v>
      </c>
      <c r="H126" s="13" t="n">
        <f aca="false">ROUND(G126-F126,2)</f>
        <v>0</v>
      </c>
    </row>
    <row r="127" customFormat="false" ht="15" hidden="false" customHeight="true" outlineLevel="0" collapsed="false">
      <c r="A127" s="14"/>
      <c r="B127" s="11" t="s">
        <v>13</v>
      </c>
      <c r="C127" s="12" t="n">
        <v>0</v>
      </c>
      <c r="D127" s="12" t="n">
        <v>0</v>
      </c>
      <c r="E127" s="12" t="n">
        <v>32316</v>
      </c>
      <c r="F127" s="12" t="n">
        <v>0</v>
      </c>
      <c r="G127" s="13" t="n">
        <f aca="false">IF(E127=0,0,D127/E127*100)</f>
        <v>0</v>
      </c>
      <c r="H127" s="13" t="n">
        <f aca="false">ROUND(G127-F127,2)</f>
        <v>0</v>
      </c>
    </row>
    <row r="128" customFormat="false" ht="15" hidden="false" customHeight="true" outlineLevel="0" collapsed="false">
      <c r="A128" s="15"/>
    </row>
    <row r="129" customFormat="false" ht="15" hidden="false" customHeight="true" outlineLevel="0" collapsed="false">
      <c r="A129" s="16" t="s">
        <v>54</v>
      </c>
    </row>
    <row r="130" customFormat="false" ht="15" hidden="false" customHeight="true" outlineLevel="0" collapsed="false">
      <c r="A130" s="10" t="s">
        <v>55</v>
      </c>
      <c r="B130" s="11" t="s">
        <v>11</v>
      </c>
      <c r="C130" s="12" t="n">
        <v>0</v>
      </c>
      <c r="D130" s="12" t="n">
        <v>370072.3</v>
      </c>
      <c r="E130" s="12" t="n">
        <v>968623.12</v>
      </c>
      <c r="F130" s="12" t="n">
        <v>38.21</v>
      </c>
      <c r="G130" s="13" t="n">
        <f aca="false">IF(E130=0,0,D130/E130*100)</f>
        <v>38.2060155656826</v>
      </c>
      <c r="H130" s="13" t="n">
        <f aca="false">ROUND(G130-F130,2)</f>
        <v>-0</v>
      </c>
    </row>
    <row r="131" customFormat="false" ht="15" hidden="false" customHeight="true" outlineLevel="0" collapsed="false">
      <c r="A131" s="14"/>
      <c r="B131" s="11" t="s">
        <v>12</v>
      </c>
      <c r="C131" s="12" t="n">
        <v>0</v>
      </c>
      <c r="D131" s="12" t="n">
        <v>328522.3</v>
      </c>
      <c r="E131" s="12" t="n">
        <v>968623.12</v>
      </c>
      <c r="F131" s="12" t="n">
        <v>33.92</v>
      </c>
      <c r="G131" s="13" t="n">
        <f aca="false">IF(E131=0,0,D131/E131*100)</f>
        <v>33.9164214870279</v>
      </c>
      <c r="H131" s="13" t="n">
        <f aca="false">ROUND(G131-F131,2)</f>
        <v>-0</v>
      </c>
    </row>
    <row r="132" customFormat="false" ht="15" hidden="false" customHeight="true" outlineLevel="0" collapsed="false">
      <c r="A132" s="14"/>
      <c r="B132" s="11" t="s">
        <v>13</v>
      </c>
      <c r="C132" s="12" t="n">
        <v>0</v>
      </c>
      <c r="D132" s="12" t="n">
        <v>262817.83</v>
      </c>
      <c r="E132" s="12" t="n">
        <v>739986.63</v>
      </c>
      <c r="F132" s="12" t="n">
        <v>35.52</v>
      </c>
      <c r="G132" s="13" t="n">
        <f aca="false">IF(E132=0,0,D132/E132*100)</f>
        <v>35.5165646709049</v>
      </c>
      <c r="H132" s="13" t="n">
        <f aca="false">ROUND(G132-F132,2)</f>
        <v>-0</v>
      </c>
    </row>
    <row r="133" customFormat="false" ht="27.75" hidden="false" customHeight="true" outlineLevel="0" collapsed="false">
      <c r="A133" s="10" t="s">
        <v>56</v>
      </c>
      <c r="B133" s="11" t="s">
        <v>11</v>
      </c>
      <c r="C133" s="12" t="n">
        <v>0</v>
      </c>
      <c r="D133" s="12" t="n">
        <v>370072.3</v>
      </c>
      <c r="E133" s="12" t="n">
        <v>968623.12</v>
      </c>
      <c r="F133" s="12" t="n">
        <v>38.21</v>
      </c>
      <c r="G133" s="13" t="n">
        <f aca="false">IF(E133=0,0,D133/E133*100)</f>
        <v>38.2060155656826</v>
      </c>
      <c r="H133" s="13" t="n">
        <f aca="false">ROUND(G133-F133,2)</f>
        <v>-0</v>
      </c>
    </row>
    <row r="134" customFormat="false" ht="15" hidden="false" customHeight="true" outlineLevel="0" collapsed="false">
      <c r="A134" s="14"/>
      <c r="B134" s="11" t="s">
        <v>12</v>
      </c>
      <c r="C134" s="12" t="n">
        <v>0</v>
      </c>
      <c r="D134" s="12" t="n">
        <v>328522.3</v>
      </c>
      <c r="E134" s="12" t="n">
        <v>968623.12</v>
      </c>
      <c r="F134" s="12" t="n">
        <v>33.92</v>
      </c>
      <c r="G134" s="13" t="n">
        <f aca="false">IF(E134=0,0,D134/E134*100)</f>
        <v>33.9164214870279</v>
      </c>
      <c r="H134" s="13" t="n">
        <f aca="false">ROUND(G134-F134,2)</f>
        <v>-0</v>
      </c>
    </row>
    <row r="135" customFormat="false" ht="15" hidden="false" customHeight="true" outlineLevel="0" collapsed="false">
      <c r="A135" s="14"/>
      <c r="B135" s="11" t="s">
        <v>13</v>
      </c>
      <c r="C135" s="12" t="n">
        <v>0</v>
      </c>
      <c r="D135" s="12" t="n">
        <v>262817.83</v>
      </c>
      <c r="E135" s="12" t="n">
        <v>739986.63</v>
      </c>
      <c r="F135" s="12" t="n">
        <v>35.52</v>
      </c>
      <c r="G135" s="13" t="n">
        <f aca="false">IF(E135=0,0,D135/E135*100)</f>
        <v>35.5165646709049</v>
      </c>
      <c r="H135" s="13" t="n">
        <f aca="false">ROUND(G135-F135,2)</f>
        <v>-0</v>
      </c>
    </row>
    <row r="136" customFormat="false" ht="15" hidden="false" customHeight="true" outlineLevel="0" collapsed="false">
      <c r="A136" s="10" t="s">
        <v>57</v>
      </c>
      <c r="B136" s="11" t="s">
        <v>11</v>
      </c>
      <c r="C136" s="12" t="n">
        <v>335904.98</v>
      </c>
      <c r="D136" s="12" t="n">
        <v>2186266.46</v>
      </c>
      <c r="E136" s="12" t="n">
        <v>4866115.61</v>
      </c>
      <c r="F136" s="12" t="n">
        <v>44.93</v>
      </c>
      <c r="G136" s="13" t="n">
        <f aca="false">IF(E136=0,0,D136/E136*100)</f>
        <v>44.9283707009994</v>
      </c>
      <c r="H136" s="13" t="n">
        <f aca="false">ROUND(G136-F136,2)</f>
        <v>-0</v>
      </c>
    </row>
    <row r="137" customFormat="false" ht="15" hidden="false" customHeight="true" outlineLevel="0" collapsed="false">
      <c r="A137" s="14"/>
      <c r="B137" s="11" t="s">
        <v>12</v>
      </c>
      <c r="C137" s="12" t="n">
        <v>335904.98</v>
      </c>
      <c r="D137" s="12" t="n">
        <v>1978516.46</v>
      </c>
      <c r="E137" s="12" t="n">
        <v>4843115.61</v>
      </c>
      <c r="F137" s="12" t="n">
        <v>40.85</v>
      </c>
      <c r="G137" s="13" t="n">
        <f aca="false">IF(E137=0,0,D137/E137*100)</f>
        <v>40.8521418715421</v>
      </c>
      <c r="H137" s="13" t="n">
        <f aca="false">ROUND(G137-F137,2)</f>
        <v>0</v>
      </c>
    </row>
    <row r="138" customFormat="false" ht="15" hidden="false" customHeight="true" outlineLevel="0" collapsed="false">
      <c r="A138" s="14"/>
      <c r="B138" s="11" t="s">
        <v>13</v>
      </c>
      <c r="C138" s="12" t="n">
        <v>268723.98</v>
      </c>
      <c r="D138" s="12" t="n">
        <v>1582813.16</v>
      </c>
      <c r="E138" s="12" t="n">
        <v>3699933.17</v>
      </c>
      <c r="F138" s="12" t="n">
        <v>42.78</v>
      </c>
      <c r="G138" s="13" t="n">
        <f aca="false">IF(E138=0,0,D138/E138*100)</f>
        <v>42.7795067444421</v>
      </c>
      <c r="H138" s="13" t="n">
        <f aca="false">ROUND(G138-F138,2)</f>
        <v>-0</v>
      </c>
    </row>
    <row r="139" customFormat="false" ht="15" hidden="false" customHeight="true" outlineLevel="0" collapsed="false">
      <c r="A139" s="10" t="s">
        <v>58</v>
      </c>
      <c r="B139" s="11" t="s">
        <v>11</v>
      </c>
      <c r="C139" s="12" t="n">
        <v>335904.98</v>
      </c>
      <c r="D139" s="12" t="n">
        <v>1816194.16</v>
      </c>
      <c r="E139" s="12" t="n">
        <v>3897492.49</v>
      </c>
      <c r="F139" s="12" t="n">
        <v>46.6</v>
      </c>
      <c r="G139" s="13" t="n">
        <f aca="false">IF(E139=0,0,D139/E139*100)</f>
        <v>46.5990419393983</v>
      </c>
      <c r="H139" s="13" t="n">
        <f aca="false">ROUND(G139-F139,2)</f>
        <v>-0</v>
      </c>
    </row>
    <row r="140" customFormat="false" ht="15" hidden="false" customHeight="true" outlineLevel="0" collapsed="false">
      <c r="A140" s="14"/>
      <c r="B140" s="11" t="s">
        <v>12</v>
      </c>
      <c r="C140" s="12" t="n">
        <v>335904.98</v>
      </c>
      <c r="D140" s="12" t="n">
        <v>1649994.16</v>
      </c>
      <c r="E140" s="12" t="n">
        <v>3874492.49</v>
      </c>
      <c r="F140" s="12" t="n">
        <v>42.59</v>
      </c>
      <c r="G140" s="13" t="n">
        <f aca="false">IF(E140=0,0,D140/E140*100)</f>
        <v>42.5860719631954</v>
      </c>
      <c r="H140" s="13" t="n">
        <f aca="false">ROUND(G140-F140,2)</f>
        <v>-0</v>
      </c>
    </row>
    <row r="141" customFormat="false" ht="15" hidden="false" customHeight="true" outlineLevel="0" collapsed="false">
      <c r="A141" s="14"/>
      <c r="B141" s="11" t="s">
        <v>13</v>
      </c>
      <c r="C141" s="12" t="n">
        <v>268723.98</v>
      </c>
      <c r="D141" s="12" t="n">
        <v>1319995.33</v>
      </c>
      <c r="E141" s="12" t="n">
        <v>2959946.54</v>
      </c>
      <c r="F141" s="12" t="n">
        <v>44.6</v>
      </c>
      <c r="G141" s="13" t="n">
        <f aca="false">IF(E141=0,0,D141/E141*100)</f>
        <v>44.5952422505577</v>
      </c>
      <c r="H141" s="13" t="n">
        <f aca="false">ROUND(G141-F141,2)</f>
        <v>-0</v>
      </c>
    </row>
    <row r="142" customFormat="false" ht="15" hidden="false" customHeight="true" outlineLevel="0" collapsed="false">
      <c r="A142" s="10" t="s">
        <v>59</v>
      </c>
      <c r="B142" s="11" t="s">
        <v>11</v>
      </c>
      <c r="C142" s="12" t="n">
        <v>0</v>
      </c>
      <c r="D142" s="12" t="n">
        <v>370072.3</v>
      </c>
      <c r="E142" s="12" t="n">
        <v>968623.12</v>
      </c>
      <c r="F142" s="12" t="n">
        <v>38.21</v>
      </c>
      <c r="G142" s="13" t="n">
        <f aca="false">IF(E142=0,0,D142/E142*100)</f>
        <v>38.2060155656826</v>
      </c>
      <c r="H142" s="13" t="n">
        <f aca="false">ROUND(G142-F142,2)</f>
        <v>-0</v>
      </c>
    </row>
    <row r="143" customFormat="false" ht="15" hidden="false" customHeight="true" outlineLevel="0" collapsed="false">
      <c r="A143" s="14"/>
      <c r="B143" s="11" t="s">
        <v>12</v>
      </c>
      <c r="C143" s="12" t="n">
        <v>0</v>
      </c>
      <c r="D143" s="12" t="n">
        <v>328522.3</v>
      </c>
      <c r="E143" s="12" t="n">
        <v>968623.12</v>
      </c>
      <c r="F143" s="12" t="n">
        <v>33.92</v>
      </c>
      <c r="G143" s="13" t="n">
        <f aca="false">IF(E143=0,0,D143/E143*100)</f>
        <v>33.9164214870279</v>
      </c>
      <c r="H143" s="13" t="n">
        <f aca="false">ROUND(G143-F143,2)</f>
        <v>-0</v>
      </c>
    </row>
    <row r="144" customFormat="false" ht="15" hidden="false" customHeight="true" outlineLevel="0" collapsed="false">
      <c r="A144" s="14"/>
      <c r="B144" s="11" t="s">
        <v>13</v>
      </c>
      <c r="C144" s="12" t="n">
        <v>0</v>
      </c>
      <c r="D144" s="12" t="n">
        <v>262817.83</v>
      </c>
      <c r="E144" s="12" t="n">
        <v>739986.63</v>
      </c>
      <c r="F144" s="12" t="n">
        <v>35.52</v>
      </c>
      <c r="G144" s="13" t="n">
        <f aca="false">IF(E144=0,0,D144/E144*100)</f>
        <v>35.5165646709049</v>
      </c>
      <c r="H144" s="13" t="n">
        <f aca="false">ROUND(G144-F144,2)</f>
        <v>-0</v>
      </c>
    </row>
    <row r="145" customFormat="false" ht="15" hidden="false" customHeight="true" outlineLevel="0" collapsed="false">
      <c r="A145" s="10" t="s">
        <v>60</v>
      </c>
      <c r="B145" s="11" t="s">
        <v>11</v>
      </c>
      <c r="C145" s="12" t="n">
        <v>335904.98</v>
      </c>
      <c r="D145" s="12" t="n">
        <v>1816194.16</v>
      </c>
      <c r="E145" s="12" t="n">
        <v>3897492.49</v>
      </c>
      <c r="F145" s="12" t="n">
        <v>46.6</v>
      </c>
      <c r="G145" s="13" t="n">
        <f aca="false">IF(E145=0,0,D145/E145*100)</f>
        <v>46.5990419393983</v>
      </c>
      <c r="H145" s="13" t="n">
        <f aca="false">ROUND(G145-F145,2)</f>
        <v>-0</v>
      </c>
    </row>
    <row r="146" customFormat="false" ht="15" hidden="false" customHeight="true" outlineLevel="0" collapsed="false">
      <c r="A146" s="14"/>
      <c r="B146" s="11" t="s">
        <v>12</v>
      </c>
      <c r="C146" s="12" t="n">
        <v>335904.98</v>
      </c>
      <c r="D146" s="12" t="n">
        <v>1649994.16</v>
      </c>
      <c r="E146" s="12" t="n">
        <v>3874492.49</v>
      </c>
      <c r="F146" s="12" t="n">
        <v>42.59</v>
      </c>
      <c r="G146" s="13" t="n">
        <f aca="false">IF(E146=0,0,D146/E146*100)</f>
        <v>42.5860719631954</v>
      </c>
      <c r="H146" s="13" t="n">
        <f aca="false">ROUND(G146-F146,2)</f>
        <v>-0</v>
      </c>
    </row>
    <row r="147" customFormat="false" ht="15" hidden="false" customHeight="true" outlineLevel="0" collapsed="false">
      <c r="A147" s="14"/>
      <c r="B147" s="11" t="s">
        <v>13</v>
      </c>
      <c r="C147" s="12" t="n">
        <v>268723.98</v>
      </c>
      <c r="D147" s="12" t="n">
        <v>1319995.33</v>
      </c>
      <c r="E147" s="12" t="n">
        <v>2959946.54</v>
      </c>
      <c r="F147" s="12" t="n">
        <v>44.6</v>
      </c>
      <c r="G147" s="13" t="n">
        <f aca="false">IF(E147=0,0,D147/E147*100)</f>
        <v>44.5952422505577</v>
      </c>
      <c r="H147" s="13" t="n">
        <f aca="false">ROUND(G147-F147,2)</f>
        <v>-0</v>
      </c>
    </row>
    <row r="148" customFormat="false" ht="15" hidden="false" customHeight="true" outlineLevel="0" collapsed="false">
      <c r="A148" s="10" t="s">
        <v>61</v>
      </c>
      <c r="B148" s="11" t="s">
        <v>11</v>
      </c>
      <c r="C148" s="12" t="n">
        <v>0</v>
      </c>
      <c r="D148" s="12" t="n">
        <v>370072.3</v>
      </c>
      <c r="E148" s="12" t="n">
        <v>968623.12</v>
      </c>
      <c r="F148" s="12" t="n">
        <v>38.21</v>
      </c>
      <c r="G148" s="13" t="n">
        <f aca="false">IF(E148=0,0,D148/E148*100)</f>
        <v>38.2060155656826</v>
      </c>
      <c r="H148" s="13" t="n">
        <f aca="false">ROUND(G148-F148,2)</f>
        <v>-0</v>
      </c>
    </row>
    <row r="149" customFormat="false" ht="15" hidden="false" customHeight="true" outlineLevel="0" collapsed="false">
      <c r="A149" s="14"/>
      <c r="B149" s="11" t="s">
        <v>12</v>
      </c>
      <c r="C149" s="12" t="n">
        <v>0</v>
      </c>
      <c r="D149" s="12" t="n">
        <v>328522.3</v>
      </c>
      <c r="E149" s="12" t="n">
        <v>968623.12</v>
      </c>
      <c r="F149" s="12" t="n">
        <v>33.92</v>
      </c>
      <c r="G149" s="13" t="n">
        <f aca="false">IF(E149=0,0,D149/E149*100)</f>
        <v>33.9164214870279</v>
      </c>
      <c r="H149" s="13" t="n">
        <f aca="false">ROUND(G149-F149,2)</f>
        <v>-0</v>
      </c>
    </row>
    <row r="150" customFormat="false" ht="15" hidden="false" customHeight="true" outlineLevel="0" collapsed="false">
      <c r="A150" s="14"/>
      <c r="B150" s="11" t="s">
        <v>13</v>
      </c>
      <c r="C150" s="12" t="n">
        <v>0</v>
      </c>
      <c r="D150" s="12" t="n">
        <v>262817.83</v>
      </c>
      <c r="E150" s="12" t="n">
        <v>739986.63</v>
      </c>
      <c r="F150" s="12" t="n">
        <v>35.52</v>
      </c>
      <c r="G150" s="13" t="n">
        <f aca="false">IF(E150=0,0,D150/E150*100)</f>
        <v>35.5165646709049</v>
      </c>
      <c r="H150" s="13" t="n">
        <f aca="false">ROUND(G150-F150,2)</f>
        <v>-0</v>
      </c>
    </row>
    <row r="151" customFormat="false" ht="15" hidden="false" customHeight="true" outlineLevel="0" collapsed="false">
      <c r="A151" s="10" t="s">
        <v>62</v>
      </c>
      <c r="B151" s="11" t="s">
        <v>11</v>
      </c>
      <c r="C151" s="12" t="n">
        <v>0</v>
      </c>
      <c r="D151" s="12" t="n">
        <v>4552.16</v>
      </c>
      <c r="E151" s="12" t="n">
        <v>14999.99</v>
      </c>
      <c r="F151" s="12" t="n">
        <v>30.35</v>
      </c>
      <c r="G151" s="13" t="n">
        <f aca="false">IF(E151=0,0,D151/E151*100)</f>
        <v>30.347753565169</v>
      </c>
      <c r="H151" s="13" t="n">
        <f aca="false">ROUND(G151-F151,2)</f>
        <v>-0</v>
      </c>
    </row>
    <row r="152" customFormat="false" ht="15" hidden="false" customHeight="true" outlineLevel="0" collapsed="false">
      <c r="A152" s="14"/>
      <c r="B152" s="11" t="s">
        <v>12</v>
      </c>
      <c r="C152" s="12" t="n">
        <v>0</v>
      </c>
      <c r="D152" s="12" t="n">
        <v>4552.16</v>
      </c>
      <c r="E152" s="12" t="n">
        <v>14999.99</v>
      </c>
      <c r="F152" s="12" t="n">
        <v>30.35</v>
      </c>
      <c r="G152" s="13" t="n">
        <f aca="false">IF(E152=0,0,D152/E152*100)</f>
        <v>30.347753565169</v>
      </c>
      <c r="H152" s="13" t="n">
        <f aca="false">ROUND(G152-F152,2)</f>
        <v>-0</v>
      </c>
    </row>
    <row r="153" customFormat="false" ht="15" hidden="false" customHeight="true" outlineLevel="0" collapsed="false">
      <c r="A153" s="14"/>
      <c r="B153" s="11" t="s">
        <v>13</v>
      </c>
      <c r="C153" s="12" t="n">
        <v>0</v>
      </c>
      <c r="D153" s="12" t="n">
        <v>3641.74</v>
      </c>
      <c r="E153" s="12" t="n">
        <v>11428.54</v>
      </c>
      <c r="F153" s="12" t="n">
        <v>31.87</v>
      </c>
      <c r="G153" s="13" t="n">
        <f aca="false">IF(E153=0,0,D153/E153*100)</f>
        <v>31.8653126296097</v>
      </c>
      <c r="H153" s="13" t="n">
        <f aca="false">ROUND(G153-F153,2)</f>
        <v>-0</v>
      </c>
    </row>
    <row r="154" customFormat="false" ht="15" hidden="false" customHeight="true" outlineLevel="0" collapsed="false">
      <c r="A154" s="10" t="s">
        <v>63</v>
      </c>
      <c r="B154" s="11" t="s">
        <v>11</v>
      </c>
      <c r="C154" s="12" t="n">
        <v>335904.98</v>
      </c>
      <c r="D154" s="12" t="n">
        <v>1811642</v>
      </c>
      <c r="E154" s="12" t="n">
        <v>3759492.5</v>
      </c>
      <c r="F154" s="12" t="n">
        <v>48.19</v>
      </c>
      <c r="G154" s="13" t="n">
        <f aca="false">IF(E154=0,0,D154/E154*100)</f>
        <v>48.1884722472515</v>
      </c>
      <c r="H154" s="13" t="n">
        <f aca="false">ROUND(G154-F154,2)</f>
        <v>-0</v>
      </c>
    </row>
    <row r="155" customFormat="false" ht="15" hidden="false" customHeight="true" outlineLevel="0" collapsed="false">
      <c r="A155" s="14"/>
      <c r="B155" s="11" t="s">
        <v>12</v>
      </c>
      <c r="C155" s="12" t="n">
        <v>335904.98</v>
      </c>
      <c r="D155" s="12" t="n">
        <v>1645442</v>
      </c>
      <c r="E155" s="12" t="n">
        <v>3759492.5</v>
      </c>
      <c r="F155" s="12" t="n">
        <v>43.77</v>
      </c>
      <c r="G155" s="13" t="n">
        <f aca="false">IF(E155=0,0,D155/E155*100)</f>
        <v>43.767662789592</v>
      </c>
      <c r="H155" s="13" t="n">
        <f aca="false">ROUND(G155-F155,2)</f>
        <v>-0</v>
      </c>
    </row>
    <row r="156" customFormat="false" ht="15" hidden="false" customHeight="true" outlineLevel="0" collapsed="false">
      <c r="A156" s="14"/>
      <c r="B156" s="11" t="s">
        <v>13</v>
      </c>
      <c r="C156" s="12" t="n">
        <v>268723.98</v>
      </c>
      <c r="D156" s="12" t="n">
        <v>1316353.59</v>
      </c>
      <c r="E156" s="12" t="n">
        <v>2868518</v>
      </c>
      <c r="F156" s="12" t="n">
        <v>45.89</v>
      </c>
      <c r="G156" s="13" t="n">
        <f aca="false">IF(E156=0,0,D156/E156*100)</f>
        <v>45.8896750865778</v>
      </c>
      <c r="H156" s="13" t="n">
        <f aca="false">ROUND(G156-F156,2)</f>
        <v>-0</v>
      </c>
    </row>
    <row r="157" customFormat="false" ht="15" hidden="false" customHeight="true" outlineLevel="0" collapsed="false">
      <c r="A157" s="10" t="s">
        <v>64</v>
      </c>
      <c r="B157" s="11" t="s">
        <v>11</v>
      </c>
      <c r="C157" s="12" t="n">
        <v>0</v>
      </c>
      <c r="D157" s="12" t="n">
        <v>0</v>
      </c>
      <c r="E157" s="12" t="n">
        <v>123000</v>
      </c>
      <c r="F157" s="12" t="n">
        <v>0</v>
      </c>
      <c r="G157" s="13" t="n">
        <f aca="false">IF(E157=0,0,D157/E157*100)</f>
        <v>0</v>
      </c>
      <c r="H157" s="13" t="n">
        <f aca="false">ROUND(G157-F157,2)</f>
        <v>0</v>
      </c>
    </row>
    <row r="158" customFormat="false" ht="15" hidden="false" customHeight="true" outlineLevel="0" collapsed="false">
      <c r="A158" s="14"/>
      <c r="B158" s="11" t="s">
        <v>12</v>
      </c>
      <c r="C158" s="12" t="n">
        <v>0</v>
      </c>
      <c r="D158" s="12" t="n">
        <v>0</v>
      </c>
      <c r="E158" s="12" t="n">
        <v>100000</v>
      </c>
      <c r="F158" s="12" t="n">
        <v>0</v>
      </c>
      <c r="G158" s="13" t="n">
        <f aca="false">IF(E158=0,0,D158/E158*100)</f>
        <v>0</v>
      </c>
      <c r="H158" s="13" t="n">
        <f aca="false">ROUND(G158-F158,2)</f>
        <v>0</v>
      </c>
    </row>
    <row r="159" customFormat="false" ht="15" hidden="false" customHeight="true" outlineLevel="0" collapsed="false">
      <c r="A159" s="14"/>
      <c r="B159" s="11" t="s">
        <v>13</v>
      </c>
      <c r="C159" s="12" t="n">
        <v>0</v>
      </c>
      <c r="D159" s="12" t="n">
        <v>0</v>
      </c>
      <c r="E159" s="12" t="n">
        <v>80000</v>
      </c>
      <c r="F159" s="12" t="n">
        <v>0</v>
      </c>
      <c r="G159" s="13" t="n">
        <f aca="false">IF(E159=0,0,D159/E159*100)</f>
        <v>0</v>
      </c>
      <c r="H159" s="13" t="n">
        <f aca="false">ROUND(G159-F159,2)</f>
        <v>0</v>
      </c>
    </row>
    <row r="160" customFormat="false" ht="15" hidden="false" customHeight="true" outlineLevel="0" collapsed="false">
      <c r="A160" s="10" t="s">
        <v>65</v>
      </c>
      <c r="B160" s="11" t="s">
        <v>11</v>
      </c>
      <c r="C160" s="12" t="n">
        <v>335904.98</v>
      </c>
      <c r="D160" s="12" t="n">
        <v>2186266.46</v>
      </c>
      <c r="E160" s="12" t="n">
        <v>4866115.61</v>
      </c>
      <c r="F160" s="12" t="n">
        <v>44.93</v>
      </c>
      <c r="G160" s="13" t="n">
        <f aca="false">IF(E160=0,0,D160/E160*100)</f>
        <v>44.9283707009994</v>
      </c>
      <c r="H160" s="13" t="n">
        <f aca="false">ROUND(G160-F160,2)</f>
        <v>-0</v>
      </c>
    </row>
    <row r="161" customFormat="false" ht="15" hidden="false" customHeight="true" outlineLevel="0" collapsed="false">
      <c r="A161" s="14"/>
      <c r="B161" s="11" t="s">
        <v>12</v>
      </c>
      <c r="C161" s="12" t="n">
        <v>335904.98</v>
      </c>
      <c r="D161" s="12" t="n">
        <v>1978516.46</v>
      </c>
      <c r="E161" s="12" t="n">
        <v>4843115.61</v>
      </c>
      <c r="F161" s="12" t="n">
        <v>40.85</v>
      </c>
      <c r="G161" s="13" t="n">
        <f aca="false">IF(E161=0,0,D161/E161*100)</f>
        <v>40.8521418715421</v>
      </c>
      <c r="H161" s="13" t="n">
        <f aca="false">ROUND(G161-F161,2)</f>
        <v>0</v>
      </c>
    </row>
    <row r="162" customFormat="false" ht="15" hidden="false" customHeight="true" outlineLevel="0" collapsed="false">
      <c r="A162" s="14"/>
      <c r="B162" s="11" t="s">
        <v>13</v>
      </c>
      <c r="C162" s="12" t="n">
        <v>268723.98</v>
      </c>
      <c r="D162" s="12" t="n">
        <v>1582813.16</v>
      </c>
      <c r="E162" s="12" t="n">
        <v>3699933.17</v>
      </c>
      <c r="F162" s="12" t="n">
        <v>42.78</v>
      </c>
      <c r="G162" s="13" t="n">
        <f aca="false">IF(E162=0,0,D162/E162*100)</f>
        <v>42.7795067444421</v>
      </c>
      <c r="H162" s="13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0"/>
  </cols>
  <sheetData>
    <row r="1" customFormat="false" ht="15.75" hidden="false" customHeight="true" outlineLevel="0" collapsed="false">
      <c r="A1" s="2" t="s">
        <v>66</v>
      </c>
    </row>
    <row r="2" customFormat="false" ht="15" hidden="false" customHeight="true" outlineLevel="0" collapsed="false">
      <c r="A2" s="17" t="s">
        <v>67</v>
      </c>
      <c r="B2" s="17" t="s">
        <v>3</v>
      </c>
      <c r="C2" s="17" t="s">
        <v>68</v>
      </c>
      <c r="D2" s="17" t="s">
        <v>69</v>
      </c>
      <c r="E2" s="17" t="s">
        <v>70</v>
      </c>
      <c r="F2" s="17" t="s">
        <v>71</v>
      </c>
      <c r="G2" s="17" t="s">
        <v>72</v>
      </c>
    </row>
    <row r="3" customFormat="false" ht="15" hidden="false" customHeight="true" outlineLevel="0" collapsed="false">
      <c r="A3" s="18" t="s">
        <v>73</v>
      </c>
      <c r="B3" s="18" t="s">
        <v>11</v>
      </c>
      <c r="C3" s="18" t="s">
        <v>74</v>
      </c>
      <c r="D3" s="19" t="n">
        <f aca="false">Podsumowanie!C5</f>
        <v>0</v>
      </c>
      <c r="E3" s="19" t="n">
        <f aca="false">Podsumowanie!C8+Podsumowanie!C11+Podsumowanie!C14+Podsumowanie!C17+Podsumowanie!C20+Podsumowanie!C23+Podsumowanie!C26+Podsumowanie!C29+Podsumowanie!C32</f>
        <v>0</v>
      </c>
      <c r="F3" s="19" t="n">
        <f aca="false">ROUND(D3-E3,2)</f>
        <v>0</v>
      </c>
      <c r="G3" s="18" t="str">
        <f aca="false">IF(ABS(F3)&lt;=0.02,"OK","BŁĄD")</f>
        <v>OK</v>
      </c>
    </row>
    <row r="4" customFormat="false" ht="15" hidden="false" customHeight="true" outlineLevel="0" collapsed="false">
      <c r="A4" s="18" t="s">
        <v>73</v>
      </c>
      <c r="B4" s="18" t="s">
        <v>11</v>
      </c>
      <c r="C4" s="18" t="s">
        <v>75</v>
      </c>
      <c r="D4" s="19" t="n">
        <f aca="false">Podsumowanie!D5</f>
        <v>807424.87</v>
      </c>
      <c r="E4" s="19" t="n">
        <f aca="false">Podsumowanie!D8+Podsumowanie!D11+Podsumowanie!D14+Podsumowanie!D17+Podsumowanie!D20+Podsumowanie!D23+Podsumowanie!D26+Podsumowanie!D29+Podsumowanie!D32</f>
        <v>807424.87</v>
      </c>
      <c r="F4" s="19" t="n">
        <f aca="false">ROUND(D4-E4,2)</f>
        <v>0</v>
      </c>
      <c r="G4" s="18" t="str">
        <f aca="false">IF(ABS(F4)&lt;=0.02,"OK","BŁĄD")</f>
        <v>OK</v>
      </c>
    </row>
    <row r="5" customFormat="false" ht="15" hidden="false" customHeight="true" outlineLevel="0" collapsed="false">
      <c r="A5" s="18" t="s">
        <v>73</v>
      </c>
      <c r="B5" s="18" t="s">
        <v>11</v>
      </c>
      <c r="C5" s="18" t="s">
        <v>76</v>
      </c>
      <c r="D5" s="19" t="n">
        <f aca="false">Podsumowanie!E5</f>
        <v>868383.93</v>
      </c>
      <c r="E5" s="19" t="n">
        <f aca="false">Podsumowanie!E8+Podsumowanie!E11+Podsumowanie!E14+Podsumowanie!E17+Podsumowanie!E20+Podsumowanie!E23+Podsumowanie!E26+Podsumowanie!E29+Podsumowanie!E32</f>
        <v>868383.93</v>
      </c>
      <c r="F5" s="19" t="n">
        <f aca="false">ROUND(D5-E5,2)</f>
        <v>0</v>
      </c>
      <c r="G5" s="18" t="str">
        <f aca="false">IF(ABS(F5)&lt;=0.02,"OK","BŁĄD")</f>
        <v>OK</v>
      </c>
    </row>
    <row r="6" customFormat="false" ht="15" hidden="false" customHeight="true" outlineLevel="0" collapsed="false">
      <c r="A6" s="18" t="s">
        <v>73</v>
      </c>
      <c r="B6" s="18" t="s">
        <v>12</v>
      </c>
      <c r="C6" s="18" t="s">
        <v>74</v>
      </c>
      <c r="D6" s="19" t="n">
        <f aca="false">Podsumowanie!C6</f>
        <v>0</v>
      </c>
      <c r="E6" s="19" t="n">
        <f aca="false">Podsumowanie!C9+Podsumowanie!C12+Podsumowanie!C15+Podsumowanie!C18+Podsumowanie!C21+Podsumowanie!C24+Podsumowanie!C27+Podsumowanie!C30+Podsumowanie!C33</f>
        <v>0</v>
      </c>
      <c r="F6" s="19" t="n">
        <f aca="false">ROUND(D6-E6,2)</f>
        <v>0</v>
      </c>
      <c r="G6" s="18" t="str">
        <f aca="false">IF(ABS(F6)&lt;=0.02,"OK","BŁĄD")</f>
        <v>OK</v>
      </c>
    </row>
    <row r="7" customFormat="false" ht="15" hidden="false" customHeight="true" outlineLevel="0" collapsed="false">
      <c r="A7" s="18" t="s">
        <v>73</v>
      </c>
      <c r="B7" s="18" t="s">
        <v>12</v>
      </c>
      <c r="C7" s="18" t="s">
        <v>75</v>
      </c>
      <c r="D7" s="19" t="n">
        <f aca="false">Podsumowanie!D6</f>
        <v>807424.87</v>
      </c>
      <c r="E7" s="19" t="n">
        <f aca="false">Podsumowanie!D9+Podsumowanie!D12+Podsumowanie!D15+Podsumowanie!D18+Podsumowanie!D21+Podsumowanie!D24+Podsumowanie!D27+Podsumowanie!D30+Podsumowanie!D33</f>
        <v>807424.87</v>
      </c>
      <c r="F7" s="19" t="n">
        <f aca="false">ROUND(D7-E7,2)</f>
        <v>0</v>
      </c>
      <c r="G7" s="18" t="str">
        <f aca="false">IF(ABS(F7)&lt;=0.02,"OK","BŁĄD")</f>
        <v>OK</v>
      </c>
    </row>
    <row r="8" customFormat="false" ht="15" hidden="false" customHeight="true" outlineLevel="0" collapsed="false">
      <c r="A8" s="18" t="s">
        <v>73</v>
      </c>
      <c r="B8" s="18" t="s">
        <v>12</v>
      </c>
      <c r="C8" s="18" t="s">
        <v>76</v>
      </c>
      <c r="D8" s="19" t="n">
        <f aca="false">Podsumowanie!E6</f>
        <v>868383.93</v>
      </c>
      <c r="E8" s="19" t="n">
        <f aca="false">Podsumowanie!E9+Podsumowanie!E12+Podsumowanie!E15+Podsumowanie!E18+Podsumowanie!E21+Podsumowanie!E24+Podsumowanie!E27+Podsumowanie!E30+Podsumowanie!E33</f>
        <v>868383.93</v>
      </c>
      <c r="F8" s="19" t="n">
        <f aca="false">ROUND(D8-E8,2)</f>
        <v>0</v>
      </c>
      <c r="G8" s="18" t="str">
        <f aca="false">IF(ABS(F8)&lt;=0.02,"OK","BŁĄD")</f>
        <v>OK</v>
      </c>
    </row>
    <row r="9" customFormat="false" ht="15" hidden="false" customHeight="true" outlineLevel="0" collapsed="false">
      <c r="A9" s="18" t="s">
        <v>73</v>
      </c>
      <c r="B9" s="18" t="s">
        <v>13</v>
      </c>
      <c r="C9" s="18" t="s">
        <v>74</v>
      </c>
      <c r="D9" s="19" t="n">
        <f aca="false">Podsumowanie!C7</f>
        <v>0</v>
      </c>
      <c r="E9" s="19" t="n">
        <f aca="false">Podsumowanie!C10+Podsumowanie!C13+Podsumowanie!C16+Podsumowanie!C19+Podsumowanie!C22+Podsumowanie!C25+Podsumowanie!C28+Podsumowanie!C31+Podsumowanie!C34</f>
        <v>0</v>
      </c>
      <c r="F9" s="19" t="n">
        <f aca="false">ROUND(D9-E9,2)</f>
        <v>0</v>
      </c>
      <c r="G9" s="18" t="str">
        <f aca="false">IF(ABS(F9)&lt;=0.02,"OK","BŁĄD")</f>
        <v>OK</v>
      </c>
    </row>
    <row r="10" customFormat="false" ht="15" hidden="false" customHeight="true" outlineLevel="0" collapsed="false">
      <c r="A10" s="18" t="s">
        <v>73</v>
      </c>
      <c r="B10" s="18" t="s">
        <v>13</v>
      </c>
      <c r="C10" s="18" t="s">
        <v>75</v>
      </c>
      <c r="D10" s="19" t="n">
        <f aca="false">Podsumowanie!D7</f>
        <v>645939.9</v>
      </c>
      <c r="E10" s="19" t="n">
        <f aca="false">Podsumowanie!D10+Podsumowanie!D13+Podsumowanie!D16+Podsumowanie!D19+Podsumowanie!D22+Podsumowanie!D25+Podsumowanie!D28+Podsumowanie!D31+Podsumowanie!D34</f>
        <v>645939.9</v>
      </c>
      <c r="F10" s="19" t="n">
        <f aca="false">ROUND(D10-E10,2)</f>
        <v>0</v>
      </c>
      <c r="G10" s="18" t="str">
        <f aca="false">IF(ABS(F10)&lt;=0.02,"OK","BŁĄD")</f>
        <v>OK</v>
      </c>
    </row>
    <row r="11" customFormat="false" ht="15" hidden="false" customHeight="true" outlineLevel="0" collapsed="false">
      <c r="A11" s="18" t="s">
        <v>73</v>
      </c>
      <c r="B11" s="18" t="s">
        <v>13</v>
      </c>
      <c r="C11" s="18" t="s">
        <v>76</v>
      </c>
      <c r="D11" s="19" t="n">
        <f aca="false">Podsumowanie!E7</f>
        <v>694707.14</v>
      </c>
      <c r="E11" s="19" t="n">
        <f aca="false">Podsumowanie!E10+Podsumowanie!E13+Podsumowanie!E16+Podsumowanie!E19+Podsumowanie!E22+Podsumowanie!E25+Podsumowanie!E28+Podsumowanie!E31+Podsumowanie!E34</f>
        <v>694707.14</v>
      </c>
      <c r="F11" s="19" t="n">
        <f aca="false">ROUND(D11-E11,2)</f>
        <v>0</v>
      </c>
      <c r="G11" s="18" t="str">
        <f aca="false">IF(ABS(F11)&lt;=0.02,"OK","BŁĄD")</f>
        <v>OK</v>
      </c>
    </row>
    <row r="12" customFormat="false" ht="15" hidden="false" customHeight="true" outlineLevel="0" collapsed="false">
      <c r="A12" s="18" t="s">
        <v>77</v>
      </c>
      <c r="B12" s="18" t="s">
        <v>11</v>
      </c>
      <c r="C12" s="18" t="s">
        <v>74</v>
      </c>
      <c r="D12" s="19" t="n">
        <f aca="false">Podsumowanie!C35</f>
        <v>335904.98</v>
      </c>
      <c r="E12" s="19" t="n">
        <f aca="false">Podsumowanie!C38+Podsumowanie!C41+Podsumowanie!C44+Podsumowanie!C47+Podsumowanie!C50+Podsumowanie!C53+Podsumowanie!C56+Podsumowanie!C59+Podsumowanie!C62+Podsumowanie!C65</f>
        <v>335904.98</v>
      </c>
      <c r="F12" s="19" t="n">
        <f aca="false">ROUND(D12-E12,2)</f>
        <v>0</v>
      </c>
      <c r="G12" s="18" t="str">
        <f aca="false">IF(ABS(F12)&lt;=0.02,"OK","BŁĄD")</f>
        <v>OK</v>
      </c>
    </row>
    <row r="13" customFormat="false" ht="15" hidden="false" customHeight="true" outlineLevel="0" collapsed="false">
      <c r="A13" s="18" t="s">
        <v>77</v>
      </c>
      <c r="B13" s="18" t="s">
        <v>11</v>
      </c>
      <c r="C13" s="18" t="s">
        <v>75</v>
      </c>
      <c r="D13" s="19" t="n">
        <f aca="false">Podsumowanie!D35</f>
        <v>1008769.29</v>
      </c>
      <c r="E13" s="19" t="n">
        <f aca="false">Podsumowanie!D38+Podsumowanie!D41+Podsumowanie!D44+Podsumowanie!D47+Podsumowanie!D50+Podsumowanie!D53+Podsumowanie!D56+Podsumowanie!D59+Podsumowanie!D62+Podsumowanie!D65</f>
        <v>1008769.29</v>
      </c>
      <c r="F13" s="19" t="n">
        <f aca="false">ROUND(D13-E13,2)</f>
        <v>0</v>
      </c>
      <c r="G13" s="18" t="str">
        <f aca="false">IF(ABS(F13)&lt;=0.02,"OK","BŁĄD")</f>
        <v>OK</v>
      </c>
    </row>
    <row r="14" customFormat="false" ht="15" hidden="false" customHeight="true" outlineLevel="0" collapsed="false">
      <c r="A14" s="18" t="s">
        <v>77</v>
      </c>
      <c r="B14" s="18" t="s">
        <v>11</v>
      </c>
      <c r="C14" s="18" t="s">
        <v>76</v>
      </c>
      <c r="D14" s="19" t="n">
        <f aca="false">Podsumowanie!E35</f>
        <v>1226935.71</v>
      </c>
      <c r="E14" s="19" t="n">
        <f aca="false">Podsumowanie!E38+Podsumowanie!E41+Podsumowanie!E44+Podsumowanie!E47+Podsumowanie!E50+Podsumowanie!E53+Podsumowanie!E56+Podsumowanie!E59+Podsumowanie!E62+Podsumowanie!E65</f>
        <v>1226935.71</v>
      </c>
      <c r="F14" s="19" t="n">
        <f aca="false">ROUND(D14-E14,2)</f>
        <v>0</v>
      </c>
      <c r="G14" s="18" t="str">
        <f aca="false">IF(ABS(F14)&lt;=0.02,"OK","BŁĄD")</f>
        <v>OK</v>
      </c>
    </row>
    <row r="15" customFormat="false" ht="15" hidden="false" customHeight="true" outlineLevel="0" collapsed="false">
      <c r="A15" s="18" t="s">
        <v>77</v>
      </c>
      <c r="B15" s="18" t="s">
        <v>12</v>
      </c>
      <c r="C15" s="18" t="s">
        <v>74</v>
      </c>
      <c r="D15" s="19" t="n">
        <f aca="false">Podsumowanie!C36</f>
        <v>335904.98</v>
      </c>
      <c r="E15" s="19" t="n">
        <f aca="false">Podsumowanie!C39+Podsumowanie!C42+Podsumowanie!C45+Podsumowanie!C48+Podsumowanie!C51+Podsumowanie!C54+Podsumowanie!C57+Podsumowanie!C60+Podsumowanie!C63+Podsumowanie!C66</f>
        <v>335904.98</v>
      </c>
      <c r="F15" s="19" t="n">
        <f aca="false">ROUND(D15-E15,2)</f>
        <v>0</v>
      </c>
      <c r="G15" s="18" t="str">
        <f aca="false">IF(ABS(F15)&lt;=0.02,"OK","BŁĄD")</f>
        <v>OK</v>
      </c>
    </row>
    <row r="16" customFormat="false" ht="15" hidden="false" customHeight="true" outlineLevel="0" collapsed="false">
      <c r="A16" s="18" t="s">
        <v>77</v>
      </c>
      <c r="B16" s="18" t="s">
        <v>12</v>
      </c>
      <c r="C16" s="18" t="s">
        <v>75</v>
      </c>
      <c r="D16" s="19" t="n">
        <f aca="false">Podsumowanie!D36</f>
        <v>842569.29</v>
      </c>
      <c r="E16" s="19" t="n">
        <f aca="false">Podsumowanie!D39+Podsumowanie!D42+Podsumowanie!D45+Podsumowanie!D48+Podsumowanie!D51+Podsumowanie!D54+Podsumowanie!D57+Podsumowanie!D60+Podsumowanie!D63+Podsumowanie!D66</f>
        <v>842569.29</v>
      </c>
      <c r="F16" s="19" t="n">
        <f aca="false">ROUND(D16-E16,2)</f>
        <v>0</v>
      </c>
      <c r="G16" s="18" t="str">
        <f aca="false">IF(ABS(F16)&lt;=0.02,"OK","BŁĄD")</f>
        <v>OK</v>
      </c>
    </row>
    <row r="17" customFormat="false" ht="15" hidden="false" customHeight="true" outlineLevel="0" collapsed="false">
      <c r="A17" s="18" t="s">
        <v>77</v>
      </c>
      <c r="B17" s="18" t="s">
        <v>12</v>
      </c>
      <c r="C17" s="18" t="s">
        <v>76</v>
      </c>
      <c r="D17" s="19" t="n">
        <f aca="false">Podsumowanie!E36</f>
        <v>1203935.71</v>
      </c>
      <c r="E17" s="19" t="n">
        <f aca="false">Podsumowanie!E39+Podsumowanie!E42+Podsumowanie!E45+Podsumowanie!E48+Podsumowanie!E51+Podsumowanie!E54+Podsumowanie!E57+Podsumowanie!E60+Podsumowanie!E63+Podsumowanie!E66</f>
        <v>1203935.71</v>
      </c>
      <c r="F17" s="19" t="n">
        <f aca="false">ROUND(D17-E17,2)</f>
        <v>0</v>
      </c>
      <c r="G17" s="18" t="str">
        <f aca="false">IF(ABS(F17)&lt;=0.02,"OK","BŁĄD")</f>
        <v>OK</v>
      </c>
    </row>
    <row r="18" customFormat="false" ht="15" hidden="false" customHeight="true" outlineLevel="0" collapsed="false">
      <c r="A18" s="18" t="s">
        <v>77</v>
      </c>
      <c r="B18" s="18" t="s">
        <v>13</v>
      </c>
      <c r="C18" s="18" t="s">
        <v>74</v>
      </c>
      <c r="D18" s="19" t="n">
        <f aca="false">Podsumowanie!C37</f>
        <v>268723.98</v>
      </c>
      <c r="E18" s="19" t="n">
        <f aca="false">Podsumowanie!C40+Podsumowanie!C43+Podsumowanie!C46+Podsumowanie!C49+Podsumowanie!C52+Podsumowanie!C55+Podsumowanie!C58+Podsumowanie!C61+Podsumowanie!C64+Podsumowanie!C67</f>
        <v>268723.98</v>
      </c>
      <c r="F18" s="19" t="n">
        <f aca="false">ROUND(D18-E18,2)</f>
        <v>0</v>
      </c>
      <c r="G18" s="18" t="str">
        <f aca="false">IF(ABS(F18)&lt;=0.02,"OK","BŁĄD")</f>
        <v>OK</v>
      </c>
    </row>
    <row r="19" customFormat="false" ht="15" hidden="false" customHeight="true" outlineLevel="0" collapsed="false">
      <c r="A19" s="18" t="s">
        <v>77</v>
      </c>
      <c r="B19" s="18" t="s">
        <v>13</v>
      </c>
      <c r="C19" s="18" t="s">
        <v>75</v>
      </c>
      <c r="D19" s="19" t="n">
        <f aca="false">Podsumowanie!D37</f>
        <v>674055.43</v>
      </c>
      <c r="E19" s="19" t="n">
        <f aca="false">Podsumowanie!D40+Podsumowanie!D43+Podsumowanie!D46+Podsumowanie!D49+Podsumowanie!D52+Podsumowanie!D55+Podsumowanie!D58+Podsumowanie!D61+Podsumowanie!D64+Podsumowanie!D67</f>
        <v>674055.43</v>
      </c>
      <c r="F19" s="19" t="n">
        <f aca="false">ROUND(D19-E19,2)</f>
        <v>0</v>
      </c>
      <c r="G19" s="18" t="str">
        <f aca="false">IF(ABS(F19)&lt;=0.02,"OK","BŁĄD")</f>
        <v>OK</v>
      </c>
    </row>
    <row r="20" customFormat="false" ht="15" hidden="false" customHeight="true" outlineLevel="0" collapsed="false">
      <c r="A20" s="18" t="s">
        <v>77</v>
      </c>
      <c r="B20" s="18" t="s">
        <v>13</v>
      </c>
      <c r="C20" s="18" t="s">
        <v>76</v>
      </c>
      <c r="D20" s="19" t="n">
        <f aca="false">Podsumowanie!E37</f>
        <v>963148.56</v>
      </c>
      <c r="E20" s="19" t="n">
        <f aca="false">Podsumowanie!E40+Podsumowanie!E43+Podsumowanie!E46+Podsumowanie!E49+Podsumowanie!E52+Podsumowanie!E55+Podsumowanie!E58+Podsumowanie!E61+Podsumowanie!E64+Podsumowanie!E67</f>
        <v>963148.56</v>
      </c>
      <c r="F20" s="19" t="n">
        <f aca="false">ROUND(D20-E20,2)</f>
        <v>0</v>
      </c>
      <c r="G20" s="18" t="str">
        <f aca="false">IF(ABS(F20)&lt;=0.02,"OK","BŁĄD")</f>
        <v>OK</v>
      </c>
    </row>
    <row r="21" customFormat="false" ht="15" hidden="false" customHeight="true" outlineLevel="0" collapsed="false">
      <c r="A21" s="18" t="s">
        <v>78</v>
      </c>
      <c r="B21" s="18" t="s">
        <v>11</v>
      </c>
      <c r="C21" s="18" t="s">
        <v>74</v>
      </c>
      <c r="D21" s="19" t="n">
        <f aca="false">Podsumowanie!C68</f>
        <v>0</v>
      </c>
      <c r="E21" s="19" t="n">
        <f aca="false">Podsumowanie!C71+Podsumowanie!C74+Podsumowanie!C77+Podsumowanie!C80+Podsumowanie!C83+Podsumowanie!C86+Podsumowanie!C89+Podsumowanie!C92+Podsumowanie!C95</f>
        <v>0</v>
      </c>
      <c r="F21" s="19" t="n">
        <f aca="false">ROUND(D21-E21,2)</f>
        <v>0</v>
      </c>
      <c r="G21" s="18" t="str">
        <f aca="false">IF(ABS(F21)&lt;=0.02,"OK","BŁĄD")</f>
        <v>OK</v>
      </c>
    </row>
    <row r="22" customFormat="false" ht="15" hidden="false" customHeight="true" outlineLevel="0" collapsed="false">
      <c r="A22" s="18" t="s">
        <v>78</v>
      </c>
      <c r="B22" s="18" t="s">
        <v>11</v>
      </c>
      <c r="C22" s="18" t="s">
        <v>75</v>
      </c>
      <c r="D22" s="19" t="n">
        <f aca="false">Podsumowanie!D68</f>
        <v>0</v>
      </c>
      <c r="E22" s="19" t="n">
        <f aca="false">Podsumowanie!D71+Podsumowanie!D74+Podsumowanie!D77+Podsumowanie!D80+Podsumowanie!D83+Podsumowanie!D86+Podsumowanie!D89+Podsumowanie!D92+Podsumowanie!D95</f>
        <v>0</v>
      </c>
      <c r="F22" s="19" t="n">
        <f aca="false">ROUND(D22-E22,2)</f>
        <v>0</v>
      </c>
      <c r="G22" s="18" t="str">
        <f aca="false">IF(ABS(F22)&lt;=0.02,"OK","BŁĄD")</f>
        <v>OK</v>
      </c>
    </row>
    <row r="23" customFormat="false" ht="15" hidden="false" customHeight="true" outlineLevel="0" collapsed="false">
      <c r="A23" s="18" t="s">
        <v>78</v>
      </c>
      <c r="B23" s="18" t="s">
        <v>11</v>
      </c>
      <c r="C23" s="18" t="s">
        <v>76</v>
      </c>
      <c r="D23" s="19" t="n">
        <f aca="false">Podsumowanie!E68</f>
        <v>1103935.71</v>
      </c>
      <c r="E23" s="19" t="n">
        <f aca="false">Podsumowanie!E71+Podsumowanie!E74+Podsumowanie!E77+Podsumowanie!E80+Podsumowanie!E83+Podsumowanie!E86+Podsumowanie!E89+Podsumowanie!E92+Podsumowanie!E95</f>
        <v>1103935.71</v>
      </c>
      <c r="F23" s="19" t="n">
        <f aca="false">ROUND(D23-E23,2)</f>
        <v>0</v>
      </c>
      <c r="G23" s="18" t="str">
        <f aca="false">IF(ABS(F23)&lt;=0.02,"OK","BŁĄD")</f>
        <v>OK</v>
      </c>
    </row>
    <row r="24" customFormat="false" ht="15" hidden="false" customHeight="true" outlineLevel="0" collapsed="false">
      <c r="A24" s="18" t="s">
        <v>78</v>
      </c>
      <c r="B24" s="18" t="s">
        <v>12</v>
      </c>
      <c r="C24" s="18" t="s">
        <v>74</v>
      </c>
      <c r="D24" s="19" t="n">
        <f aca="false">Podsumowanie!C69</f>
        <v>0</v>
      </c>
      <c r="E24" s="19" t="n">
        <f aca="false">Podsumowanie!C72+Podsumowanie!C75+Podsumowanie!C78+Podsumowanie!C81+Podsumowanie!C84+Podsumowanie!C87+Podsumowanie!C90+Podsumowanie!C93+Podsumowanie!C96</f>
        <v>0</v>
      </c>
      <c r="F24" s="19" t="n">
        <f aca="false">ROUND(D24-E24,2)</f>
        <v>0</v>
      </c>
      <c r="G24" s="18" t="str">
        <f aca="false">IF(ABS(F24)&lt;=0.02,"OK","BŁĄD")</f>
        <v>OK</v>
      </c>
    </row>
    <row r="25" customFormat="false" ht="15" hidden="false" customHeight="true" outlineLevel="0" collapsed="false">
      <c r="A25" s="18" t="s">
        <v>78</v>
      </c>
      <c r="B25" s="18" t="s">
        <v>12</v>
      </c>
      <c r="C25" s="18" t="s">
        <v>75</v>
      </c>
      <c r="D25" s="19" t="n">
        <f aca="false">Podsumowanie!D69</f>
        <v>0</v>
      </c>
      <c r="E25" s="19" t="n">
        <f aca="false">Podsumowanie!D72+Podsumowanie!D75+Podsumowanie!D78+Podsumowanie!D81+Podsumowanie!D84+Podsumowanie!D87+Podsumowanie!D90+Podsumowanie!D93+Podsumowanie!D96</f>
        <v>0</v>
      </c>
      <c r="F25" s="19" t="n">
        <f aca="false">ROUND(D25-E25,2)</f>
        <v>0</v>
      </c>
      <c r="G25" s="18" t="str">
        <f aca="false">IF(ABS(F25)&lt;=0.02,"OK","BŁĄD")</f>
        <v>OK</v>
      </c>
    </row>
    <row r="26" customFormat="false" ht="15" hidden="false" customHeight="true" outlineLevel="0" collapsed="false">
      <c r="A26" s="18" t="s">
        <v>78</v>
      </c>
      <c r="B26" s="18" t="s">
        <v>12</v>
      </c>
      <c r="C26" s="18" t="s">
        <v>76</v>
      </c>
      <c r="D26" s="19" t="n">
        <f aca="false">Podsumowanie!E69</f>
        <v>1103935.71</v>
      </c>
      <c r="E26" s="19" t="n">
        <f aca="false">Podsumowanie!E72+Podsumowanie!E75+Podsumowanie!E78+Podsumowanie!E81+Podsumowanie!E84+Podsumowanie!E87+Podsumowanie!E90+Podsumowanie!E93+Podsumowanie!E96</f>
        <v>1103935.71</v>
      </c>
      <c r="F26" s="19" t="n">
        <f aca="false">ROUND(D26-E26,2)</f>
        <v>0</v>
      </c>
      <c r="G26" s="18" t="str">
        <f aca="false">IF(ABS(F26)&lt;=0.02,"OK","BŁĄD")</f>
        <v>OK</v>
      </c>
    </row>
    <row r="27" customFormat="false" ht="15" hidden="false" customHeight="true" outlineLevel="0" collapsed="false">
      <c r="A27" s="18" t="s">
        <v>78</v>
      </c>
      <c r="B27" s="18" t="s">
        <v>13</v>
      </c>
      <c r="C27" s="18" t="s">
        <v>74</v>
      </c>
      <c r="D27" s="19" t="n">
        <f aca="false">Podsumowanie!C70</f>
        <v>0</v>
      </c>
      <c r="E27" s="19" t="n">
        <f aca="false">Podsumowanie!C73+Podsumowanie!C76+Podsumowanie!C79+Podsumowanie!C82+Podsumowanie!C85+Podsumowanie!C88+Podsumowanie!C91+Podsumowanie!C94+Podsumowanie!C97</f>
        <v>0</v>
      </c>
      <c r="F27" s="19" t="n">
        <f aca="false">ROUND(D27-E27,2)</f>
        <v>0</v>
      </c>
      <c r="G27" s="18" t="str">
        <f aca="false">IF(ABS(F27)&lt;=0.02,"OK","BŁĄD")</f>
        <v>OK</v>
      </c>
    </row>
    <row r="28" customFormat="false" ht="15" hidden="false" customHeight="true" outlineLevel="0" collapsed="false">
      <c r="A28" s="18" t="s">
        <v>78</v>
      </c>
      <c r="B28" s="18" t="s">
        <v>13</v>
      </c>
      <c r="C28" s="18" t="s">
        <v>75</v>
      </c>
      <c r="D28" s="19" t="n">
        <f aca="false">Podsumowanie!D70</f>
        <v>0</v>
      </c>
      <c r="E28" s="19" t="n">
        <f aca="false">Podsumowanie!D73+Podsumowanie!D76+Podsumowanie!D79+Podsumowanie!D82+Podsumowanie!D85+Podsumowanie!D88+Podsumowanie!D91+Podsumowanie!D94+Podsumowanie!D97</f>
        <v>0</v>
      </c>
      <c r="F28" s="19" t="n">
        <f aca="false">ROUND(D28-E28,2)</f>
        <v>0</v>
      </c>
      <c r="G28" s="18" t="str">
        <f aca="false">IF(ABS(F28)&lt;=0.02,"OK","BŁĄD")</f>
        <v>OK</v>
      </c>
    </row>
    <row r="29" customFormat="false" ht="15" hidden="false" customHeight="true" outlineLevel="0" collapsed="false">
      <c r="A29" s="18" t="s">
        <v>78</v>
      </c>
      <c r="B29" s="18" t="s">
        <v>13</v>
      </c>
      <c r="C29" s="18" t="s">
        <v>76</v>
      </c>
      <c r="D29" s="19" t="n">
        <f aca="false">Podsumowanie!E70</f>
        <v>883148.56</v>
      </c>
      <c r="E29" s="19" t="n">
        <f aca="false">Podsumowanie!E73+Podsumowanie!E76+Podsumowanie!E79+Podsumowanie!E82+Podsumowanie!E85+Podsumowanie!E88+Podsumowanie!E91+Podsumowanie!E94+Podsumowanie!E97</f>
        <v>883148.56</v>
      </c>
      <c r="F29" s="19" t="n">
        <f aca="false">ROUND(D29-E29,2)</f>
        <v>0</v>
      </c>
      <c r="G29" s="18" t="str">
        <f aca="false">IF(ABS(F29)&lt;=0.02,"OK","BŁĄD")</f>
        <v>OK</v>
      </c>
    </row>
    <row r="30" customFormat="false" ht="15" hidden="false" customHeight="true" outlineLevel="0" collapsed="false">
      <c r="A30" s="18" t="s">
        <v>79</v>
      </c>
      <c r="B30" s="18" t="s">
        <v>11</v>
      </c>
      <c r="C30" s="18" t="s">
        <v>74</v>
      </c>
      <c r="D30" s="19" t="n">
        <f aca="false">Podsumowanie!C98</f>
        <v>0</v>
      </c>
      <c r="E30" s="19" t="n">
        <f aca="false">Podsumowanie!C101+Podsumowanie!C104+Podsumowanie!C107+Podsumowanie!C110+Podsumowanie!C113+Podsumowanie!C116+Podsumowanie!C119+Podsumowanie!C122+Podsumowanie!C125</f>
        <v>0</v>
      </c>
      <c r="F30" s="19" t="n">
        <f aca="false">ROUND(D30-E30,2)</f>
        <v>0</v>
      </c>
      <c r="G30" s="18" t="str">
        <f aca="false">IF(ABS(F30)&lt;=0.02,"OK","BŁĄD")</f>
        <v>OK</v>
      </c>
    </row>
    <row r="31" customFormat="false" ht="15" hidden="false" customHeight="true" outlineLevel="0" collapsed="false">
      <c r="A31" s="18" t="s">
        <v>79</v>
      </c>
      <c r="B31" s="18" t="s">
        <v>11</v>
      </c>
      <c r="C31" s="18" t="s">
        <v>75</v>
      </c>
      <c r="D31" s="19" t="n">
        <f aca="false">Podsumowanie!D98</f>
        <v>0</v>
      </c>
      <c r="E31" s="19" t="n">
        <f aca="false">Podsumowanie!D101+Podsumowanie!D104+Podsumowanie!D107+Podsumowanie!D110+Podsumowanie!D113+Podsumowanie!D116+Podsumowanie!D119+Podsumowanie!D122+Podsumowanie!D125</f>
        <v>0</v>
      </c>
      <c r="F31" s="19" t="n">
        <f aca="false">ROUND(D31-E31,2)</f>
        <v>0</v>
      </c>
      <c r="G31" s="18" t="str">
        <f aca="false">IF(ABS(F31)&lt;=0.02,"OK","BŁĄD")</f>
        <v>OK</v>
      </c>
    </row>
    <row r="32" customFormat="false" ht="15" hidden="false" customHeight="true" outlineLevel="0" collapsed="false">
      <c r="A32" s="18" t="s">
        <v>79</v>
      </c>
      <c r="B32" s="18" t="s">
        <v>11</v>
      </c>
      <c r="C32" s="18" t="s">
        <v>76</v>
      </c>
      <c r="D32" s="19" t="n">
        <f aca="false">Podsumowanie!E98</f>
        <v>698237.14</v>
      </c>
      <c r="E32" s="19" t="n">
        <f aca="false">Podsumowanie!E101+Podsumowanie!E104+Podsumowanie!E107+Podsumowanie!E110+Podsumowanie!E113+Podsumowanie!E116+Podsumowanie!E119+Podsumowanie!E122+Podsumowanie!E125</f>
        <v>698237.14</v>
      </c>
      <c r="F32" s="19" t="n">
        <f aca="false">ROUND(D32-E32,2)</f>
        <v>0</v>
      </c>
      <c r="G32" s="18" t="str">
        <f aca="false">IF(ABS(F32)&lt;=0.02,"OK","BŁĄD")</f>
        <v>OK</v>
      </c>
    </row>
    <row r="33" customFormat="false" ht="15" hidden="false" customHeight="true" outlineLevel="0" collapsed="false">
      <c r="A33" s="18" t="s">
        <v>79</v>
      </c>
      <c r="B33" s="18" t="s">
        <v>12</v>
      </c>
      <c r="C33" s="18" t="s">
        <v>74</v>
      </c>
      <c r="D33" s="19" t="n">
        <f aca="false">Podsumowanie!C99</f>
        <v>0</v>
      </c>
      <c r="E33" s="19" t="n">
        <f aca="false">Podsumowanie!C102+Podsumowanie!C105+Podsumowanie!C108+Podsumowanie!C111+Podsumowanie!C114+Podsumowanie!C117+Podsumowanie!C120+Podsumowanie!C123+Podsumowanie!C126</f>
        <v>0</v>
      </c>
      <c r="F33" s="19" t="n">
        <f aca="false">ROUND(D33-E33,2)</f>
        <v>0</v>
      </c>
      <c r="G33" s="18" t="str">
        <f aca="false">IF(ABS(F33)&lt;=0.02,"OK","BŁĄD")</f>
        <v>OK</v>
      </c>
    </row>
    <row r="34" customFormat="false" ht="15" hidden="false" customHeight="true" outlineLevel="0" collapsed="false">
      <c r="A34" s="18" t="s">
        <v>79</v>
      </c>
      <c r="B34" s="18" t="s">
        <v>12</v>
      </c>
      <c r="C34" s="18" t="s">
        <v>75</v>
      </c>
      <c r="D34" s="19" t="n">
        <f aca="false">Podsumowanie!D99</f>
        <v>0</v>
      </c>
      <c r="E34" s="19" t="n">
        <f aca="false">Podsumowanie!D102+Podsumowanie!D105+Podsumowanie!D108+Podsumowanie!D111+Podsumowanie!D114+Podsumowanie!D117+Podsumowanie!D120+Podsumowanie!D123+Podsumowanie!D126</f>
        <v>0</v>
      </c>
      <c r="F34" s="19" t="n">
        <f aca="false">ROUND(D34-E34,2)</f>
        <v>0</v>
      </c>
      <c r="G34" s="18" t="str">
        <f aca="false">IF(ABS(F34)&lt;=0.02,"OK","BŁĄD")</f>
        <v>OK</v>
      </c>
    </row>
    <row r="35" customFormat="false" ht="15" hidden="false" customHeight="true" outlineLevel="0" collapsed="false">
      <c r="A35" s="18" t="s">
        <v>79</v>
      </c>
      <c r="B35" s="18" t="s">
        <v>12</v>
      </c>
      <c r="C35" s="18" t="s">
        <v>76</v>
      </c>
      <c r="D35" s="19" t="n">
        <f aca="false">Podsumowanie!E99</f>
        <v>698237.14</v>
      </c>
      <c r="E35" s="19" t="n">
        <f aca="false">Podsumowanie!E102+Podsumowanie!E105+Podsumowanie!E108+Podsumowanie!E111+Podsumowanie!E114+Podsumowanie!E117+Podsumowanie!E120+Podsumowanie!E123+Podsumowanie!E126</f>
        <v>698237.14</v>
      </c>
      <c r="F35" s="19" t="n">
        <f aca="false">ROUND(D35-E35,2)</f>
        <v>0</v>
      </c>
      <c r="G35" s="18" t="str">
        <f aca="false">IF(ABS(F35)&lt;=0.02,"OK","BŁĄD")</f>
        <v>OK</v>
      </c>
    </row>
    <row r="36" customFormat="false" ht="15" hidden="false" customHeight="true" outlineLevel="0" collapsed="false">
      <c r="A36" s="18" t="s">
        <v>79</v>
      </c>
      <c r="B36" s="18" t="s">
        <v>13</v>
      </c>
      <c r="C36" s="18" t="s">
        <v>74</v>
      </c>
      <c r="D36" s="19" t="n">
        <f aca="false">Podsumowanie!C100</f>
        <v>0</v>
      </c>
      <c r="E36" s="19" t="n">
        <f aca="false">Podsumowanie!C103+Podsumowanie!C106+Podsumowanie!C109+Podsumowanie!C112+Podsumowanie!C115+Podsumowanie!C118+Podsumowanie!C121+Podsumowanie!C124+Podsumowanie!C127</f>
        <v>0</v>
      </c>
      <c r="F36" s="19" t="n">
        <f aca="false">ROUND(D36-E36,2)</f>
        <v>0</v>
      </c>
      <c r="G36" s="18" t="str">
        <f aca="false">IF(ABS(F36)&lt;=0.02,"OK","BŁĄD")</f>
        <v>OK</v>
      </c>
    </row>
    <row r="37" customFormat="false" ht="15" hidden="false" customHeight="true" outlineLevel="0" collapsed="false">
      <c r="A37" s="18" t="s">
        <v>79</v>
      </c>
      <c r="B37" s="18" t="s">
        <v>13</v>
      </c>
      <c r="C37" s="18" t="s">
        <v>75</v>
      </c>
      <c r="D37" s="19" t="n">
        <f aca="false">Podsumowanie!D100</f>
        <v>0</v>
      </c>
      <c r="E37" s="19" t="n">
        <f aca="false">Podsumowanie!D103+Podsumowanie!D106+Podsumowanie!D109+Podsumowanie!D112+Podsumowanie!D115+Podsumowanie!D118+Podsumowanie!D121+Podsumowanie!D124+Podsumowanie!D127</f>
        <v>0</v>
      </c>
      <c r="F37" s="19" t="n">
        <f aca="false">ROUND(D37-E37,2)</f>
        <v>0</v>
      </c>
      <c r="G37" s="18" t="str">
        <f aca="false">IF(ABS(F37)&lt;=0.02,"OK","BŁĄD")</f>
        <v>OK</v>
      </c>
    </row>
    <row r="38" customFormat="false" ht="15" hidden="false" customHeight="true" outlineLevel="0" collapsed="false">
      <c r="A38" s="18" t="s">
        <v>79</v>
      </c>
      <c r="B38" s="18" t="s">
        <v>13</v>
      </c>
      <c r="C38" s="18" t="s">
        <v>76</v>
      </c>
      <c r="D38" s="19" t="n">
        <f aca="false">Podsumowanie!E100</f>
        <v>418942.28</v>
      </c>
      <c r="E38" s="19" t="n">
        <f aca="false">Podsumowanie!E103+Podsumowanie!E106+Podsumowanie!E109+Podsumowanie!E112+Podsumowanie!E115+Podsumowanie!E118+Podsumowanie!E121+Podsumowanie!E124+Podsumowanie!E127</f>
        <v>418942.28</v>
      </c>
      <c r="F38" s="19" t="n">
        <f aca="false">ROUND(D38-E38,2)</f>
        <v>0</v>
      </c>
      <c r="G38" s="18" t="str">
        <f aca="false">IF(ABS(F38)&lt;=0.02,"OK","BŁĄD")</f>
        <v>OK</v>
      </c>
    </row>
    <row r="39" customFormat="false" ht="15" hidden="false" customHeight="true" outlineLevel="0" collapsed="false">
      <c r="A39" s="18" t="s">
        <v>80</v>
      </c>
      <c r="B39" s="18" t="s">
        <v>11</v>
      </c>
      <c r="C39" s="18" t="s">
        <v>74</v>
      </c>
      <c r="D39" s="19" t="n">
        <f aca="false">Podsumowanie!C145</f>
        <v>335904.98</v>
      </c>
      <c r="E39" s="19" t="n">
        <f aca="false">Podsumowanie!C5+Podsumowanie!C35+Podsumowanie!C68+Podsumowanie!C98</f>
        <v>335904.98</v>
      </c>
      <c r="F39" s="19" t="n">
        <f aca="false">ROUND(D39-E39,2)</f>
        <v>0</v>
      </c>
      <c r="G39" s="18" t="str">
        <f aca="false">IF(ABS(F39)&lt;=0.02,"OK","BŁĄD")</f>
        <v>OK</v>
      </c>
    </row>
    <row r="40" customFormat="false" ht="15" hidden="false" customHeight="true" outlineLevel="0" collapsed="false">
      <c r="A40" s="18" t="s">
        <v>81</v>
      </c>
      <c r="B40" s="18" t="s">
        <v>11</v>
      </c>
      <c r="C40" s="18" t="s">
        <v>74</v>
      </c>
      <c r="D40" s="19" t="n">
        <f aca="false">Podsumowanie!C136</f>
        <v>335904.98</v>
      </c>
      <c r="E40" s="19" t="n">
        <f aca="false">Podsumowanie!C145+Podsumowanie!C130</f>
        <v>335904.98</v>
      </c>
      <c r="F40" s="19" t="n">
        <f aca="false">ROUND(D40-E40,2)</f>
        <v>0</v>
      </c>
      <c r="G40" s="18" t="str">
        <f aca="false">IF(ABS(F40)&lt;=0.02,"OK","BŁĄD")</f>
        <v>OK</v>
      </c>
    </row>
    <row r="41" customFormat="false" ht="15" hidden="false" customHeight="true" outlineLevel="0" collapsed="false">
      <c r="A41" s="18" t="s">
        <v>82</v>
      </c>
      <c r="B41" s="18" t="s">
        <v>11</v>
      </c>
      <c r="C41" s="18" t="s">
        <v>74</v>
      </c>
      <c r="D41" s="19" t="n">
        <f aca="false">Podsumowanie!C151</f>
        <v>0</v>
      </c>
      <c r="E41" s="19" t="n">
        <f aca="false">Podsumowanie!C29+Podsumowanie!C62+Podsumowanie!C92+Podsumowanie!C119</f>
        <v>0</v>
      </c>
      <c r="F41" s="19" t="n">
        <f aca="false">ROUND(D41-E41,2)</f>
        <v>0</v>
      </c>
      <c r="G41" s="18" t="str">
        <f aca="false">IF(ABS(F41)&lt;=0.02,"OK","BŁĄD")</f>
        <v>OK</v>
      </c>
    </row>
    <row r="42" customFormat="false" ht="15" hidden="false" customHeight="true" outlineLevel="0" collapsed="false">
      <c r="A42" s="18" t="s">
        <v>83</v>
      </c>
      <c r="B42" s="18" t="s">
        <v>11</v>
      </c>
      <c r="C42" s="18" t="s">
        <v>74</v>
      </c>
      <c r="D42" s="19" t="n">
        <f aca="false">Podsumowanie!C154</f>
        <v>335904.98</v>
      </c>
      <c r="E42" s="19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9" t="n">
        <f aca="false">ROUND(D42-E42,2)</f>
        <v>0</v>
      </c>
      <c r="G42" s="18" t="str">
        <f aca="false">IF(ABS(F42)&lt;=0.02,"OK","BŁĄD")</f>
        <v>OK</v>
      </c>
    </row>
    <row r="43" customFormat="false" ht="15" hidden="false" customHeight="true" outlineLevel="0" collapsed="false">
      <c r="A43" s="18" t="s">
        <v>84</v>
      </c>
      <c r="B43" s="18" t="s">
        <v>11</v>
      </c>
      <c r="C43" s="18" t="s">
        <v>74</v>
      </c>
      <c r="D43" s="19" t="n">
        <f aca="false">Podsumowanie!C157</f>
        <v>0</v>
      </c>
      <c r="E43" s="19" t="n">
        <f aca="false">Podsumowanie!C59</f>
        <v>0</v>
      </c>
      <c r="F43" s="19" t="n">
        <f aca="false">ROUND(D43-E43,2)</f>
        <v>0</v>
      </c>
      <c r="G43" s="18" t="str">
        <f aca="false">IF(ABS(F43)&lt;=0.02,"OK","BŁĄD")</f>
        <v>OK</v>
      </c>
    </row>
    <row r="44" customFormat="false" ht="15" hidden="false" customHeight="true" outlineLevel="0" collapsed="false">
      <c r="A44" s="18" t="s">
        <v>80</v>
      </c>
      <c r="B44" s="18" t="s">
        <v>11</v>
      </c>
      <c r="C44" s="18" t="s">
        <v>75</v>
      </c>
      <c r="D44" s="19" t="n">
        <f aca="false">Podsumowanie!D145</f>
        <v>1816194.16</v>
      </c>
      <c r="E44" s="19" t="n">
        <f aca="false">Podsumowanie!D5+Podsumowanie!D35+Podsumowanie!D68+Podsumowanie!D98</f>
        <v>1816194.16</v>
      </c>
      <c r="F44" s="19" t="n">
        <f aca="false">ROUND(D44-E44,2)</f>
        <v>0</v>
      </c>
      <c r="G44" s="18" t="str">
        <f aca="false">IF(ABS(F44)&lt;=0.02,"OK","BŁĄD")</f>
        <v>OK</v>
      </c>
    </row>
    <row r="45" customFormat="false" ht="15" hidden="false" customHeight="true" outlineLevel="0" collapsed="false">
      <c r="A45" s="18" t="s">
        <v>81</v>
      </c>
      <c r="B45" s="18" t="s">
        <v>11</v>
      </c>
      <c r="C45" s="18" t="s">
        <v>75</v>
      </c>
      <c r="D45" s="19" t="n">
        <f aca="false">Podsumowanie!D136</f>
        <v>2186266.46</v>
      </c>
      <c r="E45" s="19" t="n">
        <f aca="false">Podsumowanie!D145+Podsumowanie!D130</f>
        <v>2186266.46</v>
      </c>
      <c r="F45" s="19" t="n">
        <f aca="false">ROUND(D45-E45,2)</f>
        <v>0</v>
      </c>
      <c r="G45" s="18" t="str">
        <f aca="false">IF(ABS(F45)&lt;=0.02,"OK","BŁĄD")</f>
        <v>OK</v>
      </c>
    </row>
    <row r="46" customFormat="false" ht="15" hidden="false" customHeight="true" outlineLevel="0" collapsed="false">
      <c r="A46" s="18" t="s">
        <v>82</v>
      </c>
      <c r="B46" s="18" t="s">
        <v>11</v>
      </c>
      <c r="C46" s="18" t="s">
        <v>75</v>
      </c>
      <c r="D46" s="19" t="n">
        <f aca="false">Podsumowanie!D151</f>
        <v>4552.16</v>
      </c>
      <c r="E46" s="19" t="n">
        <f aca="false">Podsumowanie!D29+Podsumowanie!D62+Podsumowanie!D92+Podsumowanie!D119</f>
        <v>4552.16</v>
      </c>
      <c r="F46" s="19" t="n">
        <f aca="false">ROUND(D46-E46,2)</f>
        <v>0</v>
      </c>
      <c r="G46" s="18" t="str">
        <f aca="false">IF(ABS(F46)&lt;=0.02,"OK","BŁĄD")</f>
        <v>OK</v>
      </c>
    </row>
    <row r="47" customFormat="false" ht="15" hidden="false" customHeight="true" outlineLevel="0" collapsed="false">
      <c r="A47" s="18" t="s">
        <v>83</v>
      </c>
      <c r="B47" s="18" t="s">
        <v>11</v>
      </c>
      <c r="C47" s="18" t="s">
        <v>75</v>
      </c>
      <c r="D47" s="19" t="n">
        <f aca="false">Podsumowanie!D154</f>
        <v>1811642</v>
      </c>
      <c r="E47" s="19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9" t="n">
        <f aca="false">ROUND(D47-E47,2)</f>
        <v>0</v>
      </c>
      <c r="G47" s="18" t="str">
        <f aca="false">IF(ABS(F47)&lt;=0.02,"OK","BŁĄD")</f>
        <v>OK</v>
      </c>
    </row>
    <row r="48" customFormat="false" ht="15" hidden="false" customHeight="true" outlineLevel="0" collapsed="false">
      <c r="A48" s="18" t="s">
        <v>84</v>
      </c>
      <c r="B48" s="18" t="s">
        <v>11</v>
      </c>
      <c r="C48" s="18" t="s">
        <v>75</v>
      </c>
      <c r="D48" s="19" t="n">
        <f aca="false">Podsumowanie!D157</f>
        <v>0</v>
      </c>
      <c r="E48" s="19" t="n">
        <f aca="false">Podsumowanie!D59</f>
        <v>0</v>
      </c>
      <c r="F48" s="19" t="n">
        <f aca="false">ROUND(D48-E48,2)</f>
        <v>0</v>
      </c>
      <c r="G48" s="18" t="str">
        <f aca="false">IF(ABS(F48)&lt;=0.02,"OK","BŁĄD")</f>
        <v>OK</v>
      </c>
    </row>
    <row r="49" customFormat="false" ht="15" hidden="false" customHeight="true" outlineLevel="0" collapsed="false">
      <c r="A49" s="18" t="s">
        <v>80</v>
      </c>
      <c r="B49" s="18" t="s">
        <v>11</v>
      </c>
      <c r="C49" s="18" t="s">
        <v>76</v>
      </c>
      <c r="D49" s="19" t="n">
        <f aca="false">Podsumowanie!E145</f>
        <v>3897492.49</v>
      </c>
      <c r="E49" s="19" t="n">
        <f aca="false">Podsumowanie!E5+Podsumowanie!E35+Podsumowanie!E68+Podsumowanie!E98</f>
        <v>3897492.49</v>
      </c>
      <c r="F49" s="19" t="n">
        <f aca="false">ROUND(D49-E49,2)</f>
        <v>0</v>
      </c>
      <c r="G49" s="18" t="str">
        <f aca="false">IF(ABS(F49)&lt;=0.02,"OK","BŁĄD")</f>
        <v>OK</v>
      </c>
    </row>
    <row r="50" customFormat="false" ht="15" hidden="false" customHeight="true" outlineLevel="0" collapsed="false">
      <c r="A50" s="18" t="s">
        <v>81</v>
      </c>
      <c r="B50" s="18" t="s">
        <v>11</v>
      </c>
      <c r="C50" s="18" t="s">
        <v>76</v>
      </c>
      <c r="D50" s="19" t="n">
        <f aca="false">Podsumowanie!E136</f>
        <v>4866115.61</v>
      </c>
      <c r="E50" s="19" t="n">
        <f aca="false">Podsumowanie!E145+Podsumowanie!E130</f>
        <v>4866115.61</v>
      </c>
      <c r="F50" s="19" t="n">
        <f aca="false">ROUND(D50-E50,2)</f>
        <v>0</v>
      </c>
      <c r="G50" s="18" t="str">
        <f aca="false">IF(ABS(F50)&lt;=0.02,"OK","BŁĄD")</f>
        <v>OK</v>
      </c>
    </row>
    <row r="51" customFormat="false" ht="15" hidden="false" customHeight="true" outlineLevel="0" collapsed="false">
      <c r="A51" s="18" t="s">
        <v>82</v>
      </c>
      <c r="B51" s="18" t="s">
        <v>11</v>
      </c>
      <c r="C51" s="18" t="s">
        <v>76</v>
      </c>
      <c r="D51" s="19" t="n">
        <f aca="false">Podsumowanie!E151</f>
        <v>14999.99</v>
      </c>
      <c r="E51" s="19" t="n">
        <f aca="false">Podsumowanie!E29+Podsumowanie!E62+Podsumowanie!E92+Podsumowanie!E119</f>
        <v>14999.99</v>
      </c>
      <c r="F51" s="19" t="n">
        <f aca="false">ROUND(D51-E51,2)</f>
        <v>0</v>
      </c>
      <c r="G51" s="18" t="str">
        <f aca="false">IF(ABS(F51)&lt;=0.02,"OK","BŁĄD")</f>
        <v>OK</v>
      </c>
    </row>
    <row r="52" customFormat="false" ht="15" hidden="false" customHeight="true" outlineLevel="0" collapsed="false">
      <c r="A52" s="18" t="s">
        <v>83</v>
      </c>
      <c r="B52" s="18" t="s">
        <v>11</v>
      </c>
      <c r="C52" s="18" t="s">
        <v>76</v>
      </c>
      <c r="D52" s="19" t="n">
        <f aca="false">Podsumowanie!E154</f>
        <v>3759492.5</v>
      </c>
      <c r="E52" s="19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9" t="n">
        <f aca="false">ROUND(D52-E52,2)</f>
        <v>0</v>
      </c>
      <c r="G52" s="18" t="str">
        <f aca="false">IF(ABS(F52)&lt;=0.02,"OK","BŁĄD")</f>
        <v>OK</v>
      </c>
    </row>
    <row r="53" customFormat="false" ht="15" hidden="false" customHeight="true" outlineLevel="0" collapsed="false">
      <c r="A53" s="18" t="s">
        <v>84</v>
      </c>
      <c r="B53" s="18" t="s">
        <v>11</v>
      </c>
      <c r="C53" s="18" t="s">
        <v>76</v>
      </c>
      <c r="D53" s="19" t="n">
        <f aca="false">Podsumowanie!E157</f>
        <v>123000</v>
      </c>
      <c r="E53" s="19" t="n">
        <f aca="false">Podsumowanie!E59</f>
        <v>123000</v>
      </c>
      <c r="F53" s="19" t="n">
        <f aca="false">ROUND(D53-E53,2)</f>
        <v>0</v>
      </c>
      <c r="G53" s="18" t="str">
        <f aca="false">IF(ABS(F53)&lt;=0.02,"OK","BŁĄD")</f>
        <v>OK</v>
      </c>
    </row>
    <row r="54" customFormat="false" ht="15" hidden="false" customHeight="true" outlineLevel="0" collapsed="false">
      <c r="A54" s="18" t="s">
        <v>80</v>
      </c>
      <c r="B54" s="18" t="s">
        <v>12</v>
      </c>
      <c r="C54" s="18" t="s">
        <v>74</v>
      </c>
      <c r="D54" s="19" t="n">
        <f aca="false">Podsumowanie!C146</f>
        <v>335904.98</v>
      </c>
      <c r="E54" s="19" t="n">
        <f aca="false">Podsumowanie!C6+Podsumowanie!C36+Podsumowanie!C69+Podsumowanie!C99</f>
        <v>335904.98</v>
      </c>
      <c r="F54" s="19" t="n">
        <f aca="false">ROUND(D54-E54,2)</f>
        <v>0</v>
      </c>
      <c r="G54" s="18" t="str">
        <f aca="false">IF(ABS(F54)&lt;=0.02,"OK","BŁĄD")</f>
        <v>OK</v>
      </c>
    </row>
    <row r="55" customFormat="false" ht="15" hidden="false" customHeight="true" outlineLevel="0" collapsed="false">
      <c r="A55" s="18" t="s">
        <v>81</v>
      </c>
      <c r="B55" s="18" t="s">
        <v>12</v>
      </c>
      <c r="C55" s="18" t="s">
        <v>74</v>
      </c>
      <c r="D55" s="19" t="n">
        <f aca="false">Podsumowanie!C137</f>
        <v>335904.98</v>
      </c>
      <c r="E55" s="19" t="n">
        <f aca="false">Podsumowanie!C146+Podsumowanie!C131</f>
        <v>335904.98</v>
      </c>
      <c r="F55" s="19" t="n">
        <f aca="false">ROUND(D55-E55,2)</f>
        <v>0</v>
      </c>
      <c r="G55" s="18" t="str">
        <f aca="false">IF(ABS(F55)&lt;=0.02,"OK","BŁĄD")</f>
        <v>OK</v>
      </c>
    </row>
    <row r="56" customFormat="false" ht="15" hidden="false" customHeight="true" outlineLevel="0" collapsed="false">
      <c r="A56" s="18" t="s">
        <v>82</v>
      </c>
      <c r="B56" s="18" t="s">
        <v>12</v>
      </c>
      <c r="C56" s="18" t="s">
        <v>74</v>
      </c>
      <c r="D56" s="19" t="n">
        <f aca="false">Podsumowanie!C152</f>
        <v>0</v>
      </c>
      <c r="E56" s="19" t="n">
        <f aca="false">Podsumowanie!C30+Podsumowanie!C63+Podsumowanie!C93+Podsumowanie!C120</f>
        <v>0</v>
      </c>
      <c r="F56" s="19" t="n">
        <f aca="false">ROUND(D56-E56,2)</f>
        <v>0</v>
      </c>
      <c r="G56" s="18" t="str">
        <f aca="false">IF(ABS(F56)&lt;=0.02,"OK","BŁĄD")</f>
        <v>OK</v>
      </c>
    </row>
    <row r="57" customFormat="false" ht="15" hidden="false" customHeight="true" outlineLevel="0" collapsed="false">
      <c r="A57" s="18" t="s">
        <v>83</v>
      </c>
      <c r="B57" s="18" t="s">
        <v>12</v>
      </c>
      <c r="C57" s="18" t="s">
        <v>74</v>
      </c>
      <c r="D57" s="19" t="n">
        <f aca="false">Podsumowanie!C155</f>
        <v>335904.98</v>
      </c>
      <c r="E57" s="19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9" t="n">
        <f aca="false">ROUND(D57-E57,2)</f>
        <v>0</v>
      </c>
      <c r="G57" s="18" t="str">
        <f aca="false">IF(ABS(F57)&lt;=0.02,"OK","BŁĄD")</f>
        <v>OK</v>
      </c>
    </row>
    <row r="58" customFormat="false" ht="15" hidden="false" customHeight="true" outlineLevel="0" collapsed="false">
      <c r="A58" s="18" t="s">
        <v>84</v>
      </c>
      <c r="B58" s="18" t="s">
        <v>12</v>
      </c>
      <c r="C58" s="18" t="s">
        <v>74</v>
      </c>
      <c r="D58" s="19" t="n">
        <f aca="false">Podsumowanie!C158</f>
        <v>0</v>
      </c>
      <c r="E58" s="19" t="n">
        <f aca="false">Podsumowanie!C60</f>
        <v>0</v>
      </c>
      <c r="F58" s="19" t="n">
        <f aca="false">ROUND(D58-E58,2)</f>
        <v>0</v>
      </c>
      <c r="G58" s="18" t="str">
        <f aca="false">IF(ABS(F58)&lt;=0.02,"OK","BŁĄD")</f>
        <v>OK</v>
      </c>
    </row>
    <row r="59" customFormat="false" ht="15" hidden="false" customHeight="true" outlineLevel="0" collapsed="false">
      <c r="A59" s="18" t="s">
        <v>80</v>
      </c>
      <c r="B59" s="18" t="s">
        <v>12</v>
      </c>
      <c r="C59" s="18" t="s">
        <v>75</v>
      </c>
      <c r="D59" s="19" t="n">
        <f aca="false">Podsumowanie!D146</f>
        <v>1649994.16</v>
      </c>
      <c r="E59" s="19" t="n">
        <f aca="false">Podsumowanie!D6+Podsumowanie!D36+Podsumowanie!D69+Podsumowanie!D99</f>
        <v>1649994.16</v>
      </c>
      <c r="F59" s="19" t="n">
        <f aca="false">ROUND(D59-E59,2)</f>
        <v>0</v>
      </c>
      <c r="G59" s="18" t="str">
        <f aca="false">IF(ABS(F59)&lt;=0.02,"OK","BŁĄD")</f>
        <v>OK</v>
      </c>
    </row>
    <row r="60" customFormat="false" ht="15" hidden="false" customHeight="true" outlineLevel="0" collapsed="false">
      <c r="A60" s="18" t="s">
        <v>81</v>
      </c>
      <c r="B60" s="18" t="s">
        <v>12</v>
      </c>
      <c r="C60" s="18" t="s">
        <v>75</v>
      </c>
      <c r="D60" s="19" t="n">
        <f aca="false">Podsumowanie!D137</f>
        <v>1978516.46</v>
      </c>
      <c r="E60" s="19" t="n">
        <f aca="false">Podsumowanie!D146+Podsumowanie!D131</f>
        <v>1978516.46</v>
      </c>
      <c r="F60" s="19" t="n">
        <f aca="false">ROUND(D60-E60,2)</f>
        <v>0</v>
      </c>
      <c r="G60" s="18" t="str">
        <f aca="false">IF(ABS(F60)&lt;=0.02,"OK","BŁĄD")</f>
        <v>OK</v>
      </c>
    </row>
    <row r="61" customFormat="false" ht="15" hidden="false" customHeight="true" outlineLevel="0" collapsed="false">
      <c r="A61" s="18" t="s">
        <v>82</v>
      </c>
      <c r="B61" s="18" t="s">
        <v>12</v>
      </c>
      <c r="C61" s="18" t="s">
        <v>75</v>
      </c>
      <c r="D61" s="19" t="n">
        <f aca="false">Podsumowanie!D152</f>
        <v>4552.16</v>
      </c>
      <c r="E61" s="19" t="n">
        <f aca="false">Podsumowanie!D30+Podsumowanie!D63+Podsumowanie!D93+Podsumowanie!D120</f>
        <v>4552.16</v>
      </c>
      <c r="F61" s="19" t="n">
        <f aca="false">ROUND(D61-E61,2)</f>
        <v>0</v>
      </c>
      <c r="G61" s="18" t="str">
        <f aca="false">IF(ABS(F61)&lt;=0.02,"OK","BŁĄD")</f>
        <v>OK</v>
      </c>
    </row>
    <row r="62" customFormat="false" ht="15" hidden="false" customHeight="true" outlineLevel="0" collapsed="false">
      <c r="A62" s="18" t="s">
        <v>83</v>
      </c>
      <c r="B62" s="18" t="s">
        <v>12</v>
      </c>
      <c r="C62" s="18" t="s">
        <v>75</v>
      </c>
      <c r="D62" s="19" t="n">
        <f aca="false">Podsumowanie!D155</f>
        <v>1645442</v>
      </c>
      <c r="E62" s="19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9" t="n">
        <f aca="false">ROUND(D62-E62,2)</f>
        <v>0</v>
      </c>
      <c r="G62" s="18" t="str">
        <f aca="false">IF(ABS(F62)&lt;=0.02,"OK","BŁĄD")</f>
        <v>OK</v>
      </c>
    </row>
    <row r="63" customFormat="false" ht="15" hidden="false" customHeight="true" outlineLevel="0" collapsed="false">
      <c r="A63" s="18" t="s">
        <v>84</v>
      </c>
      <c r="B63" s="18" t="s">
        <v>12</v>
      </c>
      <c r="C63" s="18" t="s">
        <v>75</v>
      </c>
      <c r="D63" s="19" t="n">
        <f aca="false">Podsumowanie!D158</f>
        <v>0</v>
      </c>
      <c r="E63" s="19" t="n">
        <f aca="false">Podsumowanie!D60</f>
        <v>0</v>
      </c>
      <c r="F63" s="19" t="n">
        <f aca="false">ROUND(D63-E63,2)</f>
        <v>0</v>
      </c>
      <c r="G63" s="18" t="str">
        <f aca="false">IF(ABS(F63)&lt;=0.02,"OK","BŁĄD")</f>
        <v>OK</v>
      </c>
    </row>
    <row r="64" customFormat="false" ht="15" hidden="false" customHeight="true" outlineLevel="0" collapsed="false">
      <c r="A64" s="18" t="s">
        <v>80</v>
      </c>
      <c r="B64" s="18" t="s">
        <v>12</v>
      </c>
      <c r="C64" s="18" t="s">
        <v>76</v>
      </c>
      <c r="D64" s="19" t="n">
        <f aca="false">Podsumowanie!E146</f>
        <v>3874492.49</v>
      </c>
      <c r="E64" s="19" t="n">
        <f aca="false">Podsumowanie!E6+Podsumowanie!E36+Podsumowanie!E69+Podsumowanie!E99</f>
        <v>3874492.49</v>
      </c>
      <c r="F64" s="19" t="n">
        <f aca="false">ROUND(D64-E64,2)</f>
        <v>0</v>
      </c>
      <c r="G64" s="18" t="str">
        <f aca="false">IF(ABS(F64)&lt;=0.02,"OK","BŁĄD")</f>
        <v>OK</v>
      </c>
    </row>
    <row r="65" customFormat="false" ht="15" hidden="false" customHeight="true" outlineLevel="0" collapsed="false">
      <c r="A65" s="18" t="s">
        <v>81</v>
      </c>
      <c r="B65" s="18" t="s">
        <v>12</v>
      </c>
      <c r="C65" s="18" t="s">
        <v>76</v>
      </c>
      <c r="D65" s="19" t="n">
        <f aca="false">Podsumowanie!E137</f>
        <v>4843115.61</v>
      </c>
      <c r="E65" s="19" t="n">
        <f aca="false">Podsumowanie!E146+Podsumowanie!E131</f>
        <v>4843115.61</v>
      </c>
      <c r="F65" s="19" t="n">
        <f aca="false">ROUND(D65-E65,2)</f>
        <v>0</v>
      </c>
      <c r="G65" s="18" t="str">
        <f aca="false">IF(ABS(F65)&lt;=0.02,"OK","BŁĄD")</f>
        <v>OK</v>
      </c>
    </row>
    <row r="66" customFormat="false" ht="15" hidden="false" customHeight="true" outlineLevel="0" collapsed="false">
      <c r="A66" s="18" t="s">
        <v>82</v>
      </c>
      <c r="B66" s="18" t="s">
        <v>12</v>
      </c>
      <c r="C66" s="18" t="s">
        <v>76</v>
      </c>
      <c r="D66" s="19" t="n">
        <f aca="false">Podsumowanie!E152</f>
        <v>14999.99</v>
      </c>
      <c r="E66" s="19" t="n">
        <f aca="false">Podsumowanie!E30+Podsumowanie!E63+Podsumowanie!E93+Podsumowanie!E120</f>
        <v>14999.99</v>
      </c>
      <c r="F66" s="19" t="n">
        <f aca="false">ROUND(D66-E66,2)</f>
        <v>0</v>
      </c>
      <c r="G66" s="18" t="str">
        <f aca="false">IF(ABS(F66)&lt;=0.02,"OK","BŁĄD")</f>
        <v>OK</v>
      </c>
    </row>
    <row r="67" customFormat="false" ht="15" hidden="false" customHeight="true" outlineLevel="0" collapsed="false">
      <c r="A67" s="18" t="s">
        <v>83</v>
      </c>
      <c r="B67" s="18" t="s">
        <v>12</v>
      </c>
      <c r="C67" s="18" t="s">
        <v>76</v>
      </c>
      <c r="D67" s="19" t="n">
        <f aca="false">Podsumowanie!E155</f>
        <v>3759492.5</v>
      </c>
      <c r="E67" s="19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9" t="n">
        <f aca="false">ROUND(D67-E67,2)</f>
        <v>0</v>
      </c>
      <c r="G67" s="18" t="str">
        <f aca="false">IF(ABS(F67)&lt;=0.02,"OK","BŁĄD")</f>
        <v>OK</v>
      </c>
    </row>
    <row r="68" customFormat="false" ht="15" hidden="false" customHeight="true" outlineLevel="0" collapsed="false">
      <c r="A68" s="18" t="s">
        <v>84</v>
      </c>
      <c r="B68" s="18" t="s">
        <v>12</v>
      </c>
      <c r="C68" s="18" t="s">
        <v>76</v>
      </c>
      <c r="D68" s="19" t="n">
        <f aca="false">Podsumowanie!E158</f>
        <v>100000</v>
      </c>
      <c r="E68" s="19" t="n">
        <f aca="false">Podsumowanie!E60</f>
        <v>100000</v>
      </c>
      <c r="F68" s="19" t="n">
        <f aca="false">ROUND(D68-E68,2)</f>
        <v>0</v>
      </c>
      <c r="G68" s="18" t="str">
        <f aca="false">IF(ABS(F68)&lt;=0.02,"OK","BŁĄD")</f>
        <v>OK</v>
      </c>
    </row>
    <row r="69" customFormat="false" ht="15" hidden="false" customHeight="true" outlineLevel="0" collapsed="false">
      <c r="A69" s="18" t="s">
        <v>80</v>
      </c>
      <c r="B69" s="18" t="s">
        <v>13</v>
      </c>
      <c r="C69" s="18" t="s">
        <v>74</v>
      </c>
      <c r="D69" s="19" t="n">
        <f aca="false">Podsumowanie!C147</f>
        <v>268723.98</v>
      </c>
      <c r="E69" s="19" t="n">
        <f aca="false">Podsumowanie!C7+Podsumowanie!C37+Podsumowanie!C70+Podsumowanie!C100</f>
        <v>268723.98</v>
      </c>
      <c r="F69" s="19" t="n">
        <f aca="false">ROUND(D69-E69,2)</f>
        <v>0</v>
      </c>
      <c r="G69" s="18" t="str">
        <f aca="false">IF(ABS(F69)&lt;=0.02,"OK","BŁĄD")</f>
        <v>OK</v>
      </c>
    </row>
    <row r="70" customFormat="false" ht="15" hidden="false" customHeight="true" outlineLevel="0" collapsed="false">
      <c r="A70" s="18" t="s">
        <v>81</v>
      </c>
      <c r="B70" s="18" t="s">
        <v>13</v>
      </c>
      <c r="C70" s="18" t="s">
        <v>74</v>
      </c>
      <c r="D70" s="19" t="n">
        <f aca="false">Podsumowanie!C138</f>
        <v>268723.98</v>
      </c>
      <c r="E70" s="19" t="n">
        <f aca="false">Podsumowanie!C147+Podsumowanie!C132</f>
        <v>268723.98</v>
      </c>
      <c r="F70" s="19" t="n">
        <f aca="false">ROUND(D70-E70,2)</f>
        <v>0</v>
      </c>
      <c r="G70" s="18" t="str">
        <f aca="false">IF(ABS(F70)&lt;=0.02,"OK","BŁĄD")</f>
        <v>OK</v>
      </c>
    </row>
    <row r="71" customFormat="false" ht="15" hidden="false" customHeight="true" outlineLevel="0" collapsed="false">
      <c r="A71" s="18" t="s">
        <v>82</v>
      </c>
      <c r="B71" s="18" t="s">
        <v>13</v>
      </c>
      <c r="C71" s="18" t="s">
        <v>74</v>
      </c>
      <c r="D71" s="19" t="n">
        <f aca="false">Podsumowanie!C153</f>
        <v>0</v>
      </c>
      <c r="E71" s="19" t="n">
        <f aca="false">Podsumowanie!C31+Podsumowanie!C64+Podsumowanie!C94+Podsumowanie!C121</f>
        <v>0</v>
      </c>
      <c r="F71" s="19" t="n">
        <f aca="false">ROUND(D71-E71,2)</f>
        <v>0</v>
      </c>
      <c r="G71" s="18" t="str">
        <f aca="false">IF(ABS(F71)&lt;=0.02,"OK","BŁĄD")</f>
        <v>OK</v>
      </c>
    </row>
    <row r="72" customFormat="false" ht="15" hidden="false" customHeight="true" outlineLevel="0" collapsed="false">
      <c r="A72" s="18" t="s">
        <v>83</v>
      </c>
      <c r="B72" s="18" t="s">
        <v>13</v>
      </c>
      <c r="C72" s="18" t="s">
        <v>74</v>
      </c>
      <c r="D72" s="19" t="n">
        <f aca="false">Podsumowanie!C156</f>
        <v>268723.98</v>
      </c>
      <c r="E72" s="19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9" t="n">
        <f aca="false">ROUND(D72-E72,2)</f>
        <v>0</v>
      </c>
      <c r="G72" s="18" t="str">
        <f aca="false">IF(ABS(F72)&lt;=0.02,"OK","BŁĄD")</f>
        <v>OK</v>
      </c>
    </row>
    <row r="73" customFormat="false" ht="15" hidden="false" customHeight="true" outlineLevel="0" collapsed="false">
      <c r="A73" s="18" t="s">
        <v>84</v>
      </c>
      <c r="B73" s="18" t="s">
        <v>13</v>
      </c>
      <c r="C73" s="18" t="s">
        <v>74</v>
      </c>
      <c r="D73" s="19" t="n">
        <f aca="false">Podsumowanie!C159</f>
        <v>0</v>
      </c>
      <c r="E73" s="19" t="n">
        <f aca="false">Podsumowanie!C61</f>
        <v>0</v>
      </c>
      <c r="F73" s="19" t="n">
        <f aca="false">ROUND(D73-E73,2)</f>
        <v>0</v>
      </c>
      <c r="G73" s="18" t="str">
        <f aca="false">IF(ABS(F73)&lt;=0.02,"OK","BŁĄD")</f>
        <v>OK</v>
      </c>
    </row>
    <row r="74" customFormat="false" ht="15" hidden="false" customHeight="true" outlineLevel="0" collapsed="false">
      <c r="A74" s="18" t="s">
        <v>80</v>
      </c>
      <c r="B74" s="18" t="s">
        <v>13</v>
      </c>
      <c r="C74" s="18" t="s">
        <v>75</v>
      </c>
      <c r="D74" s="19" t="n">
        <f aca="false">Podsumowanie!D147</f>
        <v>1319995.33</v>
      </c>
      <c r="E74" s="19" t="n">
        <f aca="false">Podsumowanie!D7+Podsumowanie!D37+Podsumowanie!D70+Podsumowanie!D100</f>
        <v>1319995.33</v>
      </c>
      <c r="F74" s="19" t="n">
        <f aca="false">ROUND(D74-E74,2)</f>
        <v>0</v>
      </c>
      <c r="G74" s="18" t="str">
        <f aca="false">IF(ABS(F74)&lt;=0.02,"OK","BŁĄD")</f>
        <v>OK</v>
      </c>
    </row>
    <row r="75" customFormat="false" ht="15" hidden="false" customHeight="true" outlineLevel="0" collapsed="false">
      <c r="A75" s="18" t="s">
        <v>81</v>
      </c>
      <c r="B75" s="18" t="s">
        <v>13</v>
      </c>
      <c r="C75" s="18" t="s">
        <v>75</v>
      </c>
      <c r="D75" s="19" t="n">
        <f aca="false">Podsumowanie!D138</f>
        <v>1582813.16</v>
      </c>
      <c r="E75" s="19" t="n">
        <f aca="false">Podsumowanie!D147+Podsumowanie!D132</f>
        <v>1582813.16</v>
      </c>
      <c r="F75" s="19" t="n">
        <f aca="false">ROUND(D75-E75,2)</f>
        <v>0</v>
      </c>
      <c r="G75" s="18" t="str">
        <f aca="false">IF(ABS(F75)&lt;=0.02,"OK","BŁĄD")</f>
        <v>OK</v>
      </c>
    </row>
    <row r="76" customFormat="false" ht="15" hidden="false" customHeight="true" outlineLevel="0" collapsed="false">
      <c r="A76" s="18" t="s">
        <v>82</v>
      </c>
      <c r="B76" s="18" t="s">
        <v>13</v>
      </c>
      <c r="C76" s="18" t="s">
        <v>75</v>
      </c>
      <c r="D76" s="19" t="n">
        <f aca="false">Podsumowanie!D153</f>
        <v>3641.74</v>
      </c>
      <c r="E76" s="19" t="n">
        <f aca="false">Podsumowanie!D31+Podsumowanie!D64+Podsumowanie!D94+Podsumowanie!D121</f>
        <v>3641.74</v>
      </c>
      <c r="F76" s="19" t="n">
        <f aca="false">ROUND(D76-E76,2)</f>
        <v>0</v>
      </c>
      <c r="G76" s="18" t="str">
        <f aca="false">IF(ABS(F76)&lt;=0.02,"OK","BŁĄD")</f>
        <v>OK</v>
      </c>
    </row>
    <row r="77" customFormat="false" ht="15" hidden="false" customHeight="true" outlineLevel="0" collapsed="false">
      <c r="A77" s="18" t="s">
        <v>83</v>
      </c>
      <c r="B77" s="18" t="s">
        <v>13</v>
      </c>
      <c r="C77" s="18" t="s">
        <v>75</v>
      </c>
      <c r="D77" s="19" t="n">
        <f aca="false">Podsumowanie!D156</f>
        <v>1316353.59</v>
      </c>
      <c r="E77" s="19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9" t="n">
        <f aca="false">ROUND(D77-E77,2)</f>
        <v>0</v>
      </c>
      <c r="G77" s="18" t="str">
        <f aca="false">IF(ABS(F77)&lt;=0.02,"OK","BŁĄD")</f>
        <v>OK</v>
      </c>
    </row>
    <row r="78" customFormat="false" ht="15" hidden="false" customHeight="true" outlineLevel="0" collapsed="false">
      <c r="A78" s="18" t="s">
        <v>84</v>
      </c>
      <c r="B78" s="18" t="s">
        <v>13</v>
      </c>
      <c r="C78" s="18" t="s">
        <v>75</v>
      </c>
      <c r="D78" s="19" t="n">
        <f aca="false">Podsumowanie!D159</f>
        <v>0</v>
      </c>
      <c r="E78" s="19" t="n">
        <f aca="false">Podsumowanie!D61</f>
        <v>0</v>
      </c>
      <c r="F78" s="19" t="n">
        <f aca="false">ROUND(D78-E78,2)</f>
        <v>0</v>
      </c>
      <c r="G78" s="18" t="str">
        <f aca="false">IF(ABS(F78)&lt;=0.02,"OK","BŁĄD")</f>
        <v>OK</v>
      </c>
    </row>
    <row r="79" customFormat="false" ht="15" hidden="false" customHeight="true" outlineLevel="0" collapsed="false">
      <c r="A79" s="18" t="s">
        <v>80</v>
      </c>
      <c r="B79" s="18" t="s">
        <v>13</v>
      </c>
      <c r="C79" s="18" t="s">
        <v>76</v>
      </c>
      <c r="D79" s="19" t="n">
        <f aca="false">Podsumowanie!E147</f>
        <v>2959946.54</v>
      </c>
      <c r="E79" s="19" t="n">
        <f aca="false">Podsumowanie!E7+Podsumowanie!E37+Podsumowanie!E70+Podsumowanie!E100</f>
        <v>2959946.54</v>
      </c>
      <c r="F79" s="19" t="n">
        <f aca="false">ROUND(D79-E79,2)</f>
        <v>0</v>
      </c>
      <c r="G79" s="18" t="str">
        <f aca="false">IF(ABS(F79)&lt;=0.02,"OK","BŁĄD")</f>
        <v>OK</v>
      </c>
    </row>
    <row r="80" customFormat="false" ht="15" hidden="false" customHeight="true" outlineLevel="0" collapsed="false">
      <c r="A80" s="18" t="s">
        <v>81</v>
      </c>
      <c r="B80" s="18" t="s">
        <v>13</v>
      </c>
      <c r="C80" s="18" t="s">
        <v>76</v>
      </c>
      <c r="D80" s="19" t="n">
        <f aca="false">Podsumowanie!E138</f>
        <v>3699933.17</v>
      </c>
      <c r="E80" s="19" t="n">
        <f aca="false">Podsumowanie!E147+Podsumowanie!E132</f>
        <v>3699933.17</v>
      </c>
      <c r="F80" s="19" t="n">
        <f aca="false">ROUND(D80-E80,2)</f>
        <v>0</v>
      </c>
      <c r="G80" s="18" t="str">
        <f aca="false">IF(ABS(F80)&lt;=0.02,"OK","BŁĄD")</f>
        <v>OK</v>
      </c>
    </row>
    <row r="81" customFormat="false" ht="15" hidden="false" customHeight="true" outlineLevel="0" collapsed="false">
      <c r="A81" s="18" t="s">
        <v>82</v>
      </c>
      <c r="B81" s="18" t="s">
        <v>13</v>
      </c>
      <c r="C81" s="18" t="s">
        <v>76</v>
      </c>
      <c r="D81" s="19" t="n">
        <f aca="false">Podsumowanie!E153</f>
        <v>11428.54</v>
      </c>
      <c r="E81" s="19" t="n">
        <f aca="false">Podsumowanie!E31+Podsumowanie!E64+Podsumowanie!E94+Podsumowanie!E121</f>
        <v>11428.54</v>
      </c>
      <c r="F81" s="19" t="n">
        <f aca="false">ROUND(D81-E81,2)</f>
        <v>0</v>
      </c>
      <c r="G81" s="18" t="str">
        <f aca="false">IF(ABS(F81)&lt;=0.02,"OK","BŁĄD")</f>
        <v>OK</v>
      </c>
    </row>
    <row r="82" customFormat="false" ht="15" hidden="false" customHeight="true" outlineLevel="0" collapsed="false">
      <c r="A82" s="18" t="s">
        <v>83</v>
      </c>
      <c r="B82" s="18" t="s">
        <v>13</v>
      </c>
      <c r="C82" s="18" t="s">
        <v>76</v>
      </c>
      <c r="D82" s="19" t="n">
        <f aca="false">Podsumowanie!E156</f>
        <v>2868518</v>
      </c>
      <c r="E82" s="19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9" t="n">
        <f aca="false">ROUND(D82-E82,2)</f>
        <v>0</v>
      </c>
      <c r="G82" s="18" t="str">
        <f aca="false">IF(ABS(F82)&lt;=0.02,"OK","BŁĄD")</f>
        <v>OK</v>
      </c>
    </row>
    <row r="83" customFormat="false" ht="15" hidden="false" customHeight="true" outlineLevel="0" collapsed="false">
      <c r="A83" s="18" t="s">
        <v>84</v>
      </c>
      <c r="B83" s="18" t="s">
        <v>13</v>
      </c>
      <c r="C83" s="18" t="s">
        <v>76</v>
      </c>
      <c r="D83" s="19" t="n">
        <f aca="false">Podsumowanie!E159</f>
        <v>80000</v>
      </c>
      <c r="E83" s="19" t="n">
        <f aca="false">Podsumowanie!E61</f>
        <v>80000</v>
      </c>
      <c r="F83" s="19" t="n">
        <f aca="false">ROUND(D83-E83,2)</f>
        <v>0</v>
      </c>
      <c r="G83" s="18" t="str">
        <f aca="false">IF(ABS(F83)&lt;=0.02,"OK","BŁĄD")</f>
        <v>OK</v>
      </c>
    </row>
    <row r="84" customFormat="false" ht="15" hidden="false" customHeight="true" outlineLevel="0" collapsed="false">
      <c r="A84" s="18" t="s">
        <v>85</v>
      </c>
      <c r="B84" s="18" t="s">
        <v>12</v>
      </c>
      <c r="C84" s="18" t="s">
        <v>75</v>
      </c>
      <c r="D84" s="19" t="n">
        <f aca="false">Podsumowanie!D131</f>
        <v>328522.3</v>
      </c>
      <c r="E84" s="19" t="n">
        <f aca="false">0.25*(Podsumowanie!D146-Podsumowanie!C146)</f>
        <v>328522.295</v>
      </c>
      <c r="F84" s="19" t="n">
        <f aca="false">ROUND(D84-E84,2)</f>
        <v>0.01</v>
      </c>
      <c r="G84" s="18" t="str">
        <f aca="false">IF(ABS(F84)&lt;=0.02,"OK","BŁĄD")</f>
        <v>OK</v>
      </c>
    </row>
    <row r="85" customFormat="false" ht="15" hidden="false" customHeight="true" outlineLevel="0" collapsed="false">
      <c r="A85" s="18" t="s">
        <v>86</v>
      </c>
      <c r="B85" s="18" t="s">
        <v>12</v>
      </c>
      <c r="C85" s="18" t="s">
        <v>76</v>
      </c>
      <c r="D85" s="19" t="n">
        <f aca="false">Podsumowanie!E131</f>
        <v>968623.12</v>
      </c>
      <c r="E85" s="19" t="n">
        <f aca="false">0.25*(Podsumowanie!E146)</f>
        <v>968623.1225</v>
      </c>
      <c r="F85" s="19" t="n">
        <f aca="false">ROUND(D85-E85,2)</f>
        <v>-0</v>
      </c>
      <c r="G85" s="18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17" t="s">
        <v>87</v>
      </c>
      <c r="B1" s="17" t="s">
        <v>88</v>
      </c>
    </row>
    <row r="2" customFormat="false" ht="15" hidden="false" customHeight="true" outlineLevel="0" collapsed="false">
      <c r="A2" s="20" t="s">
        <v>89</v>
      </c>
      <c r="B2" s="20" t="s">
        <v>90</v>
      </c>
    </row>
    <row r="3" customFormat="false" ht="27.75" hidden="false" customHeight="true" outlineLevel="0" collapsed="false">
      <c r="A3" s="20" t="s">
        <v>91</v>
      </c>
      <c r="B3" s="20" t="s">
        <v>92</v>
      </c>
    </row>
    <row r="4" customFormat="false" ht="27.75" hidden="false" customHeight="true" outlineLevel="0" collapsed="false">
      <c r="A4" s="20" t="s">
        <v>93</v>
      </c>
      <c r="B4" s="20" t="s">
        <v>94</v>
      </c>
    </row>
    <row r="5" customFormat="false" ht="27.75" hidden="false" customHeight="true" outlineLevel="0" collapsed="false">
      <c r="A5" s="20" t="s">
        <v>95</v>
      </c>
      <c r="B5" s="20" t="s">
        <v>96</v>
      </c>
    </row>
    <row r="6" customFormat="false" ht="27.75" hidden="false" customHeight="true" outlineLevel="0" collapsed="false">
      <c r="A6" s="20" t="s">
        <v>97</v>
      </c>
      <c r="B6" s="20" t="s">
        <v>98</v>
      </c>
    </row>
    <row r="7" customFormat="false" ht="27.75" hidden="false" customHeight="true" outlineLevel="0" collapsed="false">
      <c r="A7" s="20" t="s">
        <v>55</v>
      </c>
      <c r="B7" s="20" t="s">
        <v>99</v>
      </c>
    </row>
    <row r="8" customFormat="false" ht="27.75" hidden="false" customHeight="true" outlineLevel="0" collapsed="false">
      <c r="A8" s="20" t="s">
        <v>100</v>
      </c>
      <c r="B8" s="20" t="s">
        <v>101</v>
      </c>
    </row>
    <row r="9" customFormat="false" ht="15" hidden="false" customHeight="true" outlineLevel="0" collapsed="false">
      <c r="A9" s="20" t="s">
        <v>102</v>
      </c>
      <c r="B9" s="20" t="s">
        <v>103</v>
      </c>
    </row>
    <row r="10" customFormat="false" ht="15" hidden="false" customHeight="true" outlineLevel="0" collapsed="false">
      <c r="A10" s="20" t="s">
        <v>104</v>
      </c>
      <c r="B10" s="20" t="s">
        <v>105</v>
      </c>
    </row>
    <row r="11" customFormat="false" ht="15" hidden="false" customHeight="true" outlineLevel="0" collapsed="false">
      <c r="A11" s="20" t="s">
        <v>106</v>
      </c>
      <c r="B11" s="20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6015625" defaultRowHeight="15" zeroHeight="false" outlineLevelRow="0" outlineLevelCol="0"/>
  <cols>
    <col collapsed="false" customWidth="true" hidden="false" outlineLevel="0" max="1" min="1" style="21" width="71.67"/>
    <col collapsed="false" customWidth="true" hidden="false" outlineLevel="0" max="2" min="2" style="21" width="13"/>
    <col collapsed="false" customWidth="true" hidden="false" outlineLevel="0" max="3" min="3" style="21" width="11.83"/>
    <col collapsed="false" customWidth="false" hidden="false" outlineLevel="0" max="4" min="4" style="21" width="10.66"/>
    <col collapsed="false" customWidth="true" hidden="false" outlineLevel="0" max="5" min="5" style="21" width="15.51"/>
    <col collapsed="false" customWidth="true" hidden="false" outlineLevel="0" max="6" min="6" style="21" width="13.67"/>
    <col collapsed="false" customWidth="false" hidden="false" outlineLevel="0" max="7" min="7" style="21" width="10.66"/>
    <col collapsed="false" customWidth="true" hidden="false" outlineLevel="0" max="9" min="8" style="21" width="11.83"/>
    <col collapsed="false" customWidth="true" hidden="false" outlineLevel="0" max="10" min="10" style="21" width="10.51"/>
    <col collapsed="false" customWidth="true" hidden="false" outlineLevel="0" max="11" min="11" style="21" width="18.34"/>
    <col collapsed="false" customWidth="false" hidden="false" outlineLevel="0" max="16384" min="12" style="21" width="10.66"/>
  </cols>
  <sheetData>
    <row r="1" customFormat="false" ht="15" hidden="false" customHeight="true" outlineLevel="0" collapsed="false">
      <c r="B1" s="22" t="s">
        <v>108</v>
      </c>
      <c r="C1" s="22"/>
      <c r="D1" s="22"/>
      <c r="E1" s="22" t="s">
        <v>109</v>
      </c>
      <c r="F1" s="22"/>
      <c r="G1" s="22"/>
      <c r="H1" s="23" t="s">
        <v>110</v>
      </c>
      <c r="I1" s="23"/>
      <c r="J1" s="23"/>
      <c r="K1" s="21" t="s">
        <v>111</v>
      </c>
      <c r="L1" s="21" t="s">
        <v>112</v>
      </c>
      <c r="M1" s="21" t="s">
        <v>113</v>
      </c>
      <c r="N1" s="21" t="s">
        <v>114</v>
      </c>
    </row>
    <row r="2" customFormat="false" ht="15" hidden="false" customHeight="true" outlineLevel="0" collapsed="false">
      <c r="A2" s="4" t="s">
        <v>2</v>
      </c>
      <c r="B2" s="24" t="s">
        <v>115</v>
      </c>
      <c r="C2" s="24" t="s">
        <v>116</v>
      </c>
      <c r="D2" s="24" t="s">
        <v>117</v>
      </c>
      <c r="E2" s="24" t="s">
        <v>115</v>
      </c>
      <c r="F2" s="24" t="s">
        <v>116</v>
      </c>
      <c r="G2" s="24" t="s">
        <v>117</v>
      </c>
    </row>
    <row r="3" customFormat="false" ht="27.75" hidden="false" customHeight="true" outlineLevel="0" collapsed="false">
      <c r="A3" s="25" t="s">
        <v>10</v>
      </c>
      <c r="B3" s="26" t="n">
        <f aca="false">Podsumowanie!D5</f>
        <v>807424.87</v>
      </c>
      <c r="C3" s="26" t="n">
        <f aca="false">Podsumowanie!D6</f>
        <v>807424.87</v>
      </c>
      <c r="D3" s="26" t="n">
        <f aca="false">Podsumowanie!D7</f>
        <v>645939.9</v>
      </c>
      <c r="E3" s="26" t="n">
        <f aca="false">Podsumowanie!E5</f>
        <v>868383.93</v>
      </c>
      <c r="F3" s="26" t="n">
        <f aca="false">Podsumowanie!E6</f>
        <v>868383.93</v>
      </c>
      <c r="G3" s="26" t="n">
        <f aca="false">Podsumowanie!E7</f>
        <v>694707.14</v>
      </c>
      <c r="H3" s="26" t="n">
        <f aca="false">B3-E3</f>
        <v>-60959.0600000001</v>
      </c>
      <c r="I3" s="26" t="n">
        <f aca="false">C3-F3</f>
        <v>-60959.0600000001</v>
      </c>
      <c r="J3" s="26" t="n">
        <f aca="false">D3-G3</f>
        <v>-48767.24</v>
      </c>
    </row>
    <row r="4" customFormat="false" ht="15" hidden="false" customHeight="true" outlineLevel="0" collapsed="false">
      <c r="A4" s="27" t="s">
        <v>14</v>
      </c>
      <c r="B4" s="26" t="n">
        <f aca="false">Podsumowanie!D8</f>
        <v>277000</v>
      </c>
      <c r="C4" s="26" t="n">
        <f aca="false">Podsumowanie!D9</f>
        <v>277000</v>
      </c>
      <c r="D4" s="26" t="n">
        <f aca="false">Podsumowanie!D10</f>
        <v>221600</v>
      </c>
      <c r="E4" s="26" t="n">
        <f aca="false">Podsumowanie!E8</f>
        <v>277000</v>
      </c>
      <c r="F4" s="26" t="n">
        <f aca="false">Podsumowanie!E9</f>
        <v>277000</v>
      </c>
      <c r="G4" s="26" t="n">
        <f aca="false">Podsumowanie!E10</f>
        <v>221600</v>
      </c>
      <c r="H4" s="26" t="n">
        <f aca="false">B4-E4</f>
        <v>0</v>
      </c>
      <c r="I4" s="26" t="n">
        <f aca="false">C4-F4</f>
        <v>0</v>
      </c>
      <c r="J4" s="26" t="n">
        <f aca="false">D4-G4</f>
        <v>0</v>
      </c>
      <c r="K4" s="28" t="n">
        <v>27700</v>
      </c>
      <c r="L4" s="21" t="n">
        <v>2</v>
      </c>
      <c r="M4" s="21" t="n">
        <f aca="false">K4*L4</f>
        <v>55400</v>
      </c>
      <c r="N4" s="21" t="n">
        <v>5</v>
      </c>
    </row>
    <row r="5" customFormat="false" ht="15" hidden="false" customHeight="true" outlineLevel="0" collapsed="false">
      <c r="A5" s="27" t="s">
        <v>15</v>
      </c>
      <c r="B5" s="26" t="n">
        <f aca="false">Podsumowanie!D11</f>
        <v>94300</v>
      </c>
      <c r="C5" s="26" t="n">
        <f aca="false">Podsumowanie!D12</f>
        <v>94300</v>
      </c>
      <c r="D5" s="26" t="n">
        <f aca="false">Podsumowanie!D13</f>
        <v>75440</v>
      </c>
      <c r="E5" s="26" t="n">
        <f aca="false">Podsumowanie!E11</f>
        <v>94300</v>
      </c>
      <c r="F5" s="26" t="n">
        <f aca="false">Podsumowanie!E12</f>
        <v>94300</v>
      </c>
      <c r="G5" s="26" t="n">
        <f aca="false">Podsumowanie!E13</f>
        <v>75440</v>
      </c>
      <c r="H5" s="26" t="n">
        <f aca="false">B5-E5</f>
        <v>0</v>
      </c>
      <c r="I5" s="26" t="n">
        <f aca="false">C5-F5</f>
        <v>0</v>
      </c>
      <c r="J5" s="26" t="n">
        <f aca="false">D5-G5</f>
        <v>0</v>
      </c>
      <c r="K5" s="28" t="n">
        <v>18860</v>
      </c>
      <c r="L5" s="21" t="n">
        <v>1</v>
      </c>
      <c r="M5" s="21" t="n">
        <f aca="false">K5*L5</f>
        <v>18860</v>
      </c>
      <c r="N5" s="21" t="n">
        <v>5</v>
      </c>
    </row>
    <row r="6" customFormat="false" ht="15" hidden="false" customHeight="true" outlineLevel="0" collapsed="false">
      <c r="A6" s="27" t="s">
        <v>16</v>
      </c>
      <c r="B6" s="26" t="n">
        <f aca="false">Podsumowanie!D14</f>
        <v>121994.98</v>
      </c>
      <c r="C6" s="26" t="n">
        <f aca="false">Podsumowanie!D15</f>
        <v>121994.98</v>
      </c>
      <c r="D6" s="26" t="n">
        <f aca="false">Podsumowanie!D16</f>
        <v>97595.98</v>
      </c>
      <c r="E6" s="26" t="n">
        <f aca="false">Podsumowanie!E14</f>
        <v>135550</v>
      </c>
      <c r="F6" s="26" t="n">
        <f aca="false">Podsumowanie!E15</f>
        <v>135550</v>
      </c>
      <c r="G6" s="26" t="n">
        <f aca="false">Podsumowanie!E16</f>
        <v>108440</v>
      </c>
      <c r="H6" s="26" t="n">
        <f aca="false">B6-E6</f>
        <v>-13555.02</v>
      </c>
      <c r="I6" s="26" t="n">
        <f aca="false">C6-F6</f>
        <v>-13555.02</v>
      </c>
      <c r="J6" s="26" t="n">
        <f aca="false">D6-G6</f>
        <v>-10844.02</v>
      </c>
      <c r="K6" s="28" t="n">
        <v>13555</v>
      </c>
      <c r="L6" s="21" t="n">
        <v>1</v>
      </c>
      <c r="M6" s="21" t="n">
        <f aca="false">E6/5</f>
        <v>27110</v>
      </c>
      <c r="N6" s="21" t="n">
        <v>5</v>
      </c>
      <c r="O6" s="28" t="n">
        <v>13555</v>
      </c>
      <c r="P6" s="21" t="s">
        <v>118</v>
      </c>
    </row>
    <row r="7" customFormat="false" ht="15" hidden="false" customHeight="true" outlineLevel="0" collapsed="false">
      <c r="A7" s="27" t="s">
        <v>17</v>
      </c>
      <c r="B7" s="26" t="n">
        <f aca="false">Podsumowanie!D17</f>
        <v>50828.54</v>
      </c>
      <c r="C7" s="26" t="n">
        <f aca="false">Podsumowanie!D18</f>
        <v>50828.54</v>
      </c>
      <c r="D7" s="26" t="n">
        <f aca="false">Podsumowanie!D19</f>
        <v>40662.83</v>
      </c>
      <c r="E7" s="26" t="n">
        <f aca="false">Podsumowanie!E17</f>
        <v>51562.5</v>
      </c>
      <c r="F7" s="26" t="n">
        <f aca="false">Podsumowanie!E18</f>
        <v>51562.5</v>
      </c>
      <c r="G7" s="26" t="n">
        <f aca="false">Podsumowanie!E19</f>
        <v>41250</v>
      </c>
      <c r="H7" s="26" t="n">
        <f aca="false">B7-E7</f>
        <v>-733.959999999999</v>
      </c>
      <c r="I7" s="26" t="n">
        <f aca="false">C7-F7</f>
        <v>-733.959999999999</v>
      </c>
      <c r="J7" s="26" t="n">
        <f aca="false">D7-G7</f>
        <v>-587.169999999998</v>
      </c>
      <c r="K7" s="28" t="n">
        <v>10312.5</v>
      </c>
      <c r="L7" s="21" t="n">
        <v>1</v>
      </c>
      <c r="M7" s="21" t="n">
        <f aca="false">K7*L7</f>
        <v>10312.5</v>
      </c>
      <c r="N7" s="21" t="n">
        <v>5</v>
      </c>
    </row>
    <row r="8" customFormat="false" ht="15" hidden="false" customHeight="true" outlineLevel="0" collapsed="false">
      <c r="A8" s="27" t="s">
        <v>18</v>
      </c>
      <c r="B8" s="26" t="n">
        <f aca="false">Podsumowanie!D20</f>
        <v>34550.27</v>
      </c>
      <c r="C8" s="26" t="n">
        <f aca="false">Podsumowanie!D21</f>
        <v>34550.27</v>
      </c>
      <c r="D8" s="26" t="n">
        <f aca="false">Podsumowanie!D22</f>
        <v>27640.23</v>
      </c>
      <c r="E8" s="26" t="n">
        <f aca="false">Podsumowanie!E20</f>
        <v>37200</v>
      </c>
      <c r="F8" s="26" t="n">
        <f aca="false">Podsumowanie!E21</f>
        <v>37200</v>
      </c>
      <c r="G8" s="26" t="n">
        <f aca="false">Podsumowanie!E22</f>
        <v>29760</v>
      </c>
      <c r="H8" s="26" t="n">
        <f aca="false">B8-E8</f>
        <v>-2649.73</v>
      </c>
      <c r="I8" s="26" t="n">
        <f aca="false">C8-F8</f>
        <v>-2649.73</v>
      </c>
      <c r="J8" s="26" t="n">
        <f aca="false">D8-G8</f>
        <v>-2119.77</v>
      </c>
      <c r="K8" s="28" t="n">
        <v>7440</v>
      </c>
      <c r="L8" s="21" t="n">
        <v>1</v>
      </c>
      <c r="M8" s="21" t="n">
        <f aca="false">K8*L8</f>
        <v>7440</v>
      </c>
      <c r="N8" s="21" t="n">
        <v>5</v>
      </c>
    </row>
    <row r="9" customFormat="false" ht="15" hidden="false" customHeight="true" outlineLevel="0" collapsed="false">
      <c r="A9" s="27" t="s">
        <v>19</v>
      </c>
      <c r="B9" s="26" t="n">
        <f aca="false">Podsumowanie!D23</f>
        <v>24600</v>
      </c>
      <c r="C9" s="26" t="n">
        <f aca="false">Podsumowanie!D24</f>
        <v>24600</v>
      </c>
      <c r="D9" s="26" t="n">
        <f aca="false">Podsumowanie!D25</f>
        <v>19680</v>
      </c>
      <c r="E9" s="26" t="n">
        <f aca="false">Podsumowanie!E23</f>
        <v>67325</v>
      </c>
      <c r="F9" s="26" t="n">
        <f aca="false">Podsumowanie!E24</f>
        <v>67325</v>
      </c>
      <c r="G9" s="26" t="n">
        <f aca="false">Podsumowanie!E25</f>
        <v>53860</v>
      </c>
      <c r="H9" s="26" t="n">
        <f aca="false">B9-E9</f>
        <v>-42725</v>
      </c>
      <c r="I9" s="26" t="n">
        <f aca="false">C9-F9</f>
        <v>-42725</v>
      </c>
      <c r="J9" s="26" t="n">
        <f aca="false">D9-G9</f>
        <v>-34180</v>
      </c>
      <c r="K9" s="21" t="n">
        <v>13465</v>
      </c>
      <c r="L9" s="21" t="n">
        <v>2</v>
      </c>
      <c r="M9" s="21" t="n">
        <f aca="false">K9*L9</f>
        <v>26930</v>
      </c>
      <c r="N9" s="21" t="n">
        <v>5</v>
      </c>
      <c r="O9" s="28" t="n">
        <v>8545</v>
      </c>
      <c r="P9" s="21" t="s">
        <v>118</v>
      </c>
    </row>
    <row r="10" customFormat="false" ht="15" hidden="false" customHeight="true" outlineLevel="0" collapsed="false">
      <c r="A10" s="27" t="s">
        <v>20</v>
      </c>
      <c r="B10" s="26" t="n">
        <f aca="false">Podsumowanie!D26</f>
        <v>103125</v>
      </c>
      <c r="C10" s="26" t="n">
        <f aca="false">Podsumowanie!D27</f>
        <v>103125</v>
      </c>
      <c r="D10" s="26" t="n">
        <f aca="false">Podsumowanie!D28</f>
        <v>82500</v>
      </c>
      <c r="E10" s="26" t="n">
        <f aca="false">Podsumowanie!E26</f>
        <v>103125</v>
      </c>
      <c r="F10" s="26" t="n">
        <f aca="false">Podsumowanie!E27</f>
        <v>103125</v>
      </c>
      <c r="G10" s="26" t="n">
        <f aca="false">Podsumowanie!E28</f>
        <v>82500</v>
      </c>
      <c r="H10" s="26" t="n">
        <f aca="false">B10-E10</f>
        <v>0</v>
      </c>
      <c r="I10" s="26" t="n">
        <f aca="false">C10-F10</f>
        <v>0</v>
      </c>
      <c r="J10" s="26" t="n">
        <f aca="false">D10-G10</f>
        <v>0</v>
      </c>
      <c r="K10" s="28" t="n">
        <v>20625</v>
      </c>
      <c r="L10" s="21" t="n">
        <v>1</v>
      </c>
      <c r="M10" s="21" t="n">
        <f aca="false">K10*L10</f>
        <v>20625</v>
      </c>
      <c r="N10" s="21" t="n">
        <v>5</v>
      </c>
    </row>
    <row r="11" customFormat="false" ht="15" hidden="false" customHeight="true" outlineLevel="0" collapsed="false">
      <c r="A11" s="27" t="s">
        <v>21</v>
      </c>
      <c r="B11" s="26" t="n">
        <f aca="false">Podsumowanie!D29</f>
        <v>2276.08</v>
      </c>
      <c r="C11" s="26" t="n">
        <f aca="false">Podsumowanie!D30</f>
        <v>2276.08</v>
      </c>
      <c r="D11" s="26" t="n">
        <f aca="false">Podsumowanie!D31</f>
        <v>1820.86</v>
      </c>
      <c r="E11" s="26" t="n">
        <f aca="false">Podsumowanie!E29</f>
        <v>3571.43</v>
      </c>
      <c r="F11" s="26" t="n">
        <f aca="false">Podsumowanie!E30</f>
        <v>3571.43</v>
      </c>
      <c r="G11" s="26" t="n">
        <f aca="false">Podsumowanie!E31</f>
        <v>2857.14</v>
      </c>
      <c r="H11" s="26" t="n">
        <f aca="false">B11-E11</f>
        <v>-1295.35</v>
      </c>
      <c r="I11" s="26" t="n">
        <f aca="false">C11-F11</f>
        <v>-1295.35</v>
      </c>
      <c r="J11" s="26" t="n">
        <f aca="false">D11-G11</f>
        <v>-1036.28</v>
      </c>
      <c r="M11" s="21" t="n">
        <f aca="false">K11*L11</f>
        <v>0</v>
      </c>
    </row>
    <row r="12" customFormat="false" ht="15" hidden="false" customHeight="true" outlineLevel="0" collapsed="false">
      <c r="A12" s="27" t="s">
        <v>22</v>
      </c>
      <c r="B12" s="26" t="n">
        <f aca="false">Podsumowanie!D32</f>
        <v>98750</v>
      </c>
      <c r="C12" s="26" t="n">
        <f aca="false">Podsumowanie!D33</f>
        <v>98750</v>
      </c>
      <c r="D12" s="26" t="n">
        <f aca="false">Podsumowanie!D34</f>
        <v>79000</v>
      </c>
      <c r="E12" s="26" t="n">
        <f aca="false">Podsumowanie!E32</f>
        <v>98750</v>
      </c>
      <c r="F12" s="26" t="n">
        <f aca="false">Podsumowanie!E33</f>
        <v>98750</v>
      </c>
      <c r="G12" s="26" t="n">
        <f aca="false">Podsumowanie!E34</f>
        <v>79000</v>
      </c>
      <c r="H12" s="26" t="n">
        <f aca="false">B12-E12</f>
        <v>0</v>
      </c>
      <c r="I12" s="26" t="n">
        <f aca="false">C12-F12</f>
        <v>0</v>
      </c>
      <c r="J12" s="26" t="n">
        <f aca="false">D12-G12</f>
        <v>0</v>
      </c>
      <c r="K12" s="28" t="n">
        <v>19750</v>
      </c>
      <c r="L12" s="21" t="n">
        <v>1</v>
      </c>
      <c r="M12" s="21" t="n">
        <f aca="false">K12*L12</f>
        <v>19750</v>
      </c>
      <c r="N12" s="21" t="n">
        <v>5</v>
      </c>
    </row>
    <row r="13" customFormat="false" ht="15" hidden="false" customHeight="true" outlineLevel="0" collapsed="false">
      <c r="A13" s="25" t="s">
        <v>23</v>
      </c>
      <c r="B13" s="26" t="n">
        <f aca="false">SUM(B14:B23)</f>
        <v>1008769.29</v>
      </c>
      <c r="C13" s="26" t="n">
        <f aca="false">SUM(C14:C23)</f>
        <v>1008769.29</v>
      </c>
      <c r="D13" s="26" t="n">
        <f aca="false">SUM(D14:D23)</f>
        <v>807015.43</v>
      </c>
      <c r="E13" s="26" t="n">
        <f aca="false">Podsumowanie!E35</f>
        <v>1226935.71</v>
      </c>
      <c r="F13" s="26" t="n">
        <f aca="false">Podsumowanie!E36</f>
        <v>1203935.71</v>
      </c>
      <c r="G13" s="26" t="n">
        <f aca="false">Podsumowanie!E37</f>
        <v>963148.56</v>
      </c>
      <c r="H13" s="26" t="n">
        <f aca="false">B13-E13</f>
        <v>-218166.42</v>
      </c>
      <c r="I13" s="26" t="n">
        <f aca="false">C13-F13</f>
        <v>-195166.42</v>
      </c>
      <c r="J13" s="26" t="n">
        <f aca="false">D13-G13</f>
        <v>-156133.13</v>
      </c>
    </row>
    <row r="14" customFormat="false" ht="15" hidden="false" customHeight="true" outlineLevel="0" collapsed="false">
      <c r="A14" s="27" t="s">
        <v>24</v>
      </c>
      <c r="B14" s="26" t="n">
        <v>332400</v>
      </c>
      <c r="C14" s="26" t="n">
        <v>332400</v>
      </c>
      <c r="D14" s="26" t="n">
        <v>265920</v>
      </c>
      <c r="E14" s="26" t="n">
        <f aca="false">Podsumowanie!E38</f>
        <v>332400</v>
      </c>
      <c r="F14" s="26" t="n">
        <f aca="false">Podsumowanie!E39</f>
        <v>332400</v>
      </c>
      <c r="G14" s="26" t="n">
        <f aca="false">Podsumowanie!E40</f>
        <v>265920</v>
      </c>
      <c r="H14" s="26" t="n">
        <f aca="false">B14-E14</f>
        <v>0</v>
      </c>
      <c r="I14" s="26" t="n">
        <f aca="false">C14-F14</f>
        <v>0</v>
      </c>
      <c r="J14" s="26" t="n">
        <f aca="false">D14-G14</f>
        <v>0</v>
      </c>
      <c r="K14" s="28" t="n">
        <v>27700</v>
      </c>
      <c r="L14" s="21" t="n">
        <v>2</v>
      </c>
      <c r="N14" s="21" t="n">
        <v>6</v>
      </c>
    </row>
    <row r="15" customFormat="false" ht="15" hidden="false" customHeight="true" outlineLevel="0" collapsed="false">
      <c r="A15" s="27" t="s">
        <v>25</v>
      </c>
      <c r="B15" s="26" t="n">
        <f aca="false">Podsumowanie!D41</f>
        <v>113168.16</v>
      </c>
      <c r="C15" s="26" t="n">
        <f aca="false">Podsumowanie!D42</f>
        <v>113168.16</v>
      </c>
      <c r="D15" s="26" t="n">
        <f aca="false">Podsumowanie!D43</f>
        <v>90534.53</v>
      </c>
      <c r="E15" s="26" t="n">
        <f aca="false">Podsumowanie!E41</f>
        <v>113160</v>
      </c>
      <c r="F15" s="26" t="n">
        <f aca="false">Podsumowanie!E42</f>
        <v>113160</v>
      </c>
      <c r="G15" s="26" t="n">
        <f aca="false">Podsumowanie!E43</f>
        <v>90528</v>
      </c>
      <c r="H15" s="26" t="n">
        <f aca="false">B15-E15</f>
        <v>8.16000000000349</v>
      </c>
      <c r="I15" s="26" t="n">
        <f aca="false">C15-F15</f>
        <v>8.16000000000349</v>
      </c>
      <c r="J15" s="26" t="n">
        <f aca="false">D15-G15</f>
        <v>6.52999999999884</v>
      </c>
      <c r="K15" s="28" t="n">
        <v>18860</v>
      </c>
      <c r="L15" s="21" t="n">
        <v>1</v>
      </c>
      <c r="N15" s="21" t="n">
        <v>6</v>
      </c>
    </row>
    <row r="16" s="31" customFormat="true" ht="15" hidden="false" customHeight="true" outlineLevel="0" collapsed="false">
      <c r="A16" s="29" t="s">
        <v>26</v>
      </c>
      <c r="B16" s="30" t="n">
        <f aca="false">Podsumowanie!D44</f>
        <v>121024.78</v>
      </c>
      <c r="C16" s="30" t="n">
        <f aca="false">Podsumowanie!D45</f>
        <v>121024.78</v>
      </c>
      <c r="D16" s="30" t="n">
        <f aca="false">Podsumowanie!D46</f>
        <v>96819.8</v>
      </c>
      <c r="E16" s="30" t="n">
        <f aca="false">Podsumowanie!E44</f>
        <v>162660</v>
      </c>
      <c r="F16" s="30" t="n">
        <f aca="false">Podsumowanie!E45</f>
        <v>162660</v>
      </c>
      <c r="G16" s="30" t="n">
        <f aca="false">Podsumowanie!E46</f>
        <v>130128</v>
      </c>
      <c r="H16" s="30" t="n">
        <f aca="false">B16-E16</f>
        <v>-41635.22</v>
      </c>
      <c r="I16" s="30" t="n">
        <f aca="false">C16-F16</f>
        <v>-41635.22</v>
      </c>
      <c r="J16" s="30" t="n">
        <f aca="false">D16-G16</f>
        <v>-33308.2</v>
      </c>
      <c r="K16" s="28" t="n">
        <v>13555</v>
      </c>
      <c r="L16" s="21" t="n">
        <v>2</v>
      </c>
      <c r="N16" s="21" t="n">
        <v>6</v>
      </c>
    </row>
    <row r="17" customFormat="false" ht="15" hidden="false" customHeight="true" outlineLevel="0" collapsed="false">
      <c r="A17" s="27" t="s">
        <v>27</v>
      </c>
      <c r="B17" s="26" t="n">
        <f aca="false">Podsumowanie!D47</f>
        <v>123750</v>
      </c>
      <c r="C17" s="26" t="n">
        <f aca="false">Podsumowanie!D48</f>
        <v>123750</v>
      </c>
      <c r="D17" s="26" t="n">
        <f aca="false">Podsumowanie!D49</f>
        <v>99000</v>
      </c>
      <c r="E17" s="26" t="n">
        <f aca="false">Podsumowanie!E47</f>
        <v>123750</v>
      </c>
      <c r="F17" s="26" t="n">
        <f aca="false">Podsumowanie!E48</f>
        <v>123750</v>
      </c>
      <c r="G17" s="26" t="n">
        <f aca="false">Podsumowanie!E49</f>
        <v>99000</v>
      </c>
      <c r="H17" s="26" t="n">
        <f aca="false">B17-E17</f>
        <v>0</v>
      </c>
      <c r="I17" s="26" t="n">
        <f aca="false">C17-F17</f>
        <v>0</v>
      </c>
      <c r="J17" s="26" t="n">
        <f aca="false">D17-G17</f>
        <v>0</v>
      </c>
      <c r="K17" s="28" t="n">
        <v>10312.5</v>
      </c>
      <c r="L17" s="21" t="n">
        <v>1</v>
      </c>
      <c r="N17" s="21" t="n">
        <v>6</v>
      </c>
    </row>
    <row r="18" customFormat="false" ht="15" hidden="false" customHeight="true" outlineLevel="0" collapsed="false">
      <c r="A18" s="27" t="s">
        <v>28</v>
      </c>
      <c r="B18" s="26" t="n">
        <f aca="false">Podsumowanie!D50</f>
        <v>44388.77</v>
      </c>
      <c r="C18" s="26" t="n">
        <f aca="false">Podsumowanie!D51</f>
        <v>44388.77</v>
      </c>
      <c r="D18" s="26" t="n">
        <f aca="false">Podsumowanie!D52</f>
        <v>35511.02</v>
      </c>
      <c r="E18" s="26" t="n">
        <f aca="false">Podsumowanie!E50</f>
        <v>44640</v>
      </c>
      <c r="F18" s="26" t="n">
        <f aca="false">Podsumowanie!E51</f>
        <v>44640</v>
      </c>
      <c r="G18" s="26" t="n">
        <f aca="false">Podsumowanie!E52</f>
        <v>35712</v>
      </c>
      <c r="H18" s="26" t="n">
        <f aca="false">B18-E18</f>
        <v>-251.230000000003</v>
      </c>
      <c r="I18" s="26" t="n">
        <f aca="false">C18-F18</f>
        <v>-251.230000000003</v>
      </c>
      <c r="J18" s="26" t="n">
        <f aca="false">D18-G18</f>
        <v>-200.980000000003</v>
      </c>
      <c r="K18" s="28" t="n">
        <v>7440</v>
      </c>
      <c r="L18" s="21" t="n">
        <v>1</v>
      </c>
      <c r="N18" s="21" t="n">
        <v>6</v>
      </c>
    </row>
    <row r="19" customFormat="false" ht="15" hidden="false" customHeight="true" outlineLevel="0" collapsed="false">
      <c r="A19" s="27" t="s">
        <v>29</v>
      </c>
      <c r="B19" s="26" t="n">
        <f aca="false">Podsumowanie!D53</f>
        <v>123750</v>
      </c>
      <c r="C19" s="26" t="n">
        <f aca="false">Podsumowanie!D54</f>
        <v>123750</v>
      </c>
      <c r="D19" s="26" t="n">
        <f aca="false">Podsumowanie!D55</f>
        <v>99000</v>
      </c>
      <c r="E19" s="26" t="n">
        <f aca="false">Podsumowanie!E53</f>
        <v>123750</v>
      </c>
      <c r="F19" s="26" t="n">
        <f aca="false">Podsumowanie!E54</f>
        <v>123750</v>
      </c>
      <c r="G19" s="26" t="n">
        <f aca="false">Podsumowanie!E55</f>
        <v>99000</v>
      </c>
      <c r="H19" s="26" t="n">
        <f aca="false">B19-E19</f>
        <v>0</v>
      </c>
      <c r="I19" s="26" t="n">
        <f aca="false">C19-F19</f>
        <v>0</v>
      </c>
      <c r="J19" s="26" t="n">
        <f aca="false">D19-G19</f>
        <v>0</v>
      </c>
      <c r="K19" s="21" t="n">
        <v>13465</v>
      </c>
      <c r="L19" s="21" t="n">
        <v>2</v>
      </c>
      <c r="N19" s="21" t="n">
        <v>6</v>
      </c>
    </row>
    <row r="20" s="31" customFormat="true" ht="15" hidden="false" customHeight="true" outlineLevel="0" collapsed="false">
      <c r="A20" s="29" t="s">
        <v>30</v>
      </c>
      <c r="B20" s="30" t="n">
        <f aca="false">Podsumowanie!D56</f>
        <v>29517.79</v>
      </c>
      <c r="C20" s="30" t="n">
        <f aca="false">Podsumowanie!D57</f>
        <v>29517.79</v>
      </c>
      <c r="D20" s="30" t="n">
        <f aca="false">Podsumowanie!D58</f>
        <v>23614.23</v>
      </c>
      <c r="E20" s="30" t="n">
        <f aca="false">Podsumowanie!E56</f>
        <v>80790</v>
      </c>
      <c r="F20" s="30" t="n">
        <f aca="false">Podsumowanie!E57</f>
        <v>80790</v>
      </c>
      <c r="G20" s="30" t="n">
        <f aca="false">Podsumowanie!E58</f>
        <v>64632</v>
      </c>
      <c r="H20" s="30" t="n">
        <f aca="false">B20-E20</f>
        <v>-51272.21</v>
      </c>
      <c r="I20" s="30" t="n">
        <f aca="false">C20-F20</f>
        <v>-51272.21</v>
      </c>
      <c r="J20" s="30" t="n">
        <f aca="false">D20-G20</f>
        <v>-41017.77</v>
      </c>
      <c r="K20" s="28" t="n">
        <v>20625</v>
      </c>
      <c r="L20" s="21" t="n">
        <v>1</v>
      </c>
      <c r="N20" s="21" t="n">
        <v>6</v>
      </c>
    </row>
    <row r="21" customFormat="false" ht="27.75" hidden="false" customHeight="true" outlineLevel="0" collapsed="false">
      <c r="A21" s="27" t="s">
        <v>31</v>
      </c>
      <c r="B21" s="26" t="n">
        <f aca="false">Podsumowanie!D59</f>
        <v>0</v>
      </c>
      <c r="C21" s="26" t="n">
        <f aca="false">Podsumowanie!D60</f>
        <v>0</v>
      </c>
      <c r="D21" s="26" t="n">
        <f aca="false">Podsumowanie!D61</f>
        <v>0</v>
      </c>
      <c r="E21" s="26" t="n">
        <f aca="false">Podsumowanie!E59</f>
        <v>123000</v>
      </c>
      <c r="F21" s="26" t="n">
        <f aca="false">Podsumowanie!E60</f>
        <v>100000</v>
      </c>
      <c r="G21" s="26" t="n">
        <f aca="false">Podsumowanie!E61</f>
        <v>80000</v>
      </c>
      <c r="H21" s="26" t="n">
        <f aca="false">B21-E21</f>
        <v>-123000</v>
      </c>
      <c r="I21" s="26" t="n">
        <f aca="false">C21-F21</f>
        <v>-100000</v>
      </c>
      <c r="J21" s="26" t="n">
        <f aca="false">D21-G21</f>
        <v>-80000</v>
      </c>
      <c r="N21" s="21" t="n">
        <v>6</v>
      </c>
    </row>
    <row r="22" customFormat="false" ht="15" hidden="false" customHeight="true" outlineLevel="0" collapsed="false">
      <c r="A22" s="27" t="s">
        <v>32</v>
      </c>
      <c r="B22" s="26" t="n">
        <f aca="false">Podsumowanie!D62</f>
        <v>2276.08</v>
      </c>
      <c r="C22" s="26" t="n">
        <f aca="false">Podsumowanie!D63</f>
        <v>2276.08</v>
      </c>
      <c r="D22" s="26" t="n">
        <f aca="false">Podsumowanie!D64</f>
        <v>1820.88</v>
      </c>
      <c r="E22" s="26" t="n">
        <f aca="false">Podsumowanie!E62</f>
        <v>4285.71</v>
      </c>
      <c r="F22" s="26" t="n">
        <f aca="false">Podsumowanie!E63</f>
        <v>4285.71</v>
      </c>
      <c r="G22" s="26" t="n">
        <f aca="false">Podsumowanie!E64</f>
        <v>3428.56</v>
      </c>
      <c r="H22" s="26" t="n">
        <f aca="false">B22-E22</f>
        <v>-2009.63</v>
      </c>
      <c r="I22" s="26" t="n">
        <f aca="false">C22-F22</f>
        <v>-2009.63</v>
      </c>
      <c r="J22" s="26" t="n">
        <f aca="false">D22-G22</f>
        <v>-1607.68</v>
      </c>
      <c r="K22" s="28" t="n">
        <v>19750</v>
      </c>
      <c r="L22" s="21" t="n">
        <v>1</v>
      </c>
      <c r="N22" s="21" t="n">
        <v>6</v>
      </c>
    </row>
    <row r="23" customFormat="false" ht="15" hidden="false" customHeight="true" outlineLevel="0" collapsed="false">
      <c r="A23" s="27" t="s">
        <v>33</v>
      </c>
      <c r="B23" s="26" t="n">
        <f aca="false">Podsumowanie!D65</f>
        <v>118493.71</v>
      </c>
      <c r="C23" s="26" t="n">
        <f aca="false">Podsumowanie!D66</f>
        <v>118493.71</v>
      </c>
      <c r="D23" s="26" t="n">
        <f aca="false">Podsumowanie!D67</f>
        <v>94794.97</v>
      </c>
      <c r="E23" s="26" t="n">
        <f aca="false">Podsumowanie!E65</f>
        <v>118500</v>
      </c>
      <c r="F23" s="26" t="n">
        <f aca="false">Podsumowanie!E66</f>
        <v>118500</v>
      </c>
      <c r="G23" s="26" t="n">
        <f aca="false">Podsumowanie!E67</f>
        <v>94800</v>
      </c>
      <c r="H23" s="26" t="n">
        <f aca="false">B23-E23</f>
        <v>-6.2899999999936</v>
      </c>
      <c r="I23" s="26" t="n">
        <f aca="false">C23-F23</f>
        <v>-6.2899999999936</v>
      </c>
      <c r="J23" s="26" t="n">
        <f aca="false">D23-G23</f>
        <v>-5.02999999999884</v>
      </c>
    </row>
    <row r="24" customFormat="false" ht="15" hidden="false" customHeight="true" outlineLevel="0" collapsed="false">
      <c r="A24" s="25" t="s">
        <v>34</v>
      </c>
      <c r="B24" s="26" t="n">
        <f aca="false">Podsumowanie!D68</f>
        <v>0</v>
      </c>
      <c r="C24" s="26" t="n">
        <f aca="false">Podsumowanie!D69</f>
        <v>0</v>
      </c>
      <c r="D24" s="26" t="n">
        <f aca="false">Podsumowanie!D70</f>
        <v>0</v>
      </c>
      <c r="E24" s="26" t="n">
        <f aca="false">Podsumowanie!E68</f>
        <v>1103935.71</v>
      </c>
      <c r="F24" s="26" t="n">
        <f aca="false">Podsumowanie!E69</f>
        <v>1103935.71</v>
      </c>
      <c r="G24" s="26" t="n">
        <f aca="false">Podsumowanie!E70</f>
        <v>883148.56</v>
      </c>
      <c r="H24" s="26" t="n">
        <f aca="false">B24-E24</f>
        <v>-1103935.71</v>
      </c>
      <c r="I24" s="26" t="n">
        <f aca="false">C24-F24</f>
        <v>-1103935.71</v>
      </c>
      <c r="J24" s="26" t="n">
        <f aca="false">D24-G24</f>
        <v>-883148.56</v>
      </c>
    </row>
    <row r="25" customFormat="false" ht="15" hidden="false" customHeight="true" outlineLevel="0" collapsed="false">
      <c r="A25" s="27" t="s">
        <v>35</v>
      </c>
      <c r="B25" s="26" t="n">
        <f aca="false">Podsumowanie!D71</f>
        <v>0</v>
      </c>
      <c r="C25" s="26" t="n">
        <f aca="false">Podsumowanie!D72</f>
        <v>0</v>
      </c>
      <c r="D25" s="26" t="n">
        <f aca="false">Podsumowanie!D73</f>
        <v>0</v>
      </c>
      <c r="E25" s="26" t="n">
        <f aca="false">Podsumowanie!E71</f>
        <v>332400</v>
      </c>
      <c r="F25" s="26" t="n">
        <f aca="false">Podsumowanie!E72</f>
        <v>332400</v>
      </c>
      <c r="G25" s="26" t="n">
        <f aca="false">Podsumowanie!E73</f>
        <v>265920</v>
      </c>
      <c r="H25" s="26" t="n">
        <f aca="false">B25-E25</f>
        <v>-332400</v>
      </c>
      <c r="I25" s="26" t="n">
        <f aca="false">C25-F25</f>
        <v>-332400</v>
      </c>
      <c r="J25" s="26" t="n">
        <f aca="false">D25-G25</f>
        <v>-265920</v>
      </c>
      <c r="K25" s="28" t="n">
        <v>27700</v>
      </c>
    </row>
    <row r="26" customFormat="false" ht="15" hidden="false" customHeight="true" outlineLevel="0" collapsed="false">
      <c r="A26" s="27" t="s">
        <v>36</v>
      </c>
      <c r="B26" s="26" t="n">
        <f aca="false">Podsumowanie!D74</f>
        <v>0</v>
      </c>
      <c r="C26" s="26" t="n">
        <f aca="false">Podsumowanie!D75</f>
        <v>0</v>
      </c>
      <c r="D26" s="26" t="n">
        <f aca="false">Podsumowanie!D76</f>
        <v>0</v>
      </c>
      <c r="E26" s="26" t="n">
        <f aca="false">Podsumowanie!E74</f>
        <v>113160</v>
      </c>
      <c r="F26" s="26" t="n">
        <f aca="false">Podsumowanie!E75</f>
        <v>113160</v>
      </c>
      <c r="G26" s="26" t="n">
        <f aca="false">Podsumowanie!E76</f>
        <v>90528</v>
      </c>
      <c r="H26" s="26" t="n">
        <f aca="false">B26-E26</f>
        <v>-113160</v>
      </c>
      <c r="I26" s="26" t="n">
        <f aca="false">C26-F26</f>
        <v>-113160</v>
      </c>
      <c r="J26" s="26" t="n">
        <f aca="false">D26-G26</f>
        <v>-90528</v>
      </c>
      <c r="K26" s="28" t="n">
        <v>18860</v>
      </c>
    </row>
    <row r="27" s="31" customFormat="true" ht="15" hidden="false" customHeight="true" outlineLevel="0" collapsed="false">
      <c r="A27" s="29" t="s">
        <v>37</v>
      </c>
      <c r="B27" s="30" t="n">
        <f aca="false">Podsumowanie!D77</f>
        <v>0</v>
      </c>
      <c r="C27" s="30" t="n">
        <f aca="false">Podsumowanie!D78</f>
        <v>0</v>
      </c>
      <c r="D27" s="30" t="n">
        <f aca="false">Podsumowanie!D79</f>
        <v>0</v>
      </c>
      <c r="E27" s="30" t="n">
        <f aca="false">Podsumowanie!E77</f>
        <v>162660</v>
      </c>
      <c r="F27" s="30" t="n">
        <f aca="false">Podsumowanie!E78</f>
        <v>162660</v>
      </c>
      <c r="G27" s="30" t="n">
        <f aca="false">Podsumowanie!E79</f>
        <v>130128</v>
      </c>
      <c r="H27" s="30" t="n">
        <f aca="false">B27-E27</f>
        <v>-162660</v>
      </c>
      <c r="I27" s="30" t="n">
        <f aca="false">C27-F27</f>
        <v>-162660</v>
      </c>
      <c r="J27" s="30" t="n">
        <f aca="false">D27-G27</f>
        <v>-130128</v>
      </c>
      <c r="K27" s="28" t="n">
        <v>13555</v>
      </c>
    </row>
    <row r="28" customFormat="false" ht="15" hidden="false" customHeight="true" outlineLevel="0" collapsed="false">
      <c r="A28" s="27" t="s">
        <v>38</v>
      </c>
      <c r="B28" s="26" t="n">
        <f aca="false">Podsumowanie!D80</f>
        <v>0</v>
      </c>
      <c r="C28" s="26" t="n">
        <f aca="false">Podsumowanie!D81</f>
        <v>0</v>
      </c>
      <c r="D28" s="26" t="n">
        <f aca="false">Podsumowanie!D82</f>
        <v>0</v>
      </c>
      <c r="E28" s="26" t="n">
        <f aca="false">Podsumowanie!E80</f>
        <v>123750</v>
      </c>
      <c r="F28" s="26" t="n">
        <f aca="false">Podsumowanie!E81</f>
        <v>123750</v>
      </c>
      <c r="G28" s="26" t="n">
        <f aca="false">Podsumowanie!E82</f>
        <v>99000</v>
      </c>
      <c r="H28" s="26" t="n">
        <f aca="false">B28-E28</f>
        <v>-123750</v>
      </c>
      <c r="I28" s="26" t="n">
        <f aca="false">C28-F28</f>
        <v>-123750</v>
      </c>
      <c r="J28" s="26" t="n">
        <f aca="false">D28-G28</f>
        <v>-99000</v>
      </c>
      <c r="K28" s="28" t="n">
        <v>10312.5</v>
      </c>
    </row>
    <row r="29" customFormat="false" ht="15" hidden="false" customHeight="true" outlineLevel="0" collapsed="false">
      <c r="A29" s="27" t="s">
        <v>39</v>
      </c>
      <c r="B29" s="26" t="n">
        <f aca="false">Podsumowanie!D83</f>
        <v>0</v>
      </c>
      <c r="C29" s="26" t="n">
        <f aca="false">Podsumowanie!D84</f>
        <v>0</v>
      </c>
      <c r="D29" s="26" t="n">
        <f aca="false">Podsumowanie!D85</f>
        <v>0</v>
      </c>
      <c r="E29" s="26" t="n">
        <f aca="false">Podsumowanie!E83</f>
        <v>44640</v>
      </c>
      <c r="F29" s="26" t="n">
        <f aca="false">Podsumowanie!E84</f>
        <v>44640</v>
      </c>
      <c r="G29" s="26" t="n">
        <f aca="false">Podsumowanie!E85</f>
        <v>35712</v>
      </c>
      <c r="H29" s="26" t="n">
        <f aca="false">B29-E29</f>
        <v>-44640</v>
      </c>
      <c r="I29" s="26" t="n">
        <f aca="false">C29-F29</f>
        <v>-44640</v>
      </c>
      <c r="J29" s="26" t="n">
        <f aca="false">D29-G29</f>
        <v>-35712</v>
      </c>
      <c r="K29" s="28" t="n">
        <v>7440</v>
      </c>
    </row>
    <row r="30" customFormat="false" ht="15" hidden="false" customHeight="true" outlineLevel="0" collapsed="false">
      <c r="A30" s="27" t="s">
        <v>40</v>
      </c>
      <c r="B30" s="26" t="n">
        <f aca="false">Podsumowanie!D86</f>
        <v>0</v>
      </c>
      <c r="C30" s="26" t="n">
        <f aca="false">Podsumowanie!D87</f>
        <v>0</v>
      </c>
      <c r="D30" s="26" t="n">
        <f aca="false">Podsumowanie!D88</f>
        <v>0</v>
      </c>
      <c r="E30" s="26" t="n">
        <f aca="false">Podsumowanie!E86</f>
        <v>123750</v>
      </c>
      <c r="F30" s="26" t="n">
        <f aca="false">Podsumowanie!E87</f>
        <v>123750</v>
      </c>
      <c r="G30" s="26" t="n">
        <f aca="false">Podsumowanie!E88</f>
        <v>99000</v>
      </c>
      <c r="H30" s="26" t="n">
        <f aca="false">B30-E30</f>
        <v>-123750</v>
      </c>
      <c r="I30" s="26" t="n">
        <f aca="false">C30-F30</f>
        <v>-123750</v>
      </c>
      <c r="J30" s="26" t="n">
        <f aca="false">D30-G30</f>
        <v>-99000</v>
      </c>
      <c r="K30" s="21" t="n">
        <v>13465</v>
      </c>
    </row>
    <row r="31" s="31" customFormat="true" ht="15" hidden="false" customHeight="true" outlineLevel="0" collapsed="false">
      <c r="A31" s="29" t="s">
        <v>41</v>
      </c>
      <c r="B31" s="30" t="n">
        <f aca="false">Podsumowanie!D89</f>
        <v>0</v>
      </c>
      <c r="C31" s="30" t="n">
        <f aca="false">Podsumowanie!D90</f>
        <v>0</v>
      </c>
      <c r="D31" s="30" t="n">
        <f aca="false">Podsumowanie!D91</f>
        <v>0</v>
      </c>
      <c r="E31" s="30" t="n">
        <f aca="false">Podsumowanie!E89</f>
        <v>80790</v>
      </c>
      <c r="F31" s="30" t="n">
        <f aca="false">Podsumowanie!E90</f>
        <v>80790</v>
      </c>
      <c r="G31" s="30" t="n">
        <f aca="false">Podsumowanie!E91</f>
        <v>64632</v>
      </c>
      <c r="H31" s="30" t="n">
        <f aca="false">B31-E31</f>
        <v>-80790</v>
      </c>
      <c r="I31" s="30" t="n">
        <f aca="false">C31-F31</f>
        <v>-80790</v>
      </c>
      <c r="J31" s="30" t="n">
        <f aca="false">D31-G31</f>
        <v>-64632</v>
      </c>
      <c r="K31" s="28" t="n">
        <v>20625</v>
      </c>
    </row>
    <row r="32" customFormat="false" ht="15" hidden="false" customHeight="true" outlineLevel="0" collapsed="false">
      <c r="A32" s="27" t="s">
        <v>42</v>
      </c>
      <c r="B32" s="26" t="n">
        <f aca="false">Podsumowanie!D92</f>
        <v>0</v>
      </c>
      <c r="C32" s="26" t="n">
        <f aca="false">Podsumowanie!D93</f>
        <v>0</v>
      </c>
      <c r="D32" s="26" t="n">
        <f aca="false">Podsumowanie!D94</f>
        <v>0</v>
      </c>
      <c r="E32" s="26" t="n">
        <f aca="false">Podsumowanie!E92</f>
        <v>4285.71</v>
      </c>
      <c r="F32" s="26" t="n">
        <f aca="false">Podsumowanie!E93</f>
        <v>4285.71</v>
      </c>
      <c r="G32" s="26" t="n">
        <f aca="false">Podsumowanie!E94</f>
        <v>3428.56</v>
      </c>
      <c r="H32" s="26" t="n">
        <f aca="false">B32-E32</f>
        <v>-4285.71</v>
      </c>
      <c r="I32" s="26" t="n">
        <f aca="false">C32-F32</f>
        <v>-4285.71</v>
      </c>
      <c r="J32" s="26" t="n">
        <f aca="false">D32-G32</f>
        <v>-3428.56</v>
      </c>
    </row>
    <row r="33" customFormat="false" ht="15" hidden="false" customHeight="true" outlineLevel="0" collapsed="false">
      <c r="A33" s="27" t="s">
        <v>43</v>
      </c>
      <c r="B33" s="26" t="n">
        <f aca="false">Podsumowanie!D95</f>
        <v>0</v>
      </c>
      <c r="C33" s="26" t="n">
        <f aca="false">Podsumowanie!D96</f>
        <v>0</v>
      </c>
      <c r="D33" s="26" t="n">
        <f aca="false">Podsumowanie!D97</f>
        <v>0</v>
      </c>
      <c r="E33" s="26" t="n">
        <f aca="false">Podsumowanie!E95</f>
        <v>118500</v>
      </c>
      <c r="F33" s="26" t="n">
        <f aca="false">Podsumowanie!E96</f>
        <v>118500</v>
      </c>
      <c r="G33" s="26" t="n">
        <f aca="false">Podsumowanie!E97</f>
        <v>94800</v>
      </c>
      <c r="H33" s="26" t="n">
        <f aca="false">B33-E33</f>
        <v>-118500</v>
      </c>
      <c r="I33" s="26" t="n">
        <f aca="false">C33-F33</f>
        <v>-118500</v>
      </c>
      <c r="J33" s="26" t="n">
        <f aca="false">D33-G33</f>
        <v>-94800</v>
      </c>
      <c r="K33" s="28" t="n">
        <v>19750</v>
      </c>
    </row>
    <row r="34" customFormat="false" ht="15" hidden="false" customHeight="true" outlineLevel="0" collapsed="false">
      <c r="A34" s="25" t="s">
        <v>44</v>
      </c>
      <c r="B34" s="26" t="n">
        <f aca="false">Podsumowanie!D98</f>
        <v>0</v>
      </c>
      <c r="C34" s="26" t="n">
        <f aca="false">Podsumowanie!D99</f>
        <v>0</v>
      </c>
      <c r="D34" s="26" t="n">
        <f aca="false">Podsumowanie!D100</f>
        <v>0</v>
      </c>
      <c r="E34" s="26" t="n">
        <f aca="false">Podsumowanie!E98</f>
        <v>698237.14</v>
      </c>
      <c r="F34" s="26" t="n">
        <f aca="false">Podsumowanie!E99</f>
        <v>698237.14</v>
      </c>
      <c r="G34" s="26" t="n">
        <f aca="false">Podsumowanie!E100</f>
        <v>418942.28</v>
      </c>
      <c r="H34" s="26" t="n">
        <f aca="false">B34-E34</f>
        <v>-698237.14</v>
      </c>
      <c r="I34" s="26" t="n">
        <f aca="false">C34-F34</f>
        <v>-698237.14</v>
      </c>
      <c r="J34" s="26" t="n">
        <f aca="false">D34-G34</f>
        <v>-418942.28</v>
      </c>
    </row>
    <row r="35" customFormat="false" ht="15" hidden="false" customHeight="true" outlineLevel="0" collapsed="false">
      <c r="A35" s="27" t="s">
        <v>45</v>
      </c>
      <c r="B35" s="26" t="n">
        <f aca="false">Podsumowanie!D101</f>
        <v>0</v>
      </c>
      <c r="C35" s="26" t="n">
        <f aca="false">Podsumowanie!D102</f>
        <v>0</v>
      </c>
      <c r="D35" s="26" t="n">
        <f aca="false">Podsumowanie!D103</f>
        <v>0</v>
      </c>
      <c r="E35" s="26" t="n">
        <f aca="false">Podsumowanie!E101</f>
        <v>221600</v>
      </c>
      <c r="F35" s="26" t="n">
        <f aca="false">Podsumowanie!E102</f>
        <v>221600</v>
      </c>
      <c r="G35" s="26" t="n">
        <f aca="false">Podsumowanie!E103</f>
        <v>132960</v>
      </c>
      <c r="H35" s="26" t="n">
        <f aca="false">B35-E35</f>
        <v>-221600</v>
      </c>
      <c r="I35" s="26" t="n">
        <f aca="false">C35-F35</f>
        <v>-221600</v>
      </c>
      <c r="J35" s="26" t="n">
        <f aca="false">D35-G35</f>
        <v>-132960</v>
      </c>
      <c r="K35" s="28" t="n">
        <v>27700</v>
      </c>
    </row>
    <row r="36" customFormat="false" ht="15" hidden="false" customHeight="true" outlineLevel="0" collapsed="false">
      <c r="A36" s="27" t="s">
        <v>46</v>
      </c>
      <c r="B36" s="26" t="n">
        <f aca="false">Podsumowanie!D104</f>
        <v>0</v>
      </c>
      <c r="C36" s="26" t="n">
        <f aca="false">Podsumowanie!D105</f>
        <v>0</v>
      </c>
      <c r="D36" s="26" t="n">
        <f aca="false">Podsumowanie!D106</f>
        <v>0</v>
      </c>
      <c r="E36" s="26" t="n">
        <f aca="false">Podsumowanie!E104</f>
        <v>37720</v>
      </c>
      <c r="F36" s="26" t="n">
        <f aca="false">Podsumowanie!E105</f>
        <v>37720</v>
      </c>
      <c r="G36" s="26" t="n">
        <f aca="false">Podsumowanie!E106</f>
        <v>22632</v>
      </c>
      <c r="H36" s="26" t="n">
        <f aca="false">B36-E36</f>
        <v>-37720</v>
      </c>
      <c r="I36" s="26" t="n">
        <f aca="false">C36-F36</f>
        <v>-37720</v>
      </c>
      <c r="J36" s="26" t="n">
        <f aca="false">D36-G36</f>
        <v>-22632</v>
      </c>
      <c r="K36" s="28" t="n">
        <v>18860</v>
      </c>
    </row>
    <row r="37" s="31" customFormat="true" ht="15" hidden="false" customHeight="true" outlineLevel="0" collapsed="false">
      <c r="A37" s="29" t="s">
        <v>47</v>
      </c>
      <c r="B37" s="30" t="n">
        <f aca="false">Podsumowanie!D107</f>
        <v>0</v>
      </c>
      <c r="C37" s="30" t="n">
        <f aca="false">Podsumowanie!D108</f>
        <v>0</v>
      </c>
      <c r="D37" s="30" t="n">
        <f aca="false">Podsumowanie!D109</f>
        <v>0</v>
      </c>
      <c r="E37" s="30" t="n">
        <f aca="false">Podsumowanie!E107</f>
        <v>108440</v>
      </c>
      <c r="F37" s="30" t="n">
        <f aca="false">Podsumowanie!E108</f>
        <v>108440</v>
      </c>
      <c r="G37" s="30" t="n">
        <f aca="false">Podsumowanie!E109</f>
        <v>65064</v>
      </c>
      <c r="H37" s="30" t="n">
        <f aca="false">B37-E37</f>
        <v>-108440</v>
      </c>
      <c r="I37" s="30" t="n">
        <f aca="false">C37-F37</f>
        <v>-108440</v>
      </c>
      <c r="J37" s="30" t="n">
        <f aca="false">D37-G37</f>
        <v>-65064</v>
      </c>
      <c r="K37" s="28" t="n">
        <v>13555</v>
      </c>
    </row>
    <row r="38" customFormat="false" ht="15" hidden="false" customHeight="true" outlineLevel="0" collapsed="false">
      <c r="A38" s="27" t="s">
        <v>48</v>
      </c>
      <c r="B38" s="26" t="n">
        <f aca="false">Podsumowanie!D110</f>
        <v>0</v>
      </c>
      <c r="C38" s="26" t="n">
        <f aca="false">Podsumowanie!D111</f>
        <v>0</v>
      </c>
      <c r="D38" s="26" t="n">
        <f aca="false">Podsumowanie!D112</f>
        <v>0</v>
      </c>
      <c r="E38" s="26" t="n">
        <f aca="false">Podsumowanie!E110</f>
        <v>82500</v>
      </c>
      <c r="F38" s="26" t="n">
        <f aca="false">Podsumowanie!E111</f>
        <v>82500</v>
      </c>
      <c r="G38" s="26" t="n">
        <f aca="false">Podsumowanie!E112</f>
        <v>49500</v>
      </c>
      <c r="H38" s="26" t="n">
        <f aca="false">B38-E38</f>
        <v>-82500</v>
      </c>
      <c r="I38" s="26" t="n">
        <f aca="false">C38-F38</f>
        <v>-82500</v>
      </c>
      <c r="J38" s="26" t="n">
        <f aca="false">D38-G38</f>
        <v>-49500</v>
      </c>
      <c r="K38" s="28" t="n">
        <v>10312.5</v>
      </c>
    </row>
    <row r="39" customFormat="false" ht="15" hidden="false" customHeight="true" outlineLevel="0" collapsed="false">
      <c r="A39" s="27" t="s">
        <v>49</v>
      </c>
      <c r="B39" s="26" t="n">
        <f aca="false">Podsumowanie!D113</f>
        <v>0</v>
      </c>
      <c r="C39" s="26" t="n">
        <f aca="false">Podsumowanie!D114</f>
        <v>0</v>
      </c>
      <c r="D39" s="26" t="n">
        <f aca="false">Podsumowanie!D115</f>
        <v>0</v>
      </c>
      <c r="E39" s="26" t="n">
        <f aca="false">Podsumowanie!E113</f>
        <v>29760</v>
      </c>
      <c r="F39" s="26" t="n">
        <f aca="false">Podsumowanie!E114</f>
        <v>29760</v>
      </c>
      <c r="G39" s="26" t="n">
        <f aca="false">Podsumowanie!E115</f>
        <v>17856</v>
      </c>
      <c r="H39" s="26" t="n">
        <f aca="false">B39-E39</f>
        <v>-29760</v>
      </c>
      <c r="I39" s="26" t="n">
        <f aca="false">C39-F39</f>
        <v>-29760</v>
      </c>
      <c r="J39" s="26" t="n">
        <f aca="false">D39-G39</f>
        <v>-17856</v>
      </c>
      <c r="K39" s="28" t="n">
        <v>7440</v>
      </c>
    </row>
    <row r="40" customFormat="false" ht="15" hidden="false" customHeight="true" outlineLevel="0" collapsed="false">
      <c r="A40" s="27" t="s">
        <v>50</v>
      </c>
      <c r="B40" s="26" t="n">
        <f aca="false">Podsumowanie!D116</f>
        <v>0</v>
      </c>
      <c r="C40" s="26" t="n">
        <f aca="false">Podsumowanie!D117</f>
        <v>0</v>
      </c>
      <c r="D40" s="26" t="n">
        <f aca="false">Podsumowanie!D118</f>
        <v>0</v>
      </c>
      <c r="E40" s="26" t="n">
        <f aca="false">Podsumowanie!E116</f>
        <v>82500</v>
      </c>
      <c r="F40" s="26" t="n">
        <f aca="false">Podsumowanie!E117</f>
        <v>82500</v>
      </c>
      <c r="G40" s="26" t="n">
        <f aca="false">Podsumowanie!E118</f>
        <v>49500</v>
      </c>
      <c r="H40" s="26" t="n">
        <f aca="false">B40-E40</f>
        <v>-82500</v>
      </c>
      <c r="I40" s="26" t="n">
        <f aca="false">C40-F40</f>
        <v>-82500</v>
      </c>
      <c r="J40" s="26" t="n">
        <f aca="false">D40-G40</f>
        <v>-49500</v>
      </c>
      <c r="K40" s="21" t="n">
        <v>13465</v>
      </c>
    </row>
    <row r="41" customFormat="false" ht="15" hidden="false" customHeight="true" outlineLevel="0" collapsed="false">
      <c r="A41" s="27" t="s">
        <v>51</v>
      </c>
      <c r="B41" s="26" t="n">
        <f aca="false">Podsumowanie!D119</f>
        <v>0</v>
      </c>
      <c r="C41" s="26" t="n">
        <f aca="false">Podsumowanie!D120</f>
        <v>0</v>
      </c>
      <c r="D41" s="26" t="n">
        <f aca="false">Podsumowanie!D121</f>
        <v>0</v>
      </c>
      <c r="E41" s="26" t="n">
        <f aca="false">Podsumowanie!E119</f>
        <v>2857.14</v>
      </c>
      <c r="F41" s="26" t="n">
        <f aca="false">Podsumowanie!E120</f>
        <v>2857.14</v>
      </c>
      <c r="G41" s="26" t="n">
        <f aca="false">Podsumowanie!E121</f>
        <v>1714.28</v>
      </c>
      <c r="H41" s="26" t="n">
        <f aca="false">B41-E41</f>
        <v>-2857.14</v>
      </c>
      <c r="I41" s="26" t="n">
        <f aca="false">C41-F41</f>
        <v>-2857.14</v>
      </c>
      <c r="J41" s="26" t="n">
        <f aca="false">D41-G41</f>
        <v>-1714.28</v>
      </c>
      <c r="K41" s="28" t="n">
        <v>20625</v>
      </c>
    </row>
    <row r="42" customFormat="false" ht="15" hidden="false" customHeight="true" outlineLevel="0" collapsed="false">
      <c r="A42" s="27" t="s">
        <v>52</v>
      </c>
      <c r="B42" s="26" t="n">
        <f aca="false">Podsumowanie!D122</f>
        <v>0</v>
      </c>
      <c r="C42" s="26" t="n">
        <f aca="false">Podsumowanie!D123</f>
        <v>0</v>
      </c>
      <c r="D42" s="26" t="n">
        <f aca="false">Podsumowanie!D124</f>
        <v>0</v>
      </c>
      <c r="E42" s="26" t="n">
        <f aca="false">Podsumowanie!E122</f>
        <v>79000</v>
      </c>
      <c r="F42" s="26" t="n">
        <f aca="false">Podsumowanie!E123</f>
        <v>79000</v>
      </c>
      <c r="G42" s="26" t="n">
        <f aca="false">Podsumowanie!E124</f>
        <v>47400</v>
      </c>
      <c r="H42" s="26" t="n">
        <f aca="false">B42-E42</f>
        <v>-79000</v>
      </c>
      <c r="I42" s="26" t="n">
        <f aca="false">C42-F42</f>
        <v>-79000</v>
      </c>
      <c r="J42" s="26" t="n">
        <f aca="false">D42-G42</f>
        <v>-47400</v>
      </c>
    </row>
    <row r="43" s="31" customFormat="true" ht="15" hidden="false" customHeight="true" outlineLevel="0" collapsed="false">
      <c r="A43" s="29" t="s">
        <v>53</v>
      </c>
      <c r="B43" s="30" t="n">
        <f aca="false">Podsumowanie!D125</f>
        <v>0</v>
      </c>
      <c r="C43" s="30" t="n">
        <f aca="false">Podsumowanie!D126</f>
        <v>0</v>
      </c>
      <c r="D43" s="30" t="n">
        <f aca="false">Podsumowanie!D127</f>
        <v>0</v>
      </c>
      <c r="E43" s="30" t="n">
        <f aca="false">Podsumowanie!E125</f>
        <v>53860</v>
      </c>
      <c r="F43" s="30" t="n">
        <f aca="false">Podsumowanie!E126</f>
        <v>53860</v>
      </c>
      <c r="G43" s="30" t="n">
        <f aca="false">Podsumowanie!E127</f>
        <v>32316</v>
      </c>
      <c r="H43" s="30" t="n">
        <f aca="false">B43-E43</f>
        <v>-53860</v>
      </c>
      <c r="I43" s="30" t="n">
        <f aca="false">C43-F43</f>
        <v>-53860</v>
      </c>
      <c r="J43" s="30" t="n">
        <f aca="false">D43-G43</f>
        <v>-32316</v>
      </c>
      <c r="K43" s="28" t="n">
        <v>19750</v>
      </c>
    </row>
    <row r="57" customFormat="false" ht="27.75" hidden="false" customHeight="true" outlineLevel="0" collapsed="false"/>
  </sheetData>
  <autoFilter ref="A2:G43">
    <filterColumn colId="0" hiddenButton="1"/>
    <filterColumn colId="1" hiddenButton="1"/>
    <filterColumn colId="2" hiddenButton="1"/>
    <filterColumn colId="3" hiddenButton="1"/>
  </autoFilter>
  <mergeCells count="3">
    <mergeCell ref="B1:D1"/>
    <mergeCell ref="E1:G1"/>
    <mergeCell ref="H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1" colorId="64" zoomScale="101" zoomScaleNormal="101" zoomScalePageLayoutView="100" workbookViewId="0">
      <selection pane="topLeft" activeCell="A9" activeCellId="0" sqref="A9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7.5"/>
    <col collapsed="false" customWidth="true" hidden="false" outlineLevel="0" max="2" min="2" style="1" width="26.83"/>
    <col collapsed="false" customWidth="true" hidden="false" outlineLevel="0" max="14" min="14" style="1" width="17.5"/>
    <col collapsed="false" customWidth="true" hidden="false" outlineLevel="0" max="15" min="15" style="1" width="26.83"/>
  </cols>
  <sheetData>
    <row r="1" customFormat="false" ht="15" hidden="false" customHeight="true" outlineLevel="0" collapsed="false">
      <c r="D1" s="1" t="s">
        <v>119</v>
      </c>
      <c r="F1" s="1" t="s">
        <v>120</v>
      </c>
      <c r="H1" s="1" t="s">
        <v>121</v>
      </c>
      <c r="J1" s="1" t="s">
        <v>122</v>
      </c>
    </row>
    <row r="2" customFormat="false" ht="15" hidden="false" customHeight="true" outlineLevel="0" collapsed="false">
      <c r="A2" s="1" t="s">
        <v>123</v>
      </c>
      <c r="B2" s="1" t="s">
        <v>124</v>
      </c>
      <c r="C2" s="1" t="s">
        <v>111</v>
      </c>
      <c r="D2" s="1" t="s">
        <v>114</v>
      </c>
      <c r="E2" s="1" t="s">
        <v>125</v>
      </c>
      <c r="F2" s="1" t="s">
        <v>114</v>
      </c>
      <c r="G2" s="1" t="s">
        <v>125</v>
      </c>
      <c r="H2" s="1" t="s">
        <v>114</v>
      </c>
      <c r="I2" s="1" t="s">
        <v>125</v>
      </c>
      <c r="J2" s="1" t="s">
        <v>114</v>
      </c>
      <c r="K2" s="1" t="s">
        <v>125</v>
      </c>
    </row>
    <row r="3" customFormat="false" ht="15" hidden="false" customHeight="true" outlineLevel="0" collapsed="false">
      <c r="A3" s="32" t="s">
        <v>126</v>
      </c>
      <c r="B3" s="33" t="s">
        <v>127</v>
      </c>
      <c r="C3" s="28" t="n">
        <v>7440</v>
      </c>
      <c r="D3" s="1" t="n">
        <v>5</v>
      </c>
      <c r="E3" s="1" t="n">
        <f aca="false">C3*D3</f>
        <v>37200</v>
      </c>
      <c r="F3" s="1" t="n">
        <v>6</v>
      </c>
      <c r="G3" s="1" t="n">
        <f aca="false">C3*F3</f>
        <v>44640</v>
      </c>
      <c r="H3" s="1" t="n">
        <v>6</v>
      </c>
      <c r="I3" s="1" t="n">
        <f aca="false">C3*H3</f>
        <v>44640</v>
      </c>
      <c r="J3" s="1" t="n">
        <v>4</v>
      </c>
      <c r="K3" s="1" t="n">
        <f aca="false">C3*J3</f>
        <v>29760</v>
      </c>
    </row>
    <row r="4" customFormat="false" ht="15" hidden="false" customHeight="true" outlineLevel="0" collapsed="false">
      <c r="A4" s="34" t="s">
        <v>128</v>
      </c>
      <c r="B4" s="33" t="s">
        <v>129</v>
      </c>
      <c r="C4" s="28" t="n">
        <v>18860</v>
      </c>
      <c r="D4" s="1" t="n">
        <v>5</v>
      </c>
      <c r="E4" s="1" t="n">
        <f aca="false">C4*D4</f>
        <v>94300</v>
      </c>
      <c r="F4" s="1" t="n">
        <v>6</v>
      </c>
      <c r="G4" s="1" t="n">
        <f aca="false">C4*F4</f>
        <v>113160</v>
      </c>
      <c r="H4" s="1" t="n">
        <v>6</v>
      </c>
      <c r="I4" s="1" t="n">
        <f aca="false">C4*H4</f>
        <v>113160</v>
      </c>
      <c r="J4" s="1" t="n">
        <v>4</v>
      </c>
      <c r="K4" s="1" t="n">
        <f aca="false">C4*J4</f>
        <v>75440</v>
      </c>
    </row>
    <row r="5" customFormat="false" ht="15" hidden="false" customHeight="true" outlineLevel="0" collapsed="false">
      <c r="A5" s="35" t="s">
        <v>130</v>
      </c>
      <c r="B5" s="36" t="s">
        <v>131</v>
      </c>
      <c r="C5" s="28" t="n">
        <v>13555</v>
      </c>
      <c r="D5" s="1" t="n">
        <v>5</v>
      </c>
      <c r="E5" s="1" t="n">
        <f aca="false">C5*D5</f>
        <v>67775</v>
      </c>
      <c r="F5" s="1" t="n">
        <v>6</v>
      </c>
      <c r="G5" s="1" t="n">
        <f aca="false">C5*F5</f>
        <v>81330</v>
      </c>
      <c r="H5" s="1" t="n">
        <v>6</v>
      </c>
      <c r="I5" s="1" t="n">
        <f aca="false">C5*H5</f>
        <v>81330</v>
      </c>
      <c r="J5" s="1" t="n">
        <v>4</v>
      </c>
      <c r="K5" s="1" t="n">
        <f aca="false">C5*J5</f>
        <v>54220</v>
      </c>
    </row>
    <row r="6" customFormat="false" ht="15" hidden="false" customHeight="true" outlineLevel="0" collapsed="false">
      <c r="A6" s="37" t="s">
        <v>132</v>
      </c>
      <c r="B6" s="36" t="s">
        <v>131</v>
      </c>
      <c r="C6" s="28" t="n">
        <v>13555</v>
      </c>
      <c r="D6" s="1" t="n">
        <v>5</v>
      </c>
      <c r="E6" s="1" t="n">
        <f aca="false">C6*D6</f>
        <v>67775</v>
      </c>
      <c r="F6" s="1" t="n">
        <v>6</v>
      </c>
      <c r="G6" s="1" t="n">
        <f aca="false">C6*F6</f>
        <v>81330</v>
      </c>
      <c r="H6" s="1" t="n">
        <v>6</v>
      </c>
      <c r="I6" s="1" t="n">
        <f aca="false">C6*H6</f>
        <v>81330</v>
      </c>
      <c r="J6" s="1" t="n">
        <v>4</v>
      </c>
      <c r="K6" s="1" t="n">
        <f aca="false">C6*J6</f>
        <v>54220</v>
      </c>
    </row>
    <row r="7" customFormat="false" ht="15" hidden="false" customHeight="true" outlineLevel="0" collapsed="false">
      <c r="A7" s="34" t="s">
        <v>133</v>
      </c>
      <c r="B7" s="33" t="s">
        <v>134</v>
      </c>
      <c r="C7" s="28" t="n">
        <v>27700</v>
      </c>
      <c r="D7" s="1" t="n">
        <v>5</v>
      </c>
      <c r="E7" s="1" t="n">
        <f aca="false">C7*D7</f>
        <v>138500</v>
      </c>
      <c r="F7" s="1" t="n">
        <v>6</v>
      </c>
      <c r="G7" s="1" t="n">
        <f aca="false">C7*F7</f>
        <v>166200</v>
      </c>
      <c r="H7" s="1" t="n">
        <v>6</v>
      </c>
      <c r="I7" s="1" t="n">
        <f aca="false">C7*H7</f>
        <v>166200</v>
      </c>
      <c r="J7" s="1" t="n">
        <v>4</v>
      </c>
      <c r="K7" s="1" t="n">
        <f aca="false">C7*J7</f>
        <v>110800</v>
      </c>
    </row>
    <row r="8" customFormat="false" ht="15" hidden="false" customHeight="true" outlineLevel="0" collapsed="false">
      <c r="A8" s="37" t="s">
        <v>135</v>
      </c>
      <c r="B8" s="36" t="s">
        <v>136</v>
      </c>
      <c r="C8" s="21" t="n">
        <f aca="false">13465-C9</f>
        <v>4920</v>
      </c>
      <c r="D8" s="1" t="n">
        <v>5</v>
      </c>
      <c r="E8" s="1" t="n">
        <f aca="false">C8*D8</f>
        <v>24600</v>
      </c>
      <c r="F8" s="1" t="n">
        <v>6</v>
      </c>
      <c r="G8" s="1" t="n">
        <f aca="false">C8*F8</f>
        <v>29520</v>
      </c>
      <c r="H8" s="1" t="n">
        <v>6</v>
      </c>
      <c r="I8" s="1" t="n">
        <f aca="false">C8*H8</f>
        <v>29520</v>
      </c>
      <c r="J8" s="1" t="n">
        <v>4</v>
      </c>
      <c r="K8" s="1" t="n">
        <f aca="false">C8*J8</f>
        <v>19680</v>
      </c>
    </row>
    <row r="9" customFormat="false" ht="15" hidden="false" customHeight="true" outlineLevel="0" collapsed="false">
      <c r="A9" s="37" t="s">
        <v>118</v>
      </c>
      <c r="B9" s="36" t="s">
        <v>136</v>
      </c>
      <c r="C9" s="28" t="n">
        <v>8545</v>
      </c>
      <c r="D9" s="1" t="n">
        <v>5</v>
      </c>
      <c r="E9" s="1" t="n">
        <f aca="false">C9*D9</f>
        <v>42725</v>
      </c>
      <c r="F9" s="1" t="n">
        <v>6</v>
      </c>
      <c r="G9" s="1" t="n">
        <f aca="false">C9*F9</f>
        <v>51270</v>
      </c>
      <c r="H9" s="1" t="n">
        <v>6</v>
      </c>
      <c r="I9" s="1" t="n">
        <f aca="false">C9*H9</f>
        <v>51270</v>
      </c>
      <c r="J9" s="1" t="n">
        <v>4</v>
      </c>
      <c r="K9" s="1" t="n">
        <f aca="false">C9*J9</f>
        <v>34180</v>
      </c>
    </row>
    <row r="10" customFormat="false" ht="15" hidden="false" customHeight="true" outlineLevel="0" collapsed="false">
      <c r="A10" s="32" t="s">
        <v>137</v>
      </c>
      <c r="B10" s="33" t="s">
        <v>138</v>
      </c>
      <c r="C10" s="28" t="n">
        <v>19750</v>
      </c>
      <c r="D10" s="1" t="n">
        <v>5</v>
      </c>
      <c r="E10" s="1" t="n">
        <f aca="false">C10*D10</f>
        <v>98750</v>
      </c>
      <c r="F10" s="1" t="n">
        <v>6</v>
      </c>
      <c r="G10" s="1" t="n">
        <f aca="false">C10*F10</f>
        <v>118500</v>
      </c>
      <c r="H10" s="1" t="n">
        <v>6</v>
      </c>
      <c r="I10" s="1" t="n">
        <f aca="false">C10*H10</f>
        <v>118500</v>
      </c>
      <c r="J10" s="1" t="n">
        <v>4</v>
      </c>
      <c r="K10" s="1" t="n">
        <f aca="false">C10*J10</f>
        <v>79000</v>
      </c>
    </row>
    <row r="11" customFormat="false" ht="15" hidden="false" customHeight="true" outlineLevel="0" collapsed="false">
      <c r="A11" s="35" t="s">
        <v>139</v>
      </c>
      <c r="B11" s="36" t="s">
        <v>134</v>
      </c>
      <c r="C11" s="28" t="n">
        <v>27700</v>
      </c>
      <c r="D11" s="1" t="n">
        <v>5</v>
      </c>
      <c r="E11" s="1" t="n">
        <f aca="false">C11*D11</f>
        <v>138500</v>
      </c>
      <c r="F11" s="1" t="n">
        <v>6</v>
      </c>
      <c r="G11" s="1" t="n">
        <f aca="false">C11*F11</f>
        <v>166200</v>
      </c>
      <c r="H11" s="1" t="n">
        <v>6</v>
      </c>
      <c r="I11" s="1" t="n">
        <f aca="false">C11*H11</f>
        <v>166200</v>
      </c>
      <c r="J11" s="1" t="n">
        <v>4</v>
      </c>
      <c r="K11" s="1" t="n">
        <f aca="false">C11*J11</f>
        <v>110800</v>
      </c>
    </row>
    <row r="12" customFormat="false" ht="15" hidden="false" customHeight="true" outlineLevel="0" collapsed="false">
      <c r="A12" s="32" t="s">
        <v>140</v>
      </c>
      <c r="B12" s="33" t="s">
        <v>141</v>
      </c>
      <c r="C12" s="28" t="n">
        <v>20625</v>
      </c>
      <c r="D12" s="1" t="n">
        <v>5</v>
      </c>
      <c r="E12" s="1" t="n">
        <f aca="false">C12*D12</f>
        <v>103125</v>
      </c>
      <c r="F12" s="1" t="n">
        <v>6</v>
      </c>
      <c r="G12" s="1" t="n">
        <f aca="false">C12*F12</f>
        <v>123750</v>
      </c>
      <c r="H12" s="1" t="n">
        <v>6</v>
      </c>
      <c r="I12" s="1" t="n">
        <f aca="false">C12*H12</f>
        <v>123750</v>
      </c>
      <c r="J12" s="1" t="n">
        <v>4</v>
      </c>
      <c r="K12" s="1" t="n">
        <f aca="false">C12*J12</f>
        <v>82500</v>
      </c>
    </row>
    <row r="13" customFormat="false" ht="15" hidden="false" customHeight="true" outlineLevel="0" collapsed="false">
      <c r="A13" s="37" t="s">
        <v>142</v>
      </c>
      <c r="B13" s="36" t="s">
        <v>143</v>
      </c>
      <c r="C13" s="28" t="n">
        <v>10312.5</v>
      </c>
      <c r="D13" s="1" t="n">
        <v>5</v>
      </c>
      <c r="E13" s="1" t="n">
        <f aca="false">C13*D13</f>
        <v>51562.5</v>
      </c>
      <c r="F13" s="1" t="n">
        <v>6</v>
      </c>
      <c r="G13" s="1" t="n">
        <f aca="false">C13*F13</f>
        <v>61875</v>
      </c>
      <c r="H13" s="1" t="n">
        <v>6</v>
      </c>
      <c r="I13" s="1" t="n">
        <f aca="false">C13*H13</f>
        <v>61875</v>
      </c>
      <c r="J13" s="1" t="n">
        <v>4</v>
      </c>
      <c r="K13" s="1" t="n">
        <f aca="false">C13*J13</f>
        <v>41250</v>
      </c>
    </row>
    <row r="14" customFormat="false" ht="15" hidden="false" customHeight="true" outlineLevel="0" collapsed="false">
      <c r="A14" s="38" t="s">
        <v>144</v>
      </c>
      <c r="E14" s="1" t="n">
        <f aca="false">SUM(E3:E13)</f>
        <v>864812.5</v>
      </c>
      <c r="G14" s="1" t="n">
        <f aca="false">SUM(G3:G13)</f>
        <v>1037775</v>
      </c>
      <c r="I14" s="1" t="n">
        <f aca="false">SUM(I3:I13)</f>
        <v>1037775</v>
      </c>
      <c r="K14" s="1" t="n">
        <f aca="false">SUM(K3:K13)</f>
        <v>691850</v>
      </c>
    </row>
    <row r="16" customFormat="false" ht="15" hidden="false" customHeight="true" outlineLevel="0" collapsed="false">
      <c r="D16" s="1" t="s">
        <v>119</v>
      </c>
      <c r="F16" s="1" t="s">
        <v>120</v>
      </c>
      <c r="H16" s="1" t="s">
        <v>121</v>
      </c>
      <c r="J16" s="1" t="s">
        <v>122</v>
      </c>
    </row>
    <row r="17" customFormat="false" ht="15" hidden="false" customHeight="true" outlineLevel="0" collapsed="false">
      <c r="A17" s="1" t="s">
        <v>123</v>
      </c>
      <c r="B17" s="1" t="s">
        <v>124</v>
      </c>
      <c r="C17" s="1" t="s">
        <v>111</v>
      </c>
      <c r="D17" s="1" t="s">
        <v>114</v>
      </c>
      <c r="E17" s="1" t="s">
        <v>125</v>
      </c>
      <c r="F17" s="1" t="s">
        <v>114</v>
      </c>
      <c r="G17" s="1" t="s">
        <v>125</v>
      </c>
      <c r="H17" s="1" t="s">
        <v>114</v>
      </c>
      <c r="I17" s="1" t="s">
        <v>125</v>
      </c>
      <c r="J17" s="1" t="s">
        <v>114</v>
      </c>
      <c r="K17" s="1" t="s">
        <v>125</v>
      </c>
    </row>
    <row r="18" customFormat="false" ht="15" hidden="false" customHeight="true" outlineLevel="0" collapsed="false">
      <c r="A18" s="32" t="s">
        <v>126</v>
      </c>
      <c r="B18" s="33" t="s">
        <v>127</v>
      </c>
      <c r="C18" s="28" t="n">
        <v>7440</v>
      </c>
      <c r="D18" s="1" t="n">
        <v>5</v>
      </c>
      <c r="E18" s="1" t="n">
        <f aca="false">C18*D18</f>
        <v>37200</v>
      </c>
      <c r="F18" s="1" t="n">
        <v>6</v>
      </c>
      <c r="G18" s="1" t="n">
        <f aca="false">C18*F18</f>
        <v>44640</v>
      </c>
      <c r="H18" s="1" t="n">
        <v>8</v>
      </c>
      <c r="I18" s="1" t="n">
        <f aca="false">C18*H18</f>
        <v>59520</v>
      </c>
      <c r="J18" s="1" t="n">
        <v>4</v>
      </c>
      <c r="K18" s="1" t="n">
        <f aca="false">C18*J18</f>
        <v>29760</v>
      </c>
    </row>
    <row r="19" customFormat="false" ht="15" hidden="false" customHeight="true" outlineLevel="0" collapsed="false">
      <c r="A19" s="34" t="s">
        <v>128</v>
      </c>
      <c r="B19" s="33" t="s">
        <v>129</v>
      </c>
      <c r="C19" s="28" t="n">
        <v>18860</v>
      </c>
      <c r="D19" s="1" t="n">
        <v>5</v>
      </c>
      <c r="E19" s="1" t="n">
        <f aca="false">C19*D19</f>
        <v>94300</v>
      </c>
      <c r="F19" s="1" t="n">
        <v>6</v>
      </c>
      <c r="G19" s="1" t="n">
        <f aca="false">C19*F19</f>
        <v>113160</v>
      </c>
      <c r="H19" s="1" t="n">
        <v>8</v>
      </c>
      <c r="I19" s="1" t="n">
        <f aca="false">C19*H19</f>
        <v>150880</v>
      </c>
      <c r="J19" s="1" t="n">
        <v>4</v>
      </c>
      <c r="K19" s="1" t="n">
        <f aca="false">C19*J19</f>
        <v>75440</v>
      </c>
    </row>
    <row r="20" customFormat="false" ht="15" hidden="false" customHeight="true" outlineLevel="0" collapsed="false">
      <c r="A20" s="35" t="s">
        <v>130</v>
      </c>
      <c r="B20" s="36" t="s">
        <v>131</v>
      </c>
      <c r="C20" s="28" t="n">
        <v>13555</v>
      </c>
      <c r="D20" s="1" t="n">
        <v>5</v>
      </c>
      <c r="E20" s="1" t="n">
        <f aca="false">C20*D20</f>
        <v>67775</v>
      </c>
      <c r="F20" s="1" t="n">
        <v>6</v>
      </c>
      <c r="G20" s="1" t="n">
        <f aca="false">C20*F20</f>
        <v>81330</v>
      </c>
      <c r="H20" s="1" t="n">
        <v>8</v>
      </c>
      <c r="I20" s="1" t="n">
        <f aca="false">C20*H20</f>
        <v>108440</v>
      </c>
      <c r="J20" s="1" t="n">
        <v>4</v>
      </c>
      <c r="K20" s="1" t="n">
        <f aca="false">C20*J20</f>
        <v>54220</v>
      </c>
    </row>
    <row r="21" customFormat="false" ht="15" hidden="false" customHeight="true" outlineLevel="0" collapsed="false">
      <c r="A21" s="37" t="s">
        <v>132</v>
      </c>
      <c r="B21" s="36" t="s">
        <v>131</v>
      </c>
      <c r="C21" s="28" t="n">
        <v>13555</v>
      </c>
      <c r="D21" s="1" t="n">
        <v>4</v>
      </c>
      <c r="E21" s="1" t="n">
        <f aca="false">C21*D21</f>
        <v>54220</v>
      </c>
      <c r="F21" s="1" t="n">
        <v>6</v>
      </c>
      <c r="G21" s="1" t="n">
        <f aca="false">(C21*F21)/2</f>
        <v>40665</v>
      </c>
      <c r="H21" s="1" t="n">
        <v>8</v>
      </c>
      <c r="I21" s="1" t="n">
        <f aca="false">(C21*H21)/2</f>
        <v>54220</v>
      </c>
      <c r="J21" s="1" t="n">
        <v>4</v>
      </c>
      <c r="K21" s="1" t="n">
        <f aca="false">(C21*J21)/2</f>
        <v>27110</v>
      </c>
    </row>
    <row r="22" customFormat="false" ht="15" hidden="false" customHeight="true" outlineLevel="0" collapsed="false">
      <c r="A22" s="34" t="s">
        <v>133</v>
      </c>
      <c r="B22" s="33" t="s">
        <v>134</v>
      </c>
      <c r="C22" s="28" t="n">
        <v>27700</v>
      </c>
      <c r="D22" s="1" t="n">
        <v>5</v>
      </c>
      <c r="E22" s="1" t="n">
        <f aca="false">C22*D22</f>
        <v>138500</v>
      </c>
      <c r="F22" s="1" t="n">
        <v>6</v>
      </c>
      <c r="G22" s="1" t="n">
        <f aca="false">C22*F22</f>
        <v>166200</v>
      </c>
      <c r="H22" s="1" t="n">
        <v>8</v>
      </c>
      <c r="I22" s="1" t="n">
        <f aca="false">C22*H22</f>
        <v>221600</v>
      </c>
      <c r="J22" s="1" t="n">
        <v>4</v>
      </c>
      <c r="K22" s="1" t="n">
        <f aca="false">C22*J22</f>
        <v>110800</v>
      </c>
    </row>
    <row r="23" customFormat="false" ht="15" hidden="false" customHeight="true" outlineLevel="0" collapsed="false">
      <c r="A23" s="37" t="s">
        <v>135</v>
      </c>
      <c r="B23" s="36" t="s">
        <v>136</v>
      </c>
      <c r="C23" s="21" t="n">
        <f aca="false">13465-C24</f>
        <v>4920</v>
      </c>
      <c r="D23" s="1" t="n">
        <v>5</v>
      </c>
      <c r="E23" s="1" t="n">
        <f aca="false">C23*D23</f>
        <v>24600</v>
      </c>
      <c r="F23" s="1" t="n">
        <v>6</v>
      </c>
      <c r="G23" s="1" t="n">
        <f aca="false">C23*F23</f>
        <v>29520</v>
      </c>
      <c r="H23" s="1" t="n">
        <v>8</v>
      </c>
      <c r="I23" s="1" t="n">
        <f aca="false">C23*H23</f>
        <v>39360</v>
      </c>
      <c r="J23" s="1" t="n">
        <v>4</v>
      </c>
      <c r="K23" s="1" t="n">
        <f aca="false">C23*J23</f>
        <v>19680</v>
      </c>
    </row>
    <row r="24" customFormat="false" ht="15" hidden="false" customHeight="true" outlineLevel="0" collapsed="false">
      <c r="A24" s="37" t="s">
        <v>118</v>
      </c>
      <c r="B24" s="36" t="s">
        <v>136</v>
      </c>
      <c r="C24" s="28" t="n">
        <v>8545</v>
      </c>
      <c r="D24" s="1" t="n">
        <v>0</v>
      </c>
      <c r="E24" s="1" t="n">
        <f aca="false">C24*D24</f>
        <v>0</v>
      </c>
      <c r="F24" s="1" t="n">
        <v>0</v>
      </c>
      <c r="G24" s="1" t="n">
        <f aca="false">C24*F24</f>
        <v>0</v>
      </c>
      <c r="H24" s="1" t="n">
        <v>0</v>
      </c>
      <c r="I24" s="1" t="n">
        <f aca="false">C24*H24</f>
        <v>0</v>
      </c>
      <c r="J24" s="1" t="n">
        <v>0</v>
      </c>
      <c r="K24" s="1" t="n">
        <f aca="false">C24*J24</f>
        <v>0</v>
      </c>
    </row>
    <row r="25" customFormat="false" ht="15" hidden="false" customHeight="true" outlineLevel="0" collapsed="false">
      <c r="A25" s="32" t="s">
        <v>137</v>
      </c>
      <c r="B25" s="33" t="s">
        <v>138</v>
      </c>
      <c r="C25" s="28" t="n">
        <v>19750</v>
      </c>
      <c r="D25" s="1" t="n">
        <v>5</v>
      </c>
      <c r="E25" s="1" t="n">
        <f aca="false">C25*D25</f>
        <v>98750</v>
      </c>
      <c r="F25" s="1" t="n">
        <v>6</v>
      </c>
      <c r="G25" s="1" t="n">
        <f aca="false">C25*F25</f>
        <v>118500</v>
      </c>
      <c r="H25" s="1" t="n">
        <v>8</v>
      </c>
      <c r="I25" s="1" t="n">
        <f aca="false">C25*H25</f>
        <v>158000</v>
      </c>
      <c r="J25" s="1" t="n">
        <v>4</v>
      </c>
      <c r="K25" s="1" t="n">
        <f aca="false">C25*J25</f>
        <v>79000</v>
      </c>
    </row>
    <row r="26" customFormat="false" ht="15" hidden="false" customHeight="true" outlineLevel="0" collapsed="false">
      <c r="A26" s="35" t="s">
        <v>139</v>
      </c>
      <c r="B26" s="36" t="s">
        <v>134</v>
      </c>
      <c r="C26" s="28" t="n">
        <v>27700</v>
      </c>
      <c r="D26" s="1" t="n">
        <v>5</v>
      </c>
      <c r="E26" s="1" t="n">
        <f aca="false">C26*D26</f>
        <v>138500</v>
      </c>
      <c r="F26" s="1" t="n">
        <v>6</v>
      </c>
      <c r="G26" s="1" t="n">
        <f aca="false">C26*F26</f>
        <v>166200</v>
      </c>
      <c r="H26" s="1" t="n">
        <v>8</v>
      </c>
      <c r="I26" s="1" t="n">
        <f aca="false">C26*H26</f>
        <v>221600</v>
      </c>
      <c r="J26" s="1" t="n">
        <v>4</v>
      </c>
      <c r="K26" s="1" t="n">
        <f aca="false">C26*J26</f>
        <v>110800</v>
      </c>
    </row>
    <row r="27" customFormat="false" ht="15" hidden="false" customHeight="true" outlineLevel="0" collapsed="false">
      <c r="A27" s="32" t="s">
        <v>140</v>
      </c>
      <c r="B27" s="33" t="s">
        <v>141</v>
      </c>
      <c r="C27" s="28" t="n">
        <v>20625</v>
      </c>
      <c r="D27" s="1" t="n">
        <v>5</v>
      </c>
      <c r="E27" s="1" t="n">
        <f aca="false">C27*D27</f>
        <v>103125</v>
      </c>
      <c r="F27" s="1" t="n">
        <v>6</v>
      </c>
      <c r="G27" s="1" t="n">
        <f aca="false">C27*F27</f>
        <v>123750</v>
      </c>
      <c r="H27" s="1" t="n">
        <v>8</v>
      </c>
      <c r="I27" s="1" t="n">
        <f aca="false">C27*H27</f>
        <v>165000</v>
      </c>
      <c r="J27" s="1" t="n">
        <v>4</v>
      </c>
      <c r="K27" s="1" t="n">
        <f aca="false">C27*J27</f>
        <v>82500</v>
      </c>
    </row>
    <row r="28" customFormat="false" ht="15" hidden="false" customHeight="true" outlineLevel="0" collapsed="false">
      <c r="A28" s="37" t="s">
        <v>142</v>
      </c>
      <c r="B28" s="36" t="s">
        <v>143</v>
      </c>
      <c r="C28" s="28" t="n">
        <v>10312.5</v>
      </c>
      <c r="D28" s="1" t="n">
        <v>5</v>
      </c>
      <c r="E28" s="1" t="n">
        <f aca="false">C28*D28</f>
        <v>51562.5</v>
      </c>
      <c r="F28" s="1" t="n">
        <v>6</v>
      </c>
      <c r="G28" s="1" t="n">
        <f aca="false">C28*F28</f>
        <v>61875</v>
      </c>
      <c r="H28" s="1" t="n">
        <v>8</v>
      </c>
      <c r="I28" s="1" t="n">
        <f aca="false">C28*H28</f>
        <v>82500</v>
      </c>
      <c r="J28" s="1" t="n">
        <v>4</v>
      </c>
      <c r="K28" s="1" t="n">
        <f aca="false">C28*J28</f>
        <v>41250</v>
      </c>
    </row>
    <row r="29" customFormat="false" ht="15" hidden="false" customHeight="true" outlineLevel="0" collapsed="false">
      <c r="E29" s="1" t="n">
        <f aca="false">SUM(E18:E28)</f>
        <v>808532.5</v>
      </c>
      <c r="G29" s="1" t="n">
        <f aca="false">SUM(G18:G28)</f>
        <v>945840</v>
      </c>
      <c r="I29" s="1" t="n">
        <f aca="false">SUM(I18:I28)</f>
        <v>1261120</v>
      </c>
      <c r="K29" s="1" t="n">
        <f aca="false">SUM(K18:K28)</f>
        <v>630560</v>
      </c>
    </row>
    <row r="31" customFormat="false" ht="15" hidden="false" customHeight="true" outlineLevel="0" collapsed="false">
      <c r="E31" s="1" t="n">
        <f aca="false">E14-E29</f>
        <v>56280</v>
      </c>
      <c r="G31" s="1" t="n">
        <f aca="false">G14-G29</f>
        <v>91935</v>
      </c>
      <c r="I31" s="1" t="n">
        <f aca="false">I14-I29</f>
        <v>-223345</v>
      </c>
      <c r="K31" s="1" t="n">
        <f aca="false">K14-K29</f>
        <v>61290</v>
      </c>
    </row>
    <row r="34" customFormat="false" ht="15" hidden="false" customHeight="true" outlineLevel="0" collapsed="false">
      <c r="D34" s="1" t="s">
        <v>119</v>
      </c>
      <c r="F34" s="1" t="s">
        <v>120</v>
      </c>
      <c r="H34" s="1" t="s">
        <v>121</v>
      </c>
      <c r="J34" s="1" t="s">
        <v>122</v>
      </c>
    </row>
    <row r="35" customFormat="false" ht="15" hidden="false" customHeight="true" outlineLevel="0" collapsed="false">
      <c r="A35" s="1" t="s">
        <v>123</v>
      </c>
      <c r="B35" s="1" t="s">
        <v>124</v>
      </c>
      <c r="C35" s="1" t="s">
        <v>111</v>
      </c>
      <c r="D35" s="1" t="s">
        <v>114</v>
      </c>
      <c r="E35" s="1" t="s">
        <v>125</v>
      </c>
      <c r="F35" s="1" t="s">
        <v>114</v>
      </c>
      <c r="G35" s="1" t="s">
        <v>125</v>
      </c>
      <c r="H35" s="1" t="s">
        <v>114</v>
      </c>
      <c r="I35" s="1" t="s">
        <v>125</v>
      </c>
      <c r="J35" s="1" t="s">
        <v>114</v>
      </c>
      <c r="K35" s="1" t="s">
        <v>125</v>
      </c>
    </row>
    <row r="36" customFormat="false" ht="15" hidden="false" customHeight="true" outlineLevel="0" collapsed="false">
      <c r="A36" s="32" t="s">
        <v>126</v>
      </c>
      <c r="B36" s="33" t="s">
        <v>127</v>
      </c>
      <c r="C36" s="28" t="n">
        <v>7440</v>
      </c>
      <c r="D36" s="1" t="n">
        <v>5</v>
      </c>
      <c r="E36" s="1" t="n">
        <f aca="false">E3-E18</f>
        <v>0</v>
      </c>
      <c r="F36" s="1" t="n">
        <v>6</v>
      </c>
      <c r="G36" s="1" t="n">
        <f aca="false">G3-G18</f>
        <v>0</v>
      </c>
      <c r="H36" s="1" t="n">
        <v>8</v>
      </c>
      <c r="I36" s="1" t="n">
        <f aca="false">I3-I18</f>
        <v>-14880</v>
      </c>
      <c r="J36" s="1" t="n">
        <v>4</v>
      </c>
      <c r="K36" s="1" t="n">
        <f aca="false">K3-K18</f>
        <v>0</v>
      </c>
    </row>
    <row r="37" customFormat="false" ht="15" hidden="false" customHeight="true" outlineLevel="0" collapsed="false">
      <c r="A37" s="34" t="s">
        <v>128</v>
      </c>
      <c r="B37" s="33" t="s">
        <v>129</v>
      </c>
      <c r="C37" s="28" t="n">
        <v>18860</v>
      </c>
      <c r="D37" s="1" t="n">
        <v>5</v>
      </c>
      <c r="E37" s="1" t="n">
        <f aca="false">E4-E19</f>
        <v>0</v>
      </c>
      <c r="F37" s="1" t="n">
        <v>6</v>
      </c>
      <c r="G37" s="1" t="n">
        <f aca="false">G4-G19</f>
        <v>0</v>
      </c>
      <c r="H37" s="1" t="n">
        <v>8</v>
      </c>
      <c r="I37" s="1" t="n">
        <f aca="false">I4-I19</f>
        <v>-37720</v>
      </c>
      <c r="J37" s="1" t="n">
        <v>4</v>
      </c>
      <c r="K37" s="1" t="n">
        <f aca="false">K4-K19</f>
        <v>0</v>
      </c>
    </row>
    <row r="38" customFormat="false" ht="15" hidden="false" customHeight="true" outlineLevel="0" collapsed="false">
      <c r="A38" s="35" t="s">
        <v>130</v>
      </c>
      <c r="B38" s="36" t="s">
        <v>131</v>
      </c>
      <c r="C38" s="28" t="n">
        <v>13555</v>
      </c>
      <c r="D38" s="1" t="n">
        <v>5</v>
      </c>
      <c r="E38" s="1" t="n">
        <f aca="false">E5-E20</f>
        <v>0</v>
      </c>
      <c r="F38" s="1" t="n">
        <v>6</v>
      </c>
      <c r="G38" s="1" t="n">
        <f aca="false">G5-G20</f>
        <v>0</v>
      </c>
      <c r="H38" s="1" t="n">
        <v>8</v>
      </c>
      <c r="I38" s="1" t="n">
        <f aca="false">I5-I20</f>
        <v>-27110</v>
      </c>
      <c r="J38" s="1" t="n">
        <v>4</v>
      </c>
      <c r="K38" s="1" t="n">
        <f aca="false">K5-K20</f>
        <v>0</v>
      </c>
    </row>
    <row r="39" customFormat="false" ht="15" hidden="false" customHeight="true" outlineLevel="0" collapsed="false">
      <c r="A39" s="37" t="s">
        <v>132</v>
      </c>
      <c r="B39" s="36" t="s">
        <v>131</v>
      </c>
      <c r="C39" s="28" t="n">
        <v>13555</v>
      </c>
      <c r="D39" s="1" t="n">
        <v>4</v>
      </c>
      <c r="E39" s="1" t="n">
        <f aca="false">E6-E21</f>
        <v>13555</v>
      </c>
      <c r="F39" s="1" t="n">
        <v>3</v>
      </c>
      <c r="G39" s="1" t="n">
        <f aca="false">G6-G21</f>
        <v>40665</v>
      </c>
      <c r="H39" s="1" t="n">
        <v>4</v>
      </c>
      <c r="I39" s="1" t="n">
        <f aca="false">I6-I21</f>
        <v>27110</v>
      </c>
      <c r="J39" s="1" t="n">
        <v>2</v>
      </c>
      <c r="K39" s="1" t="n">
        <f aca="false">K6-K21</f>
        <v>27110</v>
      </c>
    </row>
    <row r="40" customFormat="false" ht="15" hidden="false" customHeight="true" outlineLevel="0" collapsed="false">
      <c r="A40" s="34" t="s">
        <v>133</v>
      </c>
      <c r="B40" s="33" t="s">
        <v>134</v>
      </c>
      <c r="C40" s="28" t="n">
        <v>27700</v>
      </c>
      <c r="D40" s="1" t="n">
        <v>5</v>
      </c>
      <c r="E40" s="1" t="n">
        <f aca="false">E7-E22</f>
        <v>0</v>
      </c>
      <c r="F40" s="1" t="n">
        <v>6</v>
      </c>
      <c r="G40" s="1" t="n">
        <f aca="false">G7-G22</f>
        <v>0</v>
      </c>
      <c r="H40" s="1" t="n">
        <v>8</v>
      </c>
      <c r="I40" s="1" t="n">
        <f aca="false">I7-I22</f>
        <v>-55400</v>
      </c>
      <c r="J40" s="1" t="n">
        <v>4</v>
      </c>
      <c r="K40" s="1" t="n">
        <f aca="false">K7-K22</f>
        <v>0</v>
      </c>
    </row>
    <row r="41" customFormat="false" ht="15" hidden="false" customHeight="true" outlineLevel="0" collapsed="false">
      <c r="A41" s="37" t="s">
        <v>135</v>
      </c>
      <c r="B41" s="36" t="s">
        <v>136</v>
      </c>
      <c r="C41" s="21" t="n">
        <f aca="false">13465-C42</f>
        <v>4920</v>
      </c>
      <c r="D41" s="1" t="n">
        <v>5</v>
      </c>
      <c r="E41" s="1" t="n">
        <f aca="false">E8-E23</f>
        <v>0</v>
      </c>
      <c r="F41" s="1" t="n">
        <v>6</v>
      </c>
      <c r="G41" s="1" t="n">
        <f aca="false">G8-G23</f>
        <v>0</v>
      </c>
      <c r="H41" s="1" t="n">
        <v>8</v>
      </c>
      <c r="I41" s="1" t="n">
        <f aca="false">I8-I23</f>
        <v>-9840</v>
      </c>
      <c r="J41" s="1" t="n">
        <v>4</v>
      </c>
      <c r="K41" s="1" t="n">
        <f aca="false">K8-K23</f>
        <v>0</v>
      </c>
    </row>
    <row r="42" customFormat="false" ht="15" hidden="false" customHeight="true" outlineLevel="0" collapsed="false">
      <c r="A42" s="37" t="s">
        <v>118</v>
      </c>
      <c r="B42" s="36" t="s">
        <v>136</v>
      </c>
      <c r="C42" s="28" t="n">
        <v>8545</v>
      </c>
      <c r="D42" s="1" t="n">
        <v>0</v>
      </c>
      <c r="E42" s="1" t="n">
        <f aca="false">E9-E24</f>
        <v>42725</v>
      </c>
      <c r="F42" s="1" t="n">
        <v>0</v>
      </c>
      <c r="G42" s="1" t="n">
        <f aca="false">G9-G24</f>
        <v>51270</v>
      </c>
      <c r="H42" s="1" t="n">
        <v>0</v>
      </c>
      <c r="I42" s="1" t="n">
        <f aca="false">I9-I24</f>
        <v>51270</v>
      </c>
      <c r="J42" s="1" t="n">
        <v>0</v>
      </c>
      <c r="K42" s="1" t="n">
        <f aca="false">K9-K24</f>
        <v>34180</v>
      </c>
    </row>
    <row r="43" customFormat="false" ht="15" hidden="false" customHeight="true" outlineLevel="0" collapsed="false">
      <c r="A43" s="32" t="s">
        <v>137</v>
      </c>
      <c r="B43" s="33" t="s">
        <v>138</v>
      </c>
      <c r="C43" s="28" t="n">
        <v>19750</v>
      </c>
      <c r="D43" s="1" t="n">
        <v>5</v>
      </c>
      <c r="E43" s="1" t="n">
        <f aca="false">E10-E25</f>
        <v>0</v>
      </c>
      <c r="F43" s="1" t="n">
        <v>6</v>
      </c>
      <c r="G43" s="1" t="n">
        <f aca="false">G10-G25</f>
        <v>0</v>
      </c>
      <c r="H43" s="1" t="n">
        <v>8</v>
      </c>
      <c r="I43" s="1" t="n">
        <f aca="false">I10-I25</f>
        <v>-39500</v>
      </c>
      <c r="J43" s="1" t="n">
        <v>4</v>
      </c>
      <c r="K43" s="1" t="n">
        <f aca="false">K10-K25</f>
        <v>0</v>
      </c>
    </row>
    <row r="44" customFormat="false" ht="15" hidden="false" customHeight="true" outlineLevel="0" collapsed="false">
      <c r="A44" s="35" t="s">
        <v>139</v>
      </c>
      <c r="B44" s="36" t="s">
        <v>134</v>
      </c>
      <c r="C44" s="28" t="n">
        <v>27700</v>
      </c>
      <c r="D44" s="1" t="n">
        <v>5</v>
      </c>
      <c r="E44" s="1" t="n">
        <f aca="false">E11-E26</f>
        <v>0</v>
      </c>
      <c r="F44" s="1" t="n">
        <v>6</v>
      </c>
      <c r="G44" s="1" t="n">
        <f aca="false">G11-G26</f>
        <v>0</v>
      </c>
      <c r="H44" s="1" t="n">
        <v>8</v>
      </c>
      <c r="I44" s="1" t="n">
        <f aca="false">I11-I26</f>
        <v>-55400</v>
      </c>
      <c r="J44" s="1" t="n">
        <v>4</v>
      </c>
      <c r="K44" s="1" t="n">
        <f aca="false">K11-K26</f>
        <v>0</v>
      </c>
    </row>
    <row r="45" customFormat="false" ht="15" hidden="false" customHeight="true" outlineLevel="0" collapsed="false">
      <c r="A45" s="32" t="s">
        <v>140</v>
      </c>
      <c r="B45" s="33" t="s">
        <v>141</v>
      </c>
      <c r="C45" s="28" t="n">
        <v>20625</v>
      </c>
      <c r="D45" s="1" t="n">
        <v>5</v>
      </c>
      <c r="E45" s="1" t="n">
        <f aca="false">E12-E27</f>
        <v>0</v>
      </c>
      <c r="F45" s="1" t="n">
        <v>6</v>
      </c>
      <c r="G45" s="1" t="n">
        <f aca="false">G12-G27</f>
        <v>0</v>
      </c>
      <c r="H45" s="1" t="n">
        <v>8</v>
      </c>
      <c r="I45" s="1" t="n">
        <f aca="false">I12-I27</f>
        <v>-41250</v>
      </c>
      <c r="J45" s="1" t="n">
        <v>4</v>
      </c>
      <c r="K45" s="1" t="n">
        <f aca="false">K12-K27</f>
        <v>0</v>
      </c>
    </row>
    <row r="46" customFormat="false" ht="15" hidden="false" customHeight="true" outlineLevel="0" collapsed="false">
      <c r="A46" s="37" t="s">
        <v>142</v>
      </c>
      <c r="B46" s="36" t="s">
        <v>143</v>
      </c>
      <c r="C46" s="28" t="n">
        <v>10312.5</v>
      </c>
      <c r="D46" s="1" t="n">
        <v>5</v>
      </c>
      <c r="E46" s="1" t="n">
        <f aca="false">E13-E28</f>
        <v>0</v>
      </c>
      <c r="F46" s="1" t="n">
        <v>6</v>
      </c>
      <c r="G46" s="1" t="n">
        <f aca="false">G13-G28</f>
        <v>0</v>
      </c>
      <c r="H46" s="1" t="n">
        <v>8</v>
      </c>
      <c r="I46" s="1" t="n">
        <f aca="false">I13-I28</f>
        <v>-20625</v>
      </c>
      <c r="J46" s="1" t="n">
        <v>4</v>
      </c>
      <c r="K46" s="1" t="n">
        <f aca="false">K13-K28</f>
        <v>0</v>
      </c>
    </row>
    <row r="47" customFormat="false" ht="15" hidden="false" customHeight="true" outlineLevel="0" collapsed="false">
      <c r="E47" s="1" t="n">
        <f aca="false">E14-E29</f>
        <v>56280</v>
      </c>
      <c r="G47" s="1" t="n">
        <f aca="false">G14-G29</f>
        <v>91935</v>
      </c>
      <c r="I47" s="1" t="n">
        <f aca="false">I14-I29</f>
        <v>-223345</v>
      </c>
      <c r="K47" s="1" t="n">
        <f aca="false">K14-K29</f>
        <v>61290</v>
      </c>
    </row>
    <row r="49" customFormat="false" ht="15" hidden="false" customHeight="true" outlineLevel="0" collapsed="false">
      <c r="E49" s="1" t="n">
        <f aca="false">E32-E47</f>
        <v>-56280</v>
      </c>
      <c r="G49" s="1" t="n">
        <f aca="false">G32-G47</f>
        <v>-91935</v>
      </c>
      <c r="I49" s="1" t="n">
        <f aca="false">I32-I47</f>
        <v>223345</v>
      </c>
      <c r="K49" s="1" t="n">
        <f aca="false">K32-K47</f>
        <v>-61290</v>
      </c>
    </row>
  </sheetData>
  <conditionalFormatting sqref="B46">
    <cfRule type="expression" priority="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4">
    <cfRule type="expression" priority="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1:B42">
    <cfRule type="expression" priority="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8:B39">
    <cfRule type="expression" priority="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8">
    <cfRule type="expression" priority="6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6">
    <cfRule type="expression" priority="7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3:B24">
    <cfRule type="expression" priority="8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0:B21">
    <cfRule type="expression" priority="9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:B13 B18:B28 B36:B46">
    <cfRule type="expression" priority="10" aboveAverage="0" equalAverage="0" bottom="0" percent="0" rank="0" text="" dxfId="8">
      <formula>ISBLANK($A3)</formula>
    </cfRule>
    <cfRule type="expression" priority="11" aboveAverage="0" equalAverage="0" bottom="0" percent="0" rank="0" text="" dxfId="7">
      <formula>COUNTIF(OFFSET(INDIRECT(_xlfn.CONCAT("_",MID(XEM3,1,1))),0,0,COUNTA(INDIRECT(_xlfn.CONCAT("_",MID(XEM3,1,1)))),1),XEN3)=0</formula>
    </cfRule>
  </conditionalFormatting>
  <conditionalFormatting sqref="B13">
    <cfRule type="expression" priority="1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11">
    <cfRule type="expression" priority="1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8:B9">
    <cfRule type="expression" priority="1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5:B6">
    <cfRule type="expression" priority="1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dataValidations count="1">
    <dataValidation allowBlank="true" errorStyle="stop" operator="between" showDropDown="false" showErrorMessage="true" showInputMessage="true" sqref="B3:B13 B18:B28 B36:B46" type="list">
      <formula1>OFFSET(INDIRECT(CONCATENATE("PZ",MID(XEM3,1,IFERROR(SEARCH(".",XEM3) - 1,LEN(XEM3))),"RL")),0,0,COUNTA(INDIRECT(CONCATENATE("PZ",MID(XEM3,1,IFERROR(SEARCH(".",XEM3) - 1,LEN(XEM3))),"RL"))),1)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2"/>
    <col collapsed="false" customWidth="true" hidden="false" outlineLevel="0" max="6" min="3" style="0" width="18"/>
  </cols>
  <sheetData>
    <row r="1" customFormat="false" ht="15" hidden="false" customHeight="false" outlineLevel="0" collapsed="false">
      <c r="A1" s="39" t="s">
        <v>145</v>
      </c>
    </row>
    <row r="3" customFormat="false" ht="15" hidden="false" customHeight="false" outlineLevel="0" collapsed="false">
      <c r="A3" s="40" t="s">
        <v>146</v>
      </c>
    </row>
    <row r="4" customFormat="false" ht="15" hidden="false" customHeight="false" outlineLevel="0" collapsed="false">
      <c r="A4" s="41" t="s">
        <v>147</v>
      </c>
      <c r="C4" s="42" t="n">
        <v>0.8</v>
      </c>
    </row>
    <row r="5" customFormat="false" ht="15" hidden="false" customHeight="false" outlineLevel="0" collapsed="false">
      <c r="A5" s="41" t="s">
        <v>148</v>
      </c>
      <c r="C5" s="42" t="n">
        <v>0.8</v>
      </c>
    </row>
    <row r="6" customFormat="false" ht="15" hidden="false" customHeight="false" outlineLevel="0" collapsed="false">
      <c r="A6" s="41" t="s">
        <v>149</v>
      </c>
      <c r="C6" s="42" t="n">
        <v>0.8</v>
      </c>
    </row>
    <row r="7" customFormat="false" ht="15" hidden="false" customHeight="false" outlineLevel="0" collapsed="false">
      <c r="A7" s="41" t="s">
        <v>150</v>
      </c>
      <c r="C7" s="42" t="n">
        <v>0.6</v>
      </c>
    </row>
    <row r="8" customFormat="false" ht="15" hidden="false" customHeight="false" outlineLevel="0" collapsed="false">
      <c r="A8" s="41" t="s">
        <v>151</v>
      </c>
      <c r="C8" s="43" t="n">
        <v>1.23</v>
      </c>
    </row>
    <row r="9" customFormat="false" ht="15" hidden="false" customHeight="false" outlineLevel="0" collapsed="false">
      <c r="A9" s="41" t="s">
        <v>152</v>
      </c>
      <c r="C9" s="44" t="n">
        <f aca="false">ROUND(C14*C5,2)</f>
        <v>504.06</v>
      </c>
    </row>
    <row r="10" customFormat="false" ht="15" hidden="false" customHeight="false" outlineLevel="0" collapsed="false">
      <c r="A10" s="41" t="s">
        <v>153</v>
      </c>
      <c r="C10" s="45" t="n">
        <v>4843115.61</v>
      </c>
    </row>
    <row r="11" customFormat="false" ht="15" hidden="false" customHeight="false" outlineLevel="0" collapsed="false">
      <c r="A11" s="41" t="s">
        <v>154</v>
      </c>
      <c r="C11" s="45" t="n">
        <v>3699933.17</v>
      </c>
    </row>
    <row r="12" customFormat="false" ht="15" hidden="false" customHeight="false" outlineLevel="0" collapsed="false">
      <c r="A12" s="41" t="s">
        <v>155</v>
      </c>
      <c r="C12" s="44" t="n">
        <f aca="false">Podsumowanie!E146</f>
        <v>3874492.49</v>
      </c>
    </row>
    <row r="13" customFormat="false" ht="15" hidden="false" customHeight="false" outlineLevel="0" collapsed="false">
      <c r="A13" s="41" t="s">
        <v>156</v>
      </c>
      <c r="C13" s="44" t="n">
        <f aca="false">Podsumowanie!E147</f>
        <v>2959946.54</v>
      </c>
    </row>
    <row r="14" customFormat="false" ht="15" hidden="false" customHeight="false" outlineLevel="0" collapsed="false">
      <c r="A14" s="41" t="s">
        <v>157</v>
      </c>
      <c r="C14" s="46" t="n">
        <v>630.08</v>
      </c>
    </row>
    <row r="15" customFormat="false" ht="15" hidden="false" customHeight="false" outlineLevel="0" collapsed="false">
      <c r="A15" s="41" t="s">
        <v>158</v>
      </c>
      <c r="C15" s="44" t="n">
        <f aca="false">'plan etatów'!AA114</f>
        <v>19680</v>
      </c>
    </row>
    <row r="16" customFormat="false" ht="15" hidden="false" customHeight="false" outlineLevel="0" collapsed="false">
      <c r="A16" s="41" t="s">
        <v>159</v>
      </c>
      <c r="C16" s="44" t="n">
        <f aca="false">'nowy format 2'!G24</f>
        <v>1111069.73</v>
      </c>
    </row>
    <row r="17" customFormat="false" ht="15" hidden="false" customHeight="false" outlineLevel="0" collapsed="false">
      <c r="A17" s="41" t="s">
        <v>160</v>
      </c>
      <c r="C17" s="44" t="n">
        <f aca="false">'nowy format 2'!G4+'nowy format 2'!G5+'nowy format 2'!G6+'nowy format 2'!G7+'nowy format 2'!G8+'nowy format 2'!G9+'nowy format 2'!G10+'nowy format 2'!G11+'nowy format 2'!G12+'nowy format 2'!G14+'nowy format 2'!G15+'nowy format 2'!G16+'nowy format 2'!G17+'nowy format 2'!G18+'nowy format 2'!G19+'nowy format 2'!G20+'nowy format 2'!G21+'nowy format 2'!G22+'nowy format 2'!G23+C16</f>
        <v>2565439.54</v>
      </c>
    </row>
    <row r="18" customFormat="false" ht="15" hidden="false" customHeight="false" outlineLevel="0" collapsed="false">
      <c r="A18" s="41" t="s">
        <v>161</v>
      </c>
      <c r="C18" s="44" t="n">
        <f aca="false">C13-C17-C7*('plan etatów'!AA106+'plan etatów'!AA107+'plan etatów'!AA108+'plan etatów'!AA109+'plan etatów'!AA110+'plan etatów'!AA111+'plan etatów'!AA112+'plan etatów'!AA113)</f>
        <v>8229.35200000001</v>
      </c>
    </row>
    <row r="19" customFormat="false" ht="15" hidden="false" customHeight="false" outlineLevel="0" collapsed="false">
      <c r="A19" s="41" t="s">
        <v>162</v>
      </c>
      <c r="C19" s="47" t="n">
        <f aca="false">MIN(1,MAX(0,ROUNDDOWN(C18/C7,2)/C15))</f>
        <v>0.696929878048781</v>
      </c>
    </row>
    <row r="20" customFormat="false" ht="15" hidden="false" customHeight="false" outlineLevel="0" collapsed="false">
      <c r="A20" s="41" t="s">
        <v>163</v>
      </c>
      <c r="C20" s="44" t="n">
        <f aca="false">zmiana!C9*('plan etatów'!E7-'plan etatów'!D7+1)</f>
        <v>34180</v>
      </c>
    </row>
    <row r="21" customFormat="false" ht="15" hidden="false" customHeight="false" outlineLevel="0" collapsed="false">
      <c r="A21" s="41" t="s">
        <v>164</v>
      </c>
      <c r="C21" s="44" t="n">
        <f aca="false">C20*C7</f>
        <v>20508</v>
      </c>
    </row>
    <row r="22" customFormat="false" ht="15" hidden="false" customHeight="false" outlineLevel="0" collapsed="false">
      <c r="A22" s="41" t="s">
        <v>165</v>
      </c>
      <c r="C22" s="48" t="str">
        <f aca="false">IF(C21&gt;MAX(0,C18-C15*C7),"wakat w Z4 nie mieści się w limicie dofinansowania – zdjęty","mieści się")</f>
        <v>wakat w Z4 nie mieści się w limicie dofinansowania – zdjęty</v>
      </c>
    </row>
    <row r="23" customFormat="false" ht="15" hidden="false" customHeight="false" outlineLevel="0" collapsed="false">
      <c r="A23" s="41" t="s">
        <v>166</v>
      </c>
      <c r="C23" s="44" t="n">
        <f aca="false">ROUND(C15*C19,2)</f>
        <v>13715.58</v>
      </c>
    </row>
    <row r="24" customFormat="false" ht="15" hidden="false" customHeight="false" outlineLevel="0" collapsed="false">
      <c r="A24" s="40" t="s">
        <v>167</v>
      </c>
      <c r="C24" s="40" t="s">
        <v>168</v>
      </c>
      <c r="D24" s="40" t="s">
        <v>169</v>
      </c>
      <c r="E24" s="40" t="s">
        <v>170</v>
      </c>
      <c r="F24" s="40" t="s">
        <v>171</v>
      </c>
    </row>
    <row r="25" customFormat="false" ht="15" hidden="false" customHeight="false" outlineLevel="0" collapsed="false">
      <c r="A25" s="41" t="s">
        <v>172</v>
      </c>
      <c r="C25" s="49" t="n">
        <f aca="false">'nowy format 2'!F50</f>
        <v>4830388.88</v>
      </c>
      <c r="D25" s="49" t="n">
        <f aca="false">C10</f>
        <v>4843115.61</v>
      </c>
      <c r="E25" s="40" t="str">
        <f aca="false">IF(C25&lt;=D25+0.005,"OK","BŁĄD")</f>
        <v>OK</v>
      </c>
      <c r="F25" s="49" t="n">
        <f aca="false">ROUND(C25-D25,2)</f>
        <v>-12726.73</v>
      </c>
    </row>
    <row r="26" customFormat="false" ht="15" hidden="false" customHeight="false" outlineLevel="0" collapsed="false">
      <c r="A26" s="41" t="s">
        <v>173</v>
      </c>
      <c r="C26" s="49" t="n">
        <f aca="false">'nowy format 2'!G50</f>
        <v>3699933.17</v>
      </c>
      <c r="D26" s="49" t="n">
        <f aca="false">C11</f>
        <v>3699933.17</v>
      </c>
      <c r="E26" s="40" t="str">
        <f aca="false">IF(C26&lt;=D26+0.005,"OK","BŁĄD")</f>
        <v>OK</v>
      </c>
      <c r="F26" s="49" t="n">
        <f aca="false">ROUND(C26-D26,2)</f>
        <v>0</v>
      </c>
    </row>
    <row r="27" customFormat="false" ht="15" hidden="false" customHeight="false" outlineLevel="0" collapsed="false">
      <c r="A27" s="41" t="s">
        <v>174</v>
      </c>
      <c r="C27" s="49" t="n">
        <f aca="false">ABS('nowy format 2'!E4-'nowy format 2'!B4)+ABS('nowy format 2'!F4-'nowy format 2'!C4)+ABS('nowy format 2'!G4-'nowy format 2'!D4)+ABS('nowy format 2'!E5-'nowy format 2'!B5)+ABS('nowy format 2'!F5-'nowy format 2'!C5)+ABS('nowy format 2'!G5-'nowy format 2'!D5)+ABS('nowy format 2'!E6-'nowy format 2'!B6)+ABS('nowy format 2'!F6-'nowy format 2'!C6)+ABS('nowy format 2'!G6-'nowy format 2'!D6)+ABS('nowy format 2'!E7-'nowy format 2'!B7)+ABS('nowy format 2'!F7-'nowy format 2'!C7)+ABS('nowy format 2'!G7-'nowy format 2'!D7)+ABS('nowy format 2'!E8-'nowy format 2'!B8)+ABS('nowy format 2'!F8-'nowy format 2'!C8)+ABS('nowy format 2'!G8-'nowy format 2'!D8)+ABS('nowy format 2'!E9-'nowy format 2'!B9)+ABS('nowy format 2'!F9-'nowy format 2'!C9)+ABS('nowy format 2'!G9-'nowy format 2'!D9)+ABS('nowy format 2'!E10-'nowy format 2'!B10)+ABS('nowy format 2'!F10-'nowy format 2'!C10)+ABS('nowy format 2'!G10-'nowy format 2'!D10)+ABS('nowy format 2'!E11-'nowy format 2'!B11)+ABS('nowy format 2'!F11-'nowy format 2'!C11)+ABS('nowy format 2'!G11-'nowy format 2'!D11)+ABS('nowy format 2'!E12-'nowy format 2'!B12)+ABS('nowy format 2'!F12-'nowy format 2'!C12)+ABS('nowy format 2'!G12-'nowy format 2'!D12)+ABS('nowy format 2'!E14-'nowy format 2'!B14)+ABS('nowy format 2'!F14-'nowy format 2'!C14)+ABS('nowy format 2'!G14-'nowy format 2'!D14)+ABS('nowy format 2'!E15-'nowy format 2'!B15)+ABS('nowy format 2'!F15-'nowy format 2'!C15)+ABS('nowy format 2'!G15-'nowy format 2'!D15)+ABS('nowy format 2'!E16-'nowy format 2'!B16)+ABS('nowy format 2'!F16-'nowy format 2'!C16)+ABS('nowy format 2'!G16-'nowy format 2'!D16)+ABS('nowy format 2'!E17-'nowy format 2'!B17)+ABS('nowy format 2'!F17-'nowy format 2'!C17)+ABS('nowy format 2'!G17-'nowy format 2'!D17)+ABS('nowy format 2'!E18-'nowy format 2'!B18)+ABS('nowy format 2'!F18-'nowy format 2'!C18)+ABS('nowy format 2'!G18-'nowy format 2'!D18)+ABS('nowy format 2'!E19-'nowy format 2'!B19)+ABS('nowy format 2'!F19-'nowy format 2'!C19)+ABS('nowy format 2'!G19-'nowy format 2'!D19)+ABS('nowy format 2'!E20-'nowy format 2'!B20)+ABS('nowy format 2'!F20-'nowy format 2'!C20)+ABS('nowy format 2'!G20-'nowy format 2'!D20)+ABS('nowy format 2'!E23-'nowy format 2'!B23)+ABS('nowy format 2'!F23-'nowy format 2'!C23)+ABS('nowy format 2'!G23-'nowy format 2'!D23)</f>
        <v>0</v>
      </c>
      <c r="D27" s="49"/>
      <c r="E27" s="40" t="str">
        <f aca="false">IF(C27&lt;0.005,"OK","BŁĄD")</f>
        <v>OK</v>
      </c>
      <c r="F27" s="49"/>
    </row>
    <row r="28" customFormat="false" ht="15" hidden="false" customHeight="false" outlineLevel="0" collapsed="false">
      <c r="A28" s="41" t="s">
        <v>175</v>
      </c>
      <c r="C28" s="49" t="n">
        <f aca="false">ROUND('budżet po miesiącach'!C97,2)</f>
        <v>3864311.1</v>
      </c>
      <c r="D28" s="49" t="n">
        <f aca="false">'nowy format 2'!F48</f>
        <v>3864311.1</v>
      </c>
      <c r="E28" s="40" t="str">
        <f aca="false">IF(ABS(C28-D28)&lt;=0.05,"OK","BŁĄD")</f>
        <v>OK</v>
      </c>
      <c r="F28" s="49"/>
    </row>
    <row r="29" customFormat="false" ht="15" hidden="false" customHeight="false" outlineLevel="0" collapsed="false">
      <c r="A29" s="41" t="s">
        <v>176</v>
      </c>
      <c r="C29" s="49" t="n">
        <f aca="false">ROUND('budżet po miesiącach'!C50,2)</f>
        <v>3874492.49</v>
      </c>
      <c r="D29" s="49" t="n">
        <f aca="false">'nowy format 2'!J48</f>
        <v>3874492.49</v>
      </c>
      <c r="E29" s="40" t="str">
        <f aca="false">IF(ABS(C29-D29)&lt;=0.05,"OK","BŁĄD")</f>
        <v>OK</v>
      </c>
      <c r="F29" s="49"/>
    </row>
    <row r="30" customFormat="false" ht="15" hidden="false" customHeight="false" outlineLevel="0" collapsed="false">
      <c r="A30" s="41" t="s">
        <v>177</v>
      </c>
      <c r="C30" s="49" t="n">
        <f aca="false">ROUND('budżet po miesiącach'!C144,2)</f>
        <v>2959946.54</v>
      </c>
      <c r="D30" s="49" t="n">
        <f aca="false">'nowy format 2'!K48</f>
        <v>2959946.54</v>
      </c>
      <c r="E30" s="40" t="str">
        <f aca="false">IF(ABS(C30-D30)&lt;=0.05,"OK","BŁĄD")</f>
        <v>OK</v>
      </c>
      <c r="F30" s="49"/>
    </row>
    <row r="31" customFormat="false" ht="15" hidden="false" customHeight="false" outlineLevel="0" collapsed="false">
      <c r="A31" s="41" t="s">
        <v>178</v>
      </c>
      <c r="C31" s="49" t="n">
        <f aca="false">ROUND('budżet po miesiącach'!C191,2)</f>
        <v>2959946.53</v>
      </c>
      <c r="D31" s="49" t="n">
        <f aca="false">'nowy format 2'!G48</f>
        <v>2959946.54</v>
      </c>
      <c r="E31" s="40" t="str">
        <f aca="false">IF(ABS(C31-D31)&lt;=0.05,"OK","BŁĄD")</f>
        <v>OK</v>
      </c>
      <c r="F31" s="49"/>
    </row>
    <row r="33" customFormat="false" ht="15" hidden="false" customHeight="false" outlineLevel="0" collapsed="false">
      <c r="A33" s="40" t="s">
        <v>179</v>
      </c>
    </row>
    <row r="34" customFormat="false" ht="43.5" hidden="false" customHeight="true" outlineLevel="0" collapsed="false">
      <c r="A34" s="50" t="s">
        <v>180</v>
      </c>
      <c r="B34" s="50"/>
      <c r="C34" s="50"/>
      <c r="D34" s="50"/>
      <c r="E34" s="50"/>
      <c r="F34" s="50"/>
    </row>
    <row r="35" customFormat="false" ht="43.5" hidden="false" customHeight="true" outlineLevel="0" collapsed="false">
      <c r="A35" s="50" t="s">
        <v>181</v>
      </c>
      <c r="B35" s="50"/>
      <c r="C35" s="50"/>
      <c r="D35" s="50"/>
      <c r="E35" s="50"/>
      <c r="F35" s="50"/>
    </row>
    <row r="36" customFormat="false" ht="43.5" hidden="false" customHeight="true" outlineLevel="0" collapsed="false">
      <c r="A36" s="50" t="s">
        <v>182</v>
      </c>
      <c r="B36" s="50"/>
      <c r="C36" s="50"/>
      <c r="D36" s="50"/>
      <c r="E36" s="50"/>
      <c r="F36" s="50"/>
    </row>
    <row r="37" customFormat="false" ht="43.5" hidden="false" customHeight="true" outlineLevel="0" collapsed="false">
      <c r="A37" s="50" t="s">
        <v>183</v>
      </c>
      <c r="B37" s="50"/>
      <c r="C37" s="50"/>
      <c r="D37" s="50"/>
      <c r="E37" s="50"/>
      <c r="F37" s="50"/>
    </row>
    <row r="38" customFormat="false" ht="43.5" hidden="false" customHeight="true" outlineLevel="0" collapsed="false">
      <c r="A38" s="50" t="s">
        <v>184</v>
      </c>
      <c r="B38" s="50"/>
      <c r="C38" s="50"/>
      <c r="D38" s="50"/>
      <c r="E38" s="50"/>
      <c r="F38" s="50"/>
    </row>
    <row r="39" customFormat="false" ht="43.5" hidden="false" customHeight="true" outlineLevel="0" collapsed="false">
      <c r="A39" s="50" t="s">
        <v>185</v>
      </c>
      <c r="B39" s="50"/>
      <c r="C39" s="50"/>
      <c r="D39" s="50"/>
      <c r="E39" s="50"/>
      <c r="F39" s="50"/>
    </row>
    <row r="40" customFormat="false" ht="43.5" hidden="false" customHeight="true" outlineLevel="0" collapsed="false">
      <c r="A40" s="50" t="s">
        <v>186</v>
      </c>
      <c r="B40" s="50"/>
      <c r="C40" s="50"/>
      <c r="D40" s="50"/>
      <c r="E40" s="50"/>
      <c r="F40" s="50"/>
    </row>
    <row r="41" customFormat="false" ht="43.5" hidden="false" customHeight="true" outlineLevel="0" collapsed="false">
      <c r="A41" s="50" t="s">
        <v>187</v>
      </c>
      <c r="B41" s="50"/>
      <c r="C41" s="50"/>
      <c r="D41" s="50"/>
      <c r="E41" s="50"/>
      <c r="F41" s="50"/>
    </row>
    <row r="42" customFormat="false" ht="43.5" hidden="false" customHeight="true" outlineLevel="0" collapsed="false">
      <c r="A42" s="50" t="s">
        <v>188</v>
      </c>
      <c r="B42" s="50"/>
      <c r="C42" s="50"/>
      <c r="D42" s="50"/>
      <c r="E42" s="50"/>
      <c r="F42" s="50"/>
    </row>
    <row r="43" customFormat="false" ht="43.5" hidden="false" customHeight="true" outlineLevel="0" collapsed="false">
      <c r="A43" s="50" t="s">
        <v>189</v>
      </c>
      <c r="B43" s="50"/>
      <c r="C43" s="50"/>
      <c r="D43" s="50"/>
      <c r="E43" s="50"/>
      <c r="F43" s="50"/>
    </row>
    <row r="44" customFormat="false" ht="43.5" hidden="false" customHeight="true" outlineLevel="0" collapsed="false">
      <c r="A44" s="50" t="s">
        <v>190</v>
      </c>
      <c r="B44" s="50"/>
      <c r="C44" s="50"/>
      <c r="D44" s="50"/>
      <c r="E44" s="50"/>
      <c r="F44" s="50"/>
    </row>
    <row r="45" customFormat="false" ht="43.5" hidden="false" customHeight="true" outlineLevel="0" collapsed="false">
      <c r="A45" s="50" t="s">
        <v>191</v>
      </c>
      <c r="B45" s="50"/>
      <c r="C45" s="50"/>
      <c r="D45" s="50"/>
      <c r="E45" s="50"/>
      <c r="F45" s="50"/>
    </row>
    <row r="46" customFormat="false" ht="43.5" hidden="false" customHeight="true" outlineLevel="0" collapsed="false">
      <c r="A46" s="50" t="s">
        <v>192</v>
      </c>
      <c r="B46" s="50"/>
      <c r="C46" s="50"/>
      <c r="D46" s="50"/>
      <c r="E46" s="50"/>
      <c r="F46" s="50"/>
    </row>
    <row r="47" customFormat="false" ht="43.5" hidden="false" customHeight="true" outlineLevel="0" collapsed="false">
      <c r="A47" s="50" t="s">
        <v>193</v>
      </c>
      <c r="B47" s="50"/>
      <c r="C47" s="50"/>
      <c r="D47" s="50"/>
      <c r="E47" s="50"/>
      <c r="F47" s="50"/>
    </row>
  </sheetData>
  <mergeCells count="14"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  <mergeCell ref="A44:F44"/>
    <mergeCell ref="A45:F45"/>
    <mergeCell ref="A46:F46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27" min="4" style="0" width="11"/>
    <col collapsed="false" customWidth="true" hidden="false" outlineLevel="0" max="28" min="28" style="0" width="50"/>
  </cols>
  <sheetData>
    <row r="1" customFormat="false" ht="15" hidden="false" customHeight="false" outlineLevel="0" collapsed="false">
      <c r="A1" s="39" t="s">
        <v>194</v>
      </c>
    </row>
    <row r="2" customFormat="false" ht="15" hidden="false" customHeight="false" outlineLevel="0" collapsed="false">
      <c r="A2" s="51" t="s">
        <v>195</v>
      </c>
    </row>
    <row r="3" customFormat="false" ht="15" hidden="false" customHeight="false" outlineLevel="0" collapsed="false">
      <c r="A3" s="40" t="s">
        <v>196</v>
      </c>
      <c r="B3" s="40" t="s">
        <v>197</v>
      </c>
      <c r="C3" s="40" t="s">
        <v>198</v>
      </c>
      <c r="D3" s="40" t="s">
        <v>199</v>
      </c>
      <c r="E3" s="40" t="s">
        <v>200</v>
      </c>
      <c r="F3" s="40" t="s">
        <v>201</v>
      </c>
    </row>
    <row r="4" customFormat="false" ht="15" hidden="false" customHeight="false" outlineLevel="0" collapsed="false">
      <c r="A4" s="41" t="s">
        <v>202</v>
      </c>
      <c r="B4" s="52" t="n">
        <v>1</v>
      </c>
      <c r="C4" s="52" t="n">
        <v>5</v>
      </c>
      <c r="D4" s="52" t="n">
        <v>1</v>
      </c>
      <c r="E4" s="52" t="n">
        <v>5</v>
      </c>
      <c r="F4" s="41" t="s">
        <v>203</v>
      </c>
    </row>
    <row r="5" customFormat="false" ht="15" hidden="false" customHeight="false" outlineLevel="0" collapsed="false">
      <c r="A5" s="41" t="s">
        <v>204</v>
      </c>
      <c r="B5" s="52" t="n">
        <v>6</v>
      </c>
      <c r="C5" s="52" t="n">
        <v>11</v>
      </c>
      <c r="D5" s="52" t="n">
        <v>6</v>
      </c>
      <c r="E5" s="52" t="n">
        <v>11</v>
      </c>
      <c r="F5" s="41" t="s">
        <v>203</v>
      </c>
    </row>
    <row r="6" customFormat="false" ht="15" hidden="false" customHeight="false" outlineLevel="0" collapsed="false">
      <c r="A6" s="41" t="s">
        <v>205</v>
      </c>
      <c r="B6" s="52" t="n">
        <v>12</v>
      </c>
      <c r="C6" s="52" t="n">
        <v>17</v>
      </c>
      <c r="D6" s="52" t="n">
        <v>12</v>
      </c>
      <c r="E6" s="52" t="n">
        <v>19</v>
      </c>
      <c r="F6" s="41" t="s">
        <v>206</v>
      </c>
    </row>
    <row r="7" customFormat="false" ht="15" hidden="false" customHeight="false" outlineLevel="0" collapsed="false">
      <c r="A7" s="41" t="s">
        <v>207</v>
      </c>
      <c r="B7" s="52" t="n">
        <v>18</v>
      </c>
      <c r="C7" s="52" t="n">
        <v>21</v>
      </c>
      <c r="D7" s="52" t="n">
        <v>20</v>
      </c>
      <c r="E7" s="52" t="n">
        <v>23</v>
      </c>
      <c r="F7" s="41" t="s">
        <v>206</v>
      </c>
    </row>
    <row r="9" customFormat="false" ht="15" hidden="false" customHeight="false" outlineLevel="0" collapsed="false">
      <c r="A9" s="40" t="s">
        <v>208</v>
      </c>
    </row>
    <row r="10" customFormat="false" ht="15" hidden="false" customHeight="false" outlineLevel="0" collapsed="false">
      <c r="A10" s="53" t="s">
        <v>209</v>
      </c>
      <c r="B10" s="53" t="s">
        <v>210</v>
      </c>
      <c r="C10" s="53" t="s">
        <v>211</v>
      </c>
      <c r="D10" s="53" t="n">
        <v>1</v>
      </c>
      <c r="E10" s="53" t="n">
        <v>2</v>
      </c>
      <c r="F10" s="53" t="n">
        <v>3</v>
      </c>
      <c r="G10" s="53" t="n">
        <v>4</v>
      </c>
      <c r="H10" s="53" t="n">
        <v>5</v>
      </c>
      <c r="I10" s="53" t="n">
        <v>6</v>
      </c>
      <c r="J10" s="53" t="n">
        <v>7</v>
      </c>
      <c r="K10" s="53" t="n">
        <v>8</v>
      </c>
      <c r="L10" s="53" t="n">
        <v>9</v>
      </c>
      <c r="M10" s="53" t="n">
        <v>10</v>
      </c>
      <c r="N10" s="53" t="n">
        <v>11</v>
      </c>
      <c r="O10" s="53" t="n">
        <v>12</v>
      </c>
      <c r="P10" s="53" t="n">
        <v>13</v>
      </c>
      <c r="Q10" s="53" t="n">
        <v>14</v>
      </c>
      <c r="R10" s="53" t="n">
        <v>15</v>
      </c>
      <c r="S10" s="53" t="n">
        <v>16</v>
      </c>
      <c r="T10" s="53" t="n">
        <v>17</v>
      </c>
      <c r="U10" s="53" t="n">
        <v>18</v>
      </c>
      <c r="V10" s="53" t="n">
        <v>19</v>
      </c>
      <c r="W10" s="53" t="n">
        <v>20</v>
      </c>
      <c r="X10" s="53" t="n">
        <v>21</v>
      </c>
      <c r="Y10" s="53" t="n">
        <v>22</v>
      </c>
      <c r="Z10" s="53" t="n">
        <v>23</v>
      </c>
      <c r="AA10" s="53" t="s">
        <v>212</v>
      </c>
    </row>
    <row r="11" customFormat="false" ht="15" hidden="false" customHeight="false" outlineLevel="0" collapsed="false">
      <c r="A11" s="41" t="s">
        <v>213</v>
      </c>
      <c r="B11" s="54" t="n">
        <v>27700</v>
      </c>
      <c r="D11" s="52" t="n">
        <v>2</v>
      </c>
      <c r="E11" s="52" t="n">
        <v>2</v>
      </c>
      <c r="F11" s="52" t="n">
        <v>2</v>
      </c>
      <c r="G11" s="52" t="n">
        <v>2</v>
      </c>
      <c r="H11" s="52" t="n">
        <v>2</v>
      </c>
      <c r="I11" s="52" t="n">
        <v>2</v>
      </c>
      <c r="J11" s="52" t="n">
        <v>2</v>
      </c>
      <c r="K11" s="52" t="n">
        <v>2</v>
      </c>
      <c r="L11" s="52" t="n">
        <v>2</v>
      </c>
      <c r="M11" s="52" t="n">
        <v>2</v>
      </c>
      <c r="N11" s="52" t="n">
        <v>2</v>
      </c>
      <c r="O11" s="52" t="n">
        <v>2</v>
      </c>
      <c r="P11" s="52" t="n">
        <v>2</v>
      </c>
      <c r="Q11" s="52" t="n">
        <v>2</v>
      </c>
      <c r="R11" s="52" t="n">
        <v>2</v>
      </c>
      <c r="S11" s="52" t="n">
        <v>2</v>
      </c>
      <c r="T11" s="52" t="n">
        <v>2</v>
      </c>
      <c r="U11" s="52" t="n">
        <v>2</v>
      </c>
      <c r="V11" s="52" t="n">
        <v>2</v>
      </c>
      <c r="W11" s="52" t="n">
        <v>2</v>
      </c>
      <c r="X11" s="52" t="n">
        <v>2</v>
      </c>
      <c r="Y11" s="52" t="n">
        <v>2</v>
      </c>
      <c r="Z11" s="52" t="n">
        <v>2</v>
      </c>
    </row>
    <row r="12" customFormat="false" ht="15" hidden="false" customHeight="false" outlineLevel="0" collapsed="false">
      <c r="A12" s="41" t="s">
        <v>129</v>
      </c>
      <c r="B12" s="54" t="n">
        <v>18860</v>
      </c>
      <c r="D12" s="52" t="n">
        <v>1</v>
      </c>
      <c r="E12" s="52" t="n">
        <v>1</v>
      </c>
      <c r="F12" s="52" t="n">
        <v>1</v>
      </c>
      <c r="G12" s="52" t="n">
        <v>1</v>
      </c>
      <c r="H12" s="52" t="n">
        <v>1</v>
      </c>
      <c r="I12" s="52" t="n">
        <v>1</v>
      </c>
      <c r="J12" s="52" t="n">
        <v>1</v>
      </c>
      <c r="K12" s="52" t="n">
        <v>1</v>
      </c>
      <c r="L12" s="52" t="n">
        <v>1</v>
      </c>
      <c r="M12" s="52" t="n">
        <v>1</v>
      </c>
      <c r="N12" s="52" t="n">
        <v>1</v>
      </c>
      <c r="O12" s="52" t="n">
        <v>1</v>
      </c>
      <c r="P12" s="52" t="n">
        <v>1</v>
      </c>
      <c r="Q12" s="52" t="n">
        <v>1</v>
      </c>
      <c r="R12" s="52" t="n">
        <v>1</v>
      </c>
      <c r="S12" s="52" t="n">
        <v>1</v>
      </c>
      <c r="T12" s="52" t="n">
        <v>1</v>
      </c>
      <c r="U12" s="52" t="n">
        <v>0.5</v>
      </c>
      <c r="V12" s="52" t="n">
        <v>0.5</v>
      </c>
      <c r="W12" s="52" t="n">
        <v>0.5</v>
      </c>
      <c r="X12" s="52" t="n">
        <v>0.5</v>
      </c>
      <c r="Y12" s="52" t="n">
        <v>0.5</v>
      </c>
      <c r="Z12" s="52" t="n">
        <v>0.5</v>
      </c>
    </row>
    <row r="13" customFormat="false" ht="15" hidden="false" customHeight="false" outlineLevel="0" collapsed="false">
      <c r="A13" s="41" t="s">
        <v>131</v>
      </c>
      <c r="B13" s="54" t="n">
        <v>13555</v>
      </c>
      <c r="D13" s="52" t="n">
        <v>2</v>
      </c>
      <c r="E13" s="52" t="n">
        <v>2</v>
      </c>
      <c r="F13" s="52" t="n">
        <v>2</v>
      </c>
      <c r="G13" s="52" t="n">
        <v>2</v>
      </c>
      <c r="H13" s="52" t="n">
        <v>2</v>
      </c>
      <c r="I13" s="52" t="n">
        <v>2</v>
      </c>
      <c r="J13" s="52" t="n">
        <v>2</v>
      </c>
      <c r="K13" s="52" t="n">
        <v>2</v>
      </c>
      <c r="L13" s="52" t="n">
        <v>2</v>
      </c>
      <c r="M13" s="52" t="n">
        <v>2</v>
      </c>
      <c r="N13" s="52" t="n">
        <v>2</v>
      </c>
      <c r="O13" s="52" t="n">
        <v>2</v>
      </c>
      <c r="P13" s="52" t="n">
        <v>2</v>
      </c>
      <c r="Q13" s="52" t="n">
        <v>2</v>
      </c>
      <c r="R13" s="52" t="n">
        <v>2</v>
      </c>
      <c r="S13" s="52" t="n">
        <v>2</v>
      </c>
      <c r="T13" s="52" t="n">
        <v>2</v>
      </c>
      <c r="U13" s="52" t="n">
        <v>2</v>
      </c>
      <c r="V13" s="52" t="n">
        <v>2</v>
      </c>
      <c r="W13" s="52" t="n">
        <v>2</v>
      </c>
      <c r="X13" s="52" t="n">
        <v>2</v>
      </c>
      <c r="Y13" s="52" t="n">
        <v>2</v>
      </c>
      <c r="Z13" s="52" t="n">
        <v>2</v>
      </c>
    </row>
    <row r="14" customFormat="false" ht="15" hidden="false" customHeight="false" outlineLevel="0" collapsed="false">
      <c r="A14" s="41" t="s">
        <v>143</v>
      </c>
      <c r="B14" s="54" t="n">
        <v>20625</v>
      </c>
      <c r="D14" s="52" t="n">
        <v>0.5</v>
      </c>
      <c r="E14" s="52" t="n">
        <v>0.5</v>
      </c>
      <c r="F14" s="52" t="n">
        <v>0.5</v>
      </c>
      <c r="G14" s="52" t="n">
        <v>0.5</v>
      </c>
      <c r="H14" s="52" t="n">
        <v>0.5</v>
      </c>
      <c r="I14" s="52" t="n">
        <v>1</v>
      </c>
      <c r="J14" s="52" t="n">
        <v>1</v>
      </c>
      <c r="K14" s="52" t="n">
        <v>1</v>
      </c>
      <c r="L14" s="52" t="n">
        <v>1</v>
      </c>
      <c r="M14" s="52" t="n">
        <v>1</v>
      </c>
      <c r="N14" s="52" t="n">
        <v>1</v>
      </c>
      <c r="O14" s="52" t="n">
        <v>1</v>
      </c>
      <c r="P14" s="52" t="n">
        <v>1</v>
      </c>
      <c r="Q14" s="52" t="n">
        <v>1</v>
      </c>
      <c r="R14" s="52" t="n">
        <v>1</v>
      </c>
      <c r="S14" s="52" t="n">
        <v>1</v>
      </c>
      <c r="T14" s="52" t="n">
        <v>1</v>
      </c>
      <c r="U14" s="52" t="n">
        <v>1</v>
      </c>
      <c r="V14" s="52" t="n">
        <v>1</v>
      </c>
      <c r="W14" s="52" t="n">
        <v>1</v>
      </c>
      <c r="X14" s="52" t="n">
        <v>1</v>
      </c>
      <c r="Y14" s="52" t="n">
        <v>1</v>
      </c>
      <c r="Z14" s="52" t="n">
        <v>1</v>
      </c>
    </row>
    <row r="15" customFormat="false" ht="15" hidden="false" customHeight="false" outlineLevel="0" collapsed="false">
      <c r="A15" s="41" t="s">
        <v>127</v>
      </c>
      <c r="B15" s="54" t="n">
        <v>7440</v>
      </c>
      <c r="D15" s="52" t="n">
        <v>1</v>
      </c>
      <c r="E15" s="52" t="n">
        <v>1</v>
      </c>
      <c r="F15" s="52" t="n">
        <v>1</v>
      </c>
      <c r="G15" s="52" t="n">
        <v>1</v>
      </c>
      <c r="H15" s="52" t="n">
        <v>1</v>
      </c>
      <c r="I15" s="52" t="n">
        <v>1</v>
      </c>
      <c r="J15" s="52" t="n">
        <v>1</v>
      </c>
      <c r="K15" s="52" t="n">
        <v>1</v>
      </c>
      <c r="L15" s="52" t="n">
        <v>1</v>
      </c>
      <c r="M15" s="52" t="n">
        <v>1</v>
      </c>
      <c r="N15" s="52" t="n">
        <v>1</v>
      </c>
      <c r="O15" s="52" t="n">
        <v>1</v>
      </c>
      <c r="P15" s="52" t="n">
        <v>1</v>
      </c>
      <c r="Q15" s="52" t="n">
        <v>1</v>
      </c>
      <c r="R15" s="52" t="n">
        <v>1</v>
      </c>
      <c r="S15" s="52" t="n">
        <v>1</v>
      </c>
      <c r="T15" s="52" t="n">
        <v>1</v>
      </c>
      <c r="U15" s="52" t="n">
        <v>1</v>
      </c>
      <c r="V15" s="52" t="n">
        <v>1</v>
      </c>
      <c r="W15" s="52" t="n">
        <v>1</v>
      </c>
      <c r="X15" s="52" t="n">
        <v>1</v>
      </c>
      <c r="Y15" s="52" t="n">
        <v>1</v>
      </c>
      <c r="Z15" s="52" t="n">
        <v>1</v>
      </c>
    </row>
    <row r="16" customFormat="false" ht="15" hidden="false" customHeight="false" outlineLevel="0" collapsed="false">
      <c r="A16" s="41" t="s">
        <v>141</v>
      </c>
      <c r="B16" s="54" t="n">
        <v>20625</v>
      </c>
      <c r="D16" s="52" t="n">
        <v>1</v>
      </c>
      <c r="E16" s="52" t="n">
        <v>1</v>
      </c>
      <c r="F16" s="52" t="n">
        <v>1</v>
      </c>
      <c r="G16" s="52" t="n">
        <v>1</v>
      </c>
      <c r="H16" s="52" t="n">
        <v>1</v>
      </c>
      <c r="I16" s="52" t="n">
        <v>1</v>
      </c>
      <c r="J16" s="52" t="n">
        <v>1</v>
      </c>
      <c r="K16" s="52" t="n">
        <v>1</v>
      </c>
      <c r="L16" s="52" t="n">
        <v>1</v>
      </c>
      <c r="M16" s="52" t="n">
        <v>1</v>
      </c>
      <c r="N16" s="52" t="n">
        <v>1</v>
      </c>
      <c r="O16" s="52" t="n">
        <v>1</v>
      </c>
      <c r="P16" s="52" t="n">
        <v>1</v>
      </c>
      <c r="Q16" s="52" t="n">
        <v>1</v>
      </c>
      <c r="R16" s="52" t="n">
        <v>1</v>
      </c>
      <c r="S16" s="52" t="n">
        <v>1</v>
      </c>
      <c r="T16" s="52" t="n">
        <v>1</v>
      </c>
      <c r="U16" s="52" t="n">
        <v>1</v>
      </c>
      <c r="V16" s="52" t="n">
        <v>1</v>
      </c>
      <c r="W16" s="52" t="n">
        <v>1</v>
      </c>
      <c r="X16" s="52" t="n">
        <v>1</v>
      </c>
      <c r="Y16" s="52" t="n">
        <v>1</v>
      </c>
      <c r="Z16" s="52" t="n">
        <v>1</v>
      </c>
    </row>
    <row r="17" customFormat="false" ht="15" hidden="false" customHeight="false" outlineLevel="0" collapsed="false">
      <c r="A17" s="41" t="s">
        <v>214</v>
      </c>
      <c r="B17" s="54" t="n">
        <v>19750</v>
      </c>
      <c r="D17" s="52" t="n">
        <v>1</v>
      </c>
      <c r="E17" s="52" t="n">
        <v>1</v>
      </c>
      <c r="F17" s="52" t="n">
        <v>1</v>
      </c>
      <c r="G17" s="52" t="n">
        <v>1</v>
      </c>
      <c r="H17" s="52" t="n">
        <v>1</v>
      </c>
      <c r="I17" s="52" t="n">
        <v>1</v>
      </c>
      <c r="J17" s="52" t="n">
        <v>1</v>
      </c>
      <c r="K17" s="52" t="n">
        <v>1</v>
      </c>
      <c r="L17" s="52" t="n">
        <v>1</v>
      </c>
      <c r="M17" s="52" t="n">
        <v>1</v>
      </c>
      <c r="N17" s="52" t="n">
        <v>1</v>
      </c>
      <c r="O17" s="52" t="n">
        <v>1</v>
      </c>
      <c r="P17" s="52" t="n">
        <v>1</v>
      </c>
      <c r="Q17" s="52" t="n">
        <v>1</v>
      </c>
      <c r="R17" s="52" t="n">
        <v>1</v>
      </c>
      <c r="S17" s="52" t="n">
        <v>1</v>
      </c>
      <c r="T17" s="52" t="n">
        <v>1</v>
      </c>
      <c r="U17" s="52" t="n">
        <v>1</v>
      </c>
      <c r="V17" s="52" t="n">
        <v>1</v>
      </c>
      <c r="W17" s="52" t="n">
        <v>1</v>
      </c>
      <c r="X17" s="52" t="n">
        <v>1</v>
      </c>
      <c r="Y17" s="52" t="n">
        <v>1</v>
      </c>
      <c r="Z17" s="52" t="n">
        <v>1</v>
      </c>
    </row>
    <row r="18" customFormat="false" ht="15" hidden="false" customHeight="false" outlineLevel="0" collapsed="false">
      <c r="A18" s="41" t="s">
        <v>136</v>
      </c>
      <c r="B18" s="54" t="n">
        <v>13465</v>
      </c>
      <c r="D18" s="52" t="n">
        <v>1</v>
      </c>
      <c r="E18" s="52" t="n">
        <v>1</v>
      </c>
      <c r="F18" s="52" t="n">
        <v>1</v>
      </c>
      <c r="G18" s="52" t="n">
        <v>1</v>
      </c>
      <c r="H18" s="52" t="n">
        <v>1</v>
      </c>
      <c r="I18" s="52" t="n">
        <v>1</v>
      </c>
      <c r="J18" s="52" t="n">
        <v>1</v>
      </c>
      <c r="K18" s="52" t="n">
        <v>1</v>
      </c>
      <c r="L18" s="52" t="n">
        <v>1</v>
      </c>
      <c r="M18" s="52" t="n">
        <v>1</v>
      </c>
      <c r="N18" s="52" t="n">
        <v>1</v>
      </c>
      <c r="O18" s="52" t="n">
        <v>1</v>
      </c>
      <c r="P18" s="52" t="n">
        <v>1</v>
      </c>
      <c r="Q18" s="52" t="n">
        <v>1</v>
      </c>
      <c r="R18" s="52" t="n">
        <v>1</v>
      </c>
      <c r="S18" s="52" t="n">
        <v>1</v>
      </c>
      <c r="T18" s="52" t="n">
        <v>1</v>
      </c>
      <c r="U18" s="52" t="n">
        <v>1</v>
      </c>
      <c r="V18" s="52" t="n">
        <v>1</v>
      </c>
      <c r="W18" s="52" t="n">
        <v>1</v>
      </c>
      <c r="X18" s="52" t="n">
        <v>1</v>
      </c>
      <c r="Y18" s="52" t="n">
        <v>1</v>
      </c>
      <c r="Z18" s="52" t="n">
        <v>1</v>
      </c>
    </row>
    <row r="19" customFormat="false" ht="15" hidden="false" customHeight="false" outlineLevel="0" collapsed="false">
      <c r="A19" s="41" t="s">
        <v>215</v>
      </c>
      <c r="B19" s="54" t="n">
        <f aca="false">ROUND(4285.71/6,4)</f>
        <v>714.285</v>
      </c>
      <c r="D19" s="52" t="n">
        <v>1</v>
      </c>
      <c r="E19" s="52" t="n">
        <v>1</v>
      </c>
      <c r="F19" s="52" t="n">
        <v>1</v>
      </c>
      <c r="G19" s="52" t="n">
        <v>1</v>
      </c>
      <c r="H19" s="52" t="n">
        <v>1</v>
      </c>
      <c r="I19" s="52" t="n">
        <v>1</v>
      </c>
      <c r="J19" s="52" t="n">
        <v>1</v>
      </c>
      <c r="K19" s="52" t="n">
        <v>1</v>
      </c>
      <c r="L19" s="52" t="n">
        <v>1</v>
      </c>
      <c r="M19" s="52" t="n">
        <v>1</v>
      </c>
      <c r="N19" s="52" t="n">
        <v>1</v>
      </c>
      <c r="O19" s="52" t="n">
        <v>1</v>
      </c>
      <c r="P19" s="52" t="n">
        <v>1</v>
      </c>
      <c r="Q19" s="52" t="n">
        <v>1</v>
      </c>
      <c r="R19" s="52" t="n">
        <v>1</v>
      </c>
      <c r="S19" s="52" t="n">
        <v>1</v>
      </c>
      <c r="T19" s="52" t="n">
        <v>1</v>
      </c>
      <c r="U19" s="52" t="n">
        <v>1</v>
      </c>
      <c r="V19" s="52" t="n">
        <v>1</v>
      </c>
      <c r="W19" s="52" t="n">
        <v>1</v>
      </c>
      <c r="X19" s="52" t="n">
        <v>1</v>
      </c>
      <c r="Y19" s="52" t="n">
        <v>1</v>
      </c>
      <c r="Z19" s="52" t="n">
        <v>1</v>
      </c>
    </row>
    <row r="22" customFormat="false" ht="15" hidden="false" customHeight="false" outlineLevel="0" collapsed="false">
      <c r="A22" s="40" t="s">
        <v>216</v>
      </c>
    </row>
    <row r="23" customFormat="false" ht="15" hidden="false" customHeight="false" outlineLevel="0" collapsed="false">
      <c r="A23" s="53" t="s">
        <v>209</v>
      </c>
      <c r="B23" s="53" t="s">
        <v>210</v>
      </c>
      <c r="C23" s="53" t="s">
        <v>211</v>
      </c>
      <c r="D23" s="53" t="n">
        <v>1</v>
      </c>
      <c r="E23" s="53" t="n">
        <v>2</v>
      </c>
      <c r="F23" s="53" t="n">
        <v>3</v>
      </c>
      <c r="G23" s="53" t="n">
        <v>4</v>
      </c>
      <c r="H23" s="53" t="n">
        <v>5</v>
      </c>
      <c r="I23" s="53" t="n">
        <v>6</v>
      </c>
      <c r="J23" s="53" t="n">
        <v>7</v>
      </c>
      <c r="K23" s="53" t="n">
        <v>8</v>
      </c>
      <c r="L23" s="53" t="n">
        <v>9</v>
      </c>
      <c r="M23" s="53" t="n">
        <v>10</v>
      </c>
      <c r="N23" s="53" t="n">
        <v>11</v>
      </c>
      <c r="O23" s="53" t="n">
        <v>12</v>
      </c>
      <c r="P23" s="53" t="n">
        <v>13</v>
      </c>
      <c r="Q23" s="53" t="n">
        <v>14</v>
      </c>
      <c r="R23" s="53" t="n">
        <v>15</v>
      </c>
      <c r="S23" s="53" t="n">
        <v>16</v>
      </c>
      <c r="T23" s="53" t="n">
        <v>17</v>
      </c>
      <c r="U23" s="53" t="n">
        <v>18</v>
      </c>
      <c r="V23" s="53" t="n">
        <v>19</v>
      </c>
      <c r="W23" s="53" t="n">
        <v>20</v>
      </c>
      <c r="X23" s="53" t="n">
        <v>21</v>
      </c>
      <c r="Y23" s="53" t="n">
        <v>22</v>
      </c>
      <c r="Z23" s="53" t="n">
        <v>23</v>
      </c>
      <c r="AA23" s="53" t="s">
        <v>212</v>
      </c>
    </row>
    <row r="24" customFormat="false" ht="15" hidden="false" customHeight="false" outlineLevel="0" collapsed="false">
      <c r="A24" s="41" t="s">
        <v>213</v>
      </c>
      <c r="B24" s="54" t="n">
        <v>27700</v>
      </c>
      <c r="D24" s="52" t="n">
        <v>2</v>
      </c>
      <c r="E24" s="52" t="n">
        <v>2</v>
      </c>
      <c r="F24" s="52" t="n">
        <v>2</v>
      </c>
      <c r="G24" s="52" t="n">
        <v>2</v>
      </c>
      <c r="H24" s="52" t="n">
        <v>2</v>
      </c>
      <c r="I24" s="52" t="n">
        <v>2</v>
      </c>
      <c r="J24" s="52" t="n">
        <v>2</v>
      </c>
      <c r="K24" s="52" t="n">
        <v>2</v>
      </c>
      <c r="L24" s="52" t="n">
        <v>2</v>
      </c>
      <c r="M24" s="52" t="n">
        <v>2</v>
      </c>
      <c r="N24" s="52" t="n">
        <v>2</v>
      </c>
      <c r="O24" s="52" t="n">
        <v>2</v>
      </c>
      <c r="P24" s="52" t="n">
        <v>2</v>
      </c>
      <c r="Q24" s="52" t="n">
        <v>2</v>
      </c>
      <c r="R24" s="52" t="n">
        <v>2</v>
      </c>
      <c r="S24" s="52" t="n">
        <v>2</v>
      </c>
      <c r="T24" s="52" t="n">
        <v>2</v>
      </c>
      <c r="U24" s="52" t="n">
        <v>2</v>
      </c>
      <c r="V24" s="52" t="n">
        <v>2</v>
      </c>
      <c r="W24" s="52" t="n">
        <v>2</v>
      </c>
      <c r="X24" s="52" t="n">
        <v>2</v>
      </c>
      <c r="Y24" s="52" t="n">
        <v>2</v>
      </c>
      <c r="Z24" s="52" t="n">
        <v>2</v>
      </c>
    </row>
    <row r="25" customFormat="false" ht="15" hidden="false" customHeight="false" outlineLevel="0" collapsed="false">
      <c r="A25" s="41" t="s">
        <v>129</v>
      </c>
      <c r="B25" s="54" t="n">
        <v>18860</v>
      </c>
      <c r="D25" s="52" t="n">
        <v>1</v>
      </c>
      <c r="E25" s="52" t="n">
        <v>1</v>
      </c>
      <c r="F25" s="52" t="n">
        <v>1</v>
      </c>
      <c r="G25" s="52" t="n">
        <v>1</v>
      </c>
      <c r="H25" s="52" t="n">
        <v>1</v>
      </c>
      <c r="I25" s="52" t="n">
        <v>1</v>
      </c>
      <c r="J25" s="52" t="n">
        <v>1</v>
      </c>
      <c r="K25" s="52" t="n">
        <v>1</v>
      </c>
      <c r="L25" s="52" t="n">
        <v>1</v>
      </c>
      <c r="M25" s="52" t="n">
        <v>1</v>
      </c>
      <c r="N25" s="52" t="n">
        <v>1</v>
      </c>
      <c r="O25" s="52" t="n">
        <v>1</v>
      </c>
      <c r="P25" s="52" t="n">
        <v>1</v>
      </c>
      <c r="Q25" s="52" t="n">
        <v>1</v>
      </c>
      <c r="R25" s="52" t="n">
        <v>1</v>
      </c>
      <c r="S25" s="52" t="n">
        <v>1</v>
      </c>
      <c r="T25" s="52" t="n">
        <v>1</v>
      </c>
      <c r="U25" s="52" t="n">
        <v>1</v>
      </c>
      <c r="V25" s="52" t="n">
        <v>1</v>
      </c>
      <c r="W25" s="52" t="n">
        <v>0.5</v>
      </c>
      <c r="X25" s="52" t="n">
        <v>0.5</v>
      </c>
      <c r="Y25" s="52" t="n">
        <v>0.5</v>
      </c>
      <c r="Z25" s="52" t="n">
        <v>0.5</v>
      </c>
      <c r="AB25" s="55" t="s">
        <v>217</v>
      </c>
    </row>
    <row r="26" customFormat="false" ht="15" hidden="false" customHeight="false" outlineLevel="0" collapsed="false">
      <c r="A26" s="41" t="s">
        <v>131</v>
      </c>
      <c r="B26" s="54" t="n">
        <v>13555</v>
      </c>
      <c r="D26" s="52" t="n">
        <v>2</v>
      </c>
      <c r="E26" s="52" t="n">
        <v>2</v>
      </c>
      <c r="F26" s="52" t="n">
        <v>2</v>
      </c>
      <c r="G26" s="52" t="n">
        <v>1.5</v>
      </c>
      <c r="H26" s="52" t="n">
        <v>1.5</v>
      </c>
      <c r="I26" s="52" t="n">
        <v>1.5</v>
      </c>
      <c r="J26" s="52" t="n">
        <v>1.5</v>
      </c>
      <c r="K26" s="52" t="n">
        <v>1.5</v>
      </c>
      <c r="L26" s="52" t="n">
        <v>1.5</v>
      </c>
      <c r="M26" s="52" t="n">
        <v>1.5</v>
      </c>
      <c r="N26" s="52" t="n">
        <v>1.5</v>
      </c>
      <c r="O26" s="52" t="n">
        <v>1.5</v>
      </c>
      <c r="P26" s="52" t="n">
        <v>1.5</v>
      </c>
      <c r="Q26" s="52" t="n">
        <v>2</v>
      </c>
      <c r="R26" s="52" t="n">
        <v>2</v>
      </c>
      <c r="S26" s="52" t="n">
        <v>2</v>
      </c>
      <c r="T26" s="52" t="n">
        <v>2</v>
      </c>
      <c r="U26" s="52" t="n">
        <v>2</v>
      </c>
      <c r="V26" s="52" t="n">
        <v>2</v>
      </c>
      <c r="W26" s="52" t="n">
        <v>2</v>
      </c>
      <c r="X26" s="52" t="n">
        <v>2</v>
      </c>
      <c r="Y26" s="52" t="n">
        <v>2</v>
      </c>
      <c r="Z26" s="52" t="n">
        <v>2</v>
      </c>
      <c r="AB26" s="55" t="s">
        <v>218</v>
      </c>
    </row>
    <row r="27" customFormat="false" ht="15" hidden="false" customHeight="false" outlineLevel="0" collapsed="false">
      <c r="A27" s="41" t="s">
        <v>143</v>
      </c>
      <c r="B27" s="54" t="n">
        <v>20625</v>
      </c>
      <c r="D27" s="52" t="n">
        <v>0.5</v>
      </c>
      <c r="E27" s="52" t="n">
        <v>0.5</v>
      </c>
      <c r="F27" s="52" t="n">
        <v>0.5</v>
      </c>
      <c r="G27" s="52" t="n">
        <v>0.5</v>
      </c>
      <c r="H27" s="52" t="n">
        <v>0.5</v>
      </c>
      <c r="I27" s="52" t="n">
        <v>1</v>
      </c>
      <c r="J27" s="52" t="n">
        <v>1</v>
      </c>
      <c r="K27" s="52" t="n">
        <v>1</v>
      </c>
      <c r="L27" s="52" t="n">
        <v>1</v>
      </c>
      <c r="M27" s="52" t="n">
        <v>1</v>
      </c>
      <c r="N27" s="52" t="n">
        <v>1</v>
      </c>
      <c r="O27" s="52" t="n">
        <v>1</v>
      </c>
      <c r="P27" s="52" t="n">
        <v>1</v>
      </c>
      <c r="Q27" s="52" t="n">
        <v>1</v>
      </c>
      <c r="R27" s="52" t="n">
        <v>1</v>
      </c>
      <c r="S27" s="52" t="n">
        <v>1</v>
      </c>
      <c r="T27" s="52" t="n">
        <v>1</v>
      </c>
      <c r="U27" s="52" t="n">
        <v>1</v>
      </c>
      <c r="V27" s="52" t="n">
        <v>1</v>
      </c>
      <c r="W27" s="52" t="n">
        <v>1</v>
      </c>
      <c r="X27" s="52" t="n">
        <v>1</v>
      </c>
      <c r="Y27" s="52" t="n">
        <v>1</v>
      </c>
      <c r="Z27" s="52" t="n">
        <v>1</v>
      </c>
      <c r="AB27" s="55" t="s">
        <v>219</v>
      </c>
    </row>
    <row r="28" customFormat="false" ht="15" hidden="false" customHeight="false" outlineLevel="0" collapsed="false">
      <c r="A28" s="41" t="s">
        <v>127</v>
      </c>
      <c r="B28" s="54" t="n">
        <v>7440</v>
      </c>
      <c r="D28" s="52" t="n">
        <v>1</v>
      </c>
      <c r="E28" s="52" t="n">
        <v>1</v>
      </c>
      <c r="F28" s="52" t="n">
        <v>1</v>
      </c>
      <c r="G28" s="52" t="n">
        <v>1</v>
      </c>
      <c r="H28" s="52" t="n">
        <v>1</v>
      </c>
      <c r="I28" s="52" t="n">
        <v>1</v>
      </c>
      <c r="J28" s="52" t="n">
        <v>1</v>
      </c>
      <c r="K28" s="52" t="n">
        <v>1</v>
      </c>
      <c r="L28" s="52" t="n">
        <v>1</v>
      </c>
      <c r="M28" s="52" t="n">
        <v>1</v>
      </c>
      <c r="N28" s="52" t="n">
        <v>1</v>
      </c>
      <c r="O28" s="52" t="n">
        <v>1</v>
      </c>
      <c r="P28" s="52" t="n">
        <v>1</v>
      </c>
      <c r="Q28" s="52" t="n">
        <v>1</v>
      </c>
      <c r="R28" s="52" t="n">
        <v>1</v>
      </c>
      <c r="S28" s="52" t="n">
        <v>1</v>
      </c>
      <c r="T28" s="52" t="n">
        <v>1</v>
      </c>
      <c r="U28" s="52" t="n">
        <v>1</v>
      </c>
      <c r="V28" s="52" t="n">
        <v>1</v>
      </c>
      <c r="W28" s="52" t="n">
        <v>1</v>
      </c>
      <c r="X28" s="52" t="n">
        <v>1</v>
      </c>
      <c r="Y28" s="52" t="n">
        <v>1</v>
      </c>
      <c r="Z28" s="52" t="n">
        <v>1</v>
      </c>
    </row>
    <row r="29" customFormat="false" ht="15" hidden="false" customHeight="false" outlineLevel="0" collapsed="false">
      <c r="A29" s="41" t="s">
        <v>141</v>
      </c>
      <c r="B29" s="54" t="n">
        <v>20625</v>
      </c>
      <c r="D29" s="52" t="n">
        <v>1</v>
      </c>
      <c r="E29" s="52" t="n">
        <v>1</v>
      </c>
      <c r="F29" s="52" t="n">
        <v>1</v>
      </c>
      <c r="G29" s="52" t="n">
        <v>1</v>
      </c>
      <c r="H29" s="52" t="n">
        <v>1</v>
      </c>
      <c r="I29" s="52" t="n">
        <v>1</v>
      </c>
      <c r="J29" s="52" t="n">
        <v>1</v>
      </c>
      <c r="K29" s="52" t="n">
        <v>1</v>
      </c>
      <c r="L29" s="52" t="n">
        <v>1</v>
      </c>
      <c r="M29" s="52" t="n">
        <v>1</v>
      </c>
      <c r="N29" s="52" t="n">
        <v>1</v>
      </c>
      <c r="O29" s="52" t="n">
        <v>1</v>
      </c>
      <c r="P29" s="52" t="n">
        <v>1</v>
      </c>
      <c r="Q29" s="52" t="n">
        <v>1</v>
      </c>
      <c r="R29" s="52" t="n">
        <v>1</v>
      </c>
      <c r="S29" s="52" t="n">
        <v>1</v>
      </c>
      <c r="T29" s="52" t="n">
        <v>1</v>
      </c>
      <c r="U29" s="52" t="n">
        <v>1</v>
      </c>
      <c r="V29" s="52" t="n">
        <v>1</v>
      </c>
      <c r="W29" s="52" t="n">
        <v>1</v>
      </c>
      <c r="X29" s="52" t="n">
        <v>1</v>
      </c>
      <c r="Y29" s="52" t="n">
        <v>1</v>
      </c>
      <c r="Z29" s="52" t="n">
        <v>1</v>
      </c>
    </row>
    <row r="30" customFormat="false" ht="15" hidden="false" customHeight="false" outlineLevel="0" collapsed="false">
      <c r="A30" s="41" t="s">
        <v>214</v>
      </c>
      <c r="B30" s="54" t="n">
        <v>19750</v>
      </c>
      <c r="D30" s="52" t="n">
        <v>1</v>
      </c>
      <c r="E30" s="52" t="n">
        <v>1</v>
      </c>
      <c r="F30" s="52" t="n">
        <v>1</v>
      </c>
      <c r="G30" s="52" t="n">
        <v>1</v>
      </c>
      <c r="H30" s="52" t="n">
        <v>1</v>
      </c>
      <c r="I30" s="52" t="n">
        <v>1</v>
      </c>
      <c r="J30" s="52" t="n">
        <v>1</v>
      </c>
      <c r="K30" s="52" t="n">
        <v>1</v>
      </c>
      <c r="L30" s="52" t="n">
        <v>1</v>
      </c>
      <c r="M30" s="52" t="n">
        <v>1</v>
      </c>
      <c r="N30" s="52" t="n">
        <v>1</v>
      </c>
      <c r="O30" s="52" t="n">
        <v>1</v>
      </c>
      <c r="P30" s="52" t="n">
        <v>1</v>
      </c>
      <c r="Q30" s="52" t="n">
        <v>1</v>
      </c>
      <c r="R30" s="52" t="n">
        <v>1</v>
      </c>
      <c r="S30" s="52" t="n">
        <v>1</v>
      </c>
      <c r="T30" s="52" t="n">
        <v>1</v>
      </c>
      <c r="U30" s="52" t="n">
        <v>1</v>
      </c>
      <c r="V30" s="52" t="n">
        <v>1</v>
      </c>
      <c r="W30" s="52" t="n">
        <v>1</v>
      </c>
      <c r="X30" s="52" t="n">
        <v>1</v>
      </c>
      <c r="Y30" s="52" t="n">
        <v>1</v>
      </c>
      <c r="Z30" s="52" t="n">
        <v>1</v>
      </c>
    </row>
    <row r="31" customFormat="false" ht="15" hidden="false" customHeight="false" outlineLevel="0" collapsed="false">
      <c r="A31" s="41" t="s">
        <v>136</v>
      </c>
      <c r="B31" s="54" t="n">
        <v>4920</v>
      </c>
      <c r="D31" s="52" t="n">
        <v>1</v>
      </c>
      <c r="E31" s="52" t="n">
        <v>1</v>
      </c>
      <c r="F31" s="52" t="n">
        <v>1</v>
      </c>
      <c r="G31" s="52" t="n">
        <v>1</v>
      </c>
      <c r="H31" s="52" t="n">
        <v>1</v>
      </c>
      <c r="I31" s="52" t="n">
        <v>1</v>
      </c>
      <c r="J31" s="52" t="n">
        <v>1</v>
      </c>
      <c r="K31" s="52" t="n">
        <v>1</v>
      </c>
      <c r="L31" s="52" t="n">
        <v>1</v>
      </c>
      <c r="M31" s="52" t="n">
        <v>1</v>
      </c>
      <c r="N31" s="52" t="n">
        <v>1</v>
      </c>
      <c r="O31" s="52" t="n">
        <v>1</v>
      </c>
      <c r="P31" s="52" t="n">
        <v>1</v>
      </c>
      <c r="Q31" s="52" t="n">
        <v>1</v>
      </c>
      <c r="R31" s="52" t="n">
        <v>1</v>
      </c>
      <c r="S31" s="52" t="n">
        <v>1</v>
      </c>
      <c r="T31" s="52" t="n">
        <v>1</v>
      </c>
      <c r="U31" s="52" t="n">
        <v>1</v>
      </c>
      <c r="V31" s="52" t="n">
        <v>1</v>
      </c>
      <c r="W31" s="52" t="n">
        <v>1</v>
      </c>
      <c r="X31" s="52" t="n">
        <v>1</v>
      </c>
      <c r="Y31" s="52" t="n">
        <v>1</v>
      </c>
      <c r="Z31" s="52" t="n">
        <v>1</v>
      </c>
    </row>
    <row r="32" customFormat="false" ht="15" hidden="false" customHeight="false" outlineLevel="0" collapsed="false">
      <c r="A32" s="41" t="s">
        <v>215</v>
      </c>
      <c r="B32" s="54" t="n">
        <v>569.02</v>
      </c>
      <c r="D32" s="52" t="n">
        <v>1</v>
      </c>
      <c r="E32" s="52" t="n">
        <v>1</v>
      </c>
      <c r="F32" s="52" t="n">
        <v>1</v>
      </c>
      <c r="G32" s="52" t="n">
        <v>1</v>
      </c>
      <c r="H32" s="52" t="n">
        <v>1</v>
      </c>
      <c r="I32" s="52" t="n">
        <v>1</v>
      </c>
      <c r="J32" s="52" t="n">
        <v>1</v>
      </c>
      <c r="K32" s="52" t="n">
        <v>1</v>
      </c>
      <c r="L32" s="52" t="n">
        <v>1</v>
      </c>
      <c r="M32" s="52" t="n">
        <v>1</v>
      </c>
      <c r="N32" s="52" t="n">
        <v>1</v>
      </c>
      <c r="O32" s="52" t="n">
        <v>1</v>
      </c>
      <c r="P32" s="52" t="n">
        <v>1</v>
      </c>
      <c r="Q32" s="52" t="n">
        <v>1</v>
      </c>
      <c r="R32" s="52" t="n">
        <v>1</v>
      </c>
      <c r="S32" s="52" t="n">
        <v>1</v>
      </c>
      <c r="T32" s="52" t="n">
        <v>1</v>
      </c>
      <c r="U32" s="52" t="n">
        <v>1</v>
      </c>
      <c r="V32" s="52" t="n">
        <v>1</v>
      </c>
      <c r="W32" s="52" t="n">
        <v>1</v>
      </c>
      <c r="X32" s="52" t="n">
        <v>1</v>
      </c>
      <c r="Y32" s="52" t="n">
        <v>1</v>
      </c>
      <c r="Z32" s="52" t="n">
        <v>1</v>
      </c>
      <c r="AB32" s="55" t="s">
        <v>220</v>
      </c>
    </row>
    <row r="35" customFormat="false" ht="15" hidden="false" customHeight="false" outlineLevel="0" collapsed="false">
      <c r="A35" s="40" t="s">
        <v>221</v>
      </c>
    </row>
    <row r="36" customFormat="false" ht="15" hidden="false" customHeight="false" outlineLevel="0" collapsed="false">
      <c r="A36" s="53" t="s">
        <v>209</v>
      </c>
      <c r="B36" s="53" t="s">
        <v>210</v>
      </c>
      <c r="C36" s="53" t="s">
        <v>211</v>
      </c>
      <c r="D36" s="53" t="n">
        <v>1</v>
      </c>
      <c r="E36" s="53" t="n">
        <v>2</v>
      </c>
      <c r="F36" s="53" t="n">
        <v>3</v>
      </c>
      <c r="G36" s="53" t="n">
        <v>4</v>
      </c>
      <c r="H36" s="53" t="n">
        <v>5</v>
      </c>
      <c r="I36" s="53" t="n">
        <v>6</v>
      </c>
      <c r="J36" s="53" t="n">
        <v>7</v>
      </c>
      <c r="K36" s="53" t="n">
        <v>8</v>
      </c>
      <c r="L36" s="53" t="n">
        <v>9</v>
      </c>
      <c r="M36" s="53" t="n">
        <v>10</v>
      </c>
      <c r="N36" s="53" t="n">
        <v>11</v>
      </c>
      <c r="O36" s="53" t="n">
        <v>12</v>
      </c>
      <c r="P36" s="53" t="n">
        <v>13</v>
      </c>
      <c r="Q36" s="53" t="n">
        <v>14</v>
      </c>
      <c r="R36" s="53" t="n">
        <v>15</v>
      </c>
      <c r="S36" s="53" t="n">
        <v>16</v>
      </c>
      <c r="T36" s="53" t="n">
        <v>17</v>
      </c>
      <c r="U36" s="53" t="n">
        <v>18</v>
      </c>
      <c r="V36" s="53" t="n">
        <v>19</v>
      </c>
      <c r="W36" s="53" t="n">
        <v>20</v>
      </c>
      <c r="X36" s="53" t="n">
        <v>21</v>
      </c>
      <c r="Y36" s="53" t="n">
        <v>22</v>
      </c>
      <c r="Z36" s="53" t="n">
        <v>23</v>
      </c>
      <c r="AA36" s="53" t="s">
        <v>212</v>
      </c>
    </row>
    <row r="37" customFormat="false" ht="15" hidden="false" customHeight="false" outlineLevel="0" collapsed="false">
      <c r="A37" s="41" t="s">
        <v>14</v>
      </c>
      <c r="C37" s="41" t="n">
        <v>1</v>
      </c>
      <c r="D37" s="56" t="n">
        <f aca="false">IF(AND(D$36&gt;=$B$4,D$36&lt;=$C$4),$B$11*D11,0)</f>
        <v>55400</v>
      </c>
      <c r="E37" s="56" t="n">
        <f aca="false">IF(AND(E$36&gt;=$B$4,E$36&lt;=$C$4),$B$11*E11,0)</f>
        <v>55400</v>
      </c>
      <c r="F37" s="56" t="n">
        <f aca="false">IF(AND(F$36&gt;=$B$4,F$36&lt;=$C$4),$B$11*F11,0)</f>
        <v>55400</v>
      </c>
      <c r="G37" s="56" t="n">
        <f aca="false">IF(AND(G$36&gt;=$B$4,G$36&lt;=$C$4),$B$11*G11,0)</f>
        <v>55400</v>
      </c>
      <c r="H37" s="56" t="n">
        <f aca="false">IF(AND(H$36&gt;=$B$4,H$36&lt;=$C$4),$B$11*H11,0)</f>
        <v>55400</v>
      </c>
      <c r="I37" s="56" t="n">
        <f aca="false">IF(AND(I$36&gt;=$B$4,I$36&lt;=$C$4),$B$11*I11,0)</f>
        <v>0</v>
      </c>
      <c r="J37" s="56" t="n">
        <f aca="false">IF(AND(J$36&gt;=$B$4,J$36&lt;=$C$4),$B$11*J11,0)</f>
        <v>0</v>
      </c>
      <c r="K37" s="56" t="n">
        <f aca="false">IF(AND(K$36&gt;=$B$4,K$36&lt;=$C$4),$B$11*K11,0)</f>
        <v>0</v>
      </c>
      <c r="L37" s="56" t="n">
        <f aca="false">IF(AND(L$36&gt;=$B$4,L$36&lt;=$C$4),$B$11*L11,0)</f>
        <v>0</v>
      </c>
      <c r="M37" s="56" t="n">
        <f aca="false">IF(AND(M$36&gt;=$B$4,M$36&lt;=$C$4),$B$11*M11,0)</f>
        <v>0</v>
      </c>
      <c r="N37" s="56" t="n">
        <f aca="false">IF(AND(N$36&gt;=$B$4,N$36&lt;=$C$4),$B$11*N11,0)</f>
        <v>0</v>
      </c>
      <c r="O37" s="56" t="n">
        <f aca="false">IF(AND(O$36&gt;=$B$4,O$36&lt;=$C$4),$B$11*O11,0)</f>
        <v>0</v>
      </c>
      <c r="P37" s="56" t="n">
        <f aca="false">IF(AND(P$36&gt;=$B$4,P$36&lt;=$C$4),$B$11*P11,0)</f>
        <v>0</v>
      </c>
      <c r="Q37" s="56" t="n">
        <f aca="false">IF(AND(Q$36&gt;=$B$4,Q$36&lt;=$C$4),$B$11*Q11,0)</f>
        <v>0</v>
      </c>
      <c r="R37" s="56" t="n">
        <f aca="false">IF(AND(R$36&gt;=$B$4,R$36&lt;=$C$4),$B$11*R11,0)</f>
        <v>0</v>
      </c>
      <c r="S37" s="56" t="n">
        <f aca="false">IF(AND(S$36&gt;=$B$4,S$36&lt;=$C$4),$B$11*S11,0)</f>
        <v>0</v>
      </c>
      <c r="T37" s="56" t="n">
        <f aca="false">IF(AND(T$36&gt;=$B$4,T$36&lt;=$C$4),$B$11*T11,0)</f>
        <v>0</v>
      </c>
      <c r="U37" s="56" t="n">
        <f aca="false">IF(AND(U$36&gt;=$B$4,U$36&lt;=$C$4),$B$11*U11,0)</f>
        <v>0</v>
      </c>
      <c r="V37" s="56" t="n">
        <f aca="false">IF(AND(V$36&gt;=$B$4,V$36&lt;=$C$4),$B$11*V11,0)</f>
        <v>0</v>
      </c>
      <c r="W37" s="56" t="n">
        <f aca="false">IF(AND(W$36&gt;=$B$4,W$36&lt;=$C$4),$B$11*W11,0)</f>
        <v>0</v>
      </c>
      <c r="X37" s="56" t="n">
        <f aca="false">IF(AND(X$36&gt;=$B$4,X$36&lt;=$C$4),$B$11*X11,0)</f>
        <v>0</v>
      </c>
      <c r="Y37" s="56" t="n">
        <f aca="false">IF(AND(Y$36&gt;=$B$4,Y$36&lt;=$C$4),$B$11*Y11,0)</f>
        <v>0</v>
      </c>
      <c r="Z37" s="56" t="n">
        <f aca="false">IF(AND(Z$36&gt;=$B$4,Z$36&lt;=$C$4),$B$11*Z11,0)</f>
        <v>0</v>
      </c>
      <c r="AA37" s="57" t="n">
        <f aca="false">SUM(D37:Z37)</f>
        <v>277000</v>
      </c>
    </row>
    <row r="38" customFormat="false" ht="15" hidden="false" customHeight="false" outlineLevel="0" collapsed="false">
      <c r="A38" s="41" t="s">
        <v>15</v>
      </c>
      <c r="C38" s="41" t="n">
        <v>1</v>
      </c>
      <c r="D38" s="56" t="n">
        <f aca="false">IF(AND(D$36&gt;=$B$4,D$36&lt;=$C$4),$B$12*D12,0)</f>
        <v>18860</v>
      </c>
      <c r="E38" s="56" t="n">
        <f aca="false">IF(AND(E$36&gt;=$B$4,E$36&lt;=$C$4),$B$12*E12,0)</f>
        <v>18860</v>
      </c>
      <c r="F38" s="56" t="n">
        <f aca="false">IF(AND(F$36&gt;=$B$4,F$36&lt;=$C$4),$B$12*F12,0)</f>
        <v>18860</v>
      </c>
      <c r="G38" s="56" t="n">
        <f aca="false">IF(AND(G$36&gt;=$B$4,G$36&lt;=$C$4),$B$12*G12,0)</f>
        <v>18860</v>
      </c>
      <c r="H38" s="56" t="n">
        <f aca="false">IF(AND(H$36&gt;=$B$4,H$36&lt;=$C$4),$B$12*H12,0)</f>
        <v>18860</v>
      </c>
      <c r="I38" s="56" t="n">
        <f aca="false">IF(AND(I$36&gt;=$B$4,I$36&lt;=$C$4),$B$12*I12,0)</f>
        <v>0</v>
      </c>
      <c r="J38" s="56" t="n">
        <f aca="false">IF(AND(J$36&gt;=$B$4,J$36&lt;=$C$4),$B$12*J12,0)</f>
        <v>0</v>
      </c>
      <c r="K38" s="56" t="n">
        <f aca="false">IF(AND(K$36&gt;=$B$4,K$36&lt;=$C$4),$B$12*K12,0)</f>
        <v>0</v>
      </c>
      <c r="L38" s="56" t="n">
        <f aca="false">IF(AND(L$36&gt;=$B$4,L$36&lt;=$C$4),$B$12*L12,0)</f>
        <v>0</v>
      </c>
      <c r="M38" s="56" t="n">
        <f aca="false">IF(AND(M$36&gt;=$B$4,M$36&lt;=$C$4),$B$12*M12,0)</f>
        <v>0</v>
      </c>
      <c r="N38" s="56" t="n">
        <f aca="false">IF(AND(N$36&gt;=$B$4,N$36&lt;=$C$4),$B$12*N12,0)</f>
        <v>0</v>
      </c>
      <c r="O38" s="56" t="n">
        <f aca="false">IF(AND(O$36&gt;=$B$4,O$36&lt;=$C$4),$B$12*O12,0)</f>
        <v>0</v>
      </c>
      <c r="P38" s="56" t="n">
        <f aca="false">IF(AND(P$36&gt;=$B$4,P$36&lt;=$C$4),$B$12*P12,0)</f>
        <v>0</v>
      </c>
      <c r="Q38" s="56" t="n">
        <f aca="false">IF(AND(Q$36&gt;=$B$4,Q$36&lt;=$C$4),$B$12*Q12,0)</f>
        <v>0</v>
      </c>
      <c r="R38" s="56" t="n">
        <f aca="false">IF(AND(R$36&gt;=$B$4,R$36&lt;=$C$4),$B$12*R12,0)</f>
        <v>0</v>
      </c>
      <c r="S38" s="56" t="n">
        <f aca="false">IF(AND(S$36&gt;=$B$4,S$36&lt;=$C$4),$B$12*S12,0)</f>
        <v>0</v>
      </c>
      <c r="T38" s="56" t="n">
        <f aca="false">IF(AND(T$36&gt;=$B$4,T$36&lt;=$C$4),$B$12*T12,0)</f>
        <v>0</v>
      </c>
      <c r="U38" s="56" t="n">
        <f aca="false">IF(AND(U$36&gt;=$B$4,U$36&lt;=$C$4),$B$12*U12,0)</f>
        <v>0</v>
      </c>
      <c r="V38" s="56" t="n">
        <f aca="false">IF(AND(V$36&gt;=$B$4,V$36&lt;=$C$4),$B$12*V12,0)</f>
        <v>0</v>
      </c>
      <c r="W38" s="56" t="n">
        <f aca="false">IF(AND(W$36&gt;=$B$4,W$36&lt;=$C$4),$B$12*W12,0)</f>
        <v>0</v>
      </c>
      <c r="X38" s="56" t="n">
        <f aca="false">IF(AND(X$36&gt;=$B$4,X$36&lt;=$C$4),$B$12*X12,0)</f>
        <v>0</v>
      </c>
      <c r="Y38" s="56" t="n">
        <f aca="false">IF(AND(Y$36&gt;=$B$4,Y$36&lt;=$C$4),$B$12*Y12,0)</f>
        <v>0</v>
      </c>
      <c r="Z38" s="56" t="n">
        <f aca="false">IF(AND(Z$36&gt;=$B$4,Z$36&lt;=$C$4),$B$12*Z12,0)</f>
        <v>0</v>
      </c>
      <c r="AA38" s="57" t="n">
        <f aca="false">SUM(D38:Z38)</f>
        <v>94300</v>
      </c>
    </row>
    <row r="39" customFormat="false" ht="15" hidden="false" customHeight="false" outlineLevel="0" collapsed="false">
      <c r="A39" s="41" t="s">
        <v>16</v>
      </c>
      <c r="C39" s="41" t="n">
        <v>1</v>
      </c>
      <c r="D39" s="56" t="n">
        <f aca="false">IF(AND(D$36&gt;=$B$4,D$36&lt;=$C$4),$B$13*D13,0)</f>
        <v>27110</v>
      </c>
      <c r="E39" s="56" t="n">
        <f aca="false">IF(AND(E$36&gt;=$B$4,E$36&lt;=$C$4),$B$13*E13,0)</f>
        <v>27110</v>
      </c>
      <c r="F39" s="56" t="n">
        <f aca="false">IF(AND(F$36&gt;=$B$4,F$36&lt;=$C$4),$B$13*F13,0)</f>
        <v>27110</v>
      </c>
      <c r="G39" s="56" t="n">
        <f aca="false">IF(AND(G$36&gt;=$B$4,G$36&lt;=$C$4),$B$13*G13,0)</f>
        <v>27110</v>
      </c>
      <c r="H39" s="56" t="n">
        <f aca="false">IF(AND(H$36&gt;=$B$4,H$36&lt;=$C$4),$B$13*H13,0)</f>
        <v>27110</v>
      </c>
      <c r="I39" s="56" t="n">
        <f aca="false">IF(AND(I$36&gt;=$B$4,I$36&lt;=$C$4),$B$13*I13,0)</f>
        <v>0</v>
      </c>
      <c r="J39" s="56" t="n">
        <f aca="false">IF(AND(J$36&gt;=$B$4,J$36&lt;=$C$4),$B$13*J13,0)</f>
        <v>0</v>
      </c>
      <c r="K39" s="56" t="n">
        <f aca="false">IF(AND(K$36&gt;=$B$4,K$36&lt;=$C$4),$B$13*K13,0)</f>
        <v>0</v>
      </c>
      <c r="L39" s="56" t="n">
        <f aca="false">IF(AND(L$36&gt;=$B$4,L$36&lt;=$C$4),$B$13*L13,0)</f>
        <v>0</v>
      </c>
      <c r="M39" s="56" t="n">
        <f aca="false">IF(AND(M$36&gt;=$B$4,M$36&lt;=$C$4),$B$13*M13,0)</f>
        <v>0</v>
      </c>
      <c r="N39" s="56" t="n">
        <f aca="false">IF(AND(N$36&gt;=$B$4,N$36&lt;=$C$4),$B$13*N13,0)</f>
        <v>0</v>
      </c>
      <c r="O39" s="56" t="n">
        <f aca="false">IF(AND(O$36&gt;=$B$4,O$36&lt;=$C$4),$B$13*O13,0)</f>
        <v>0</v>
      </c>
      <c r="P39" s="56" t="n">
        <f aca="false">IF(AND(P$36&gt;=$B$4,P$36&lt;=$C$4),$B$13*P13,0)</f>
        <v>0</v>
      </c>
      <c r="Q39" s="56" t="n">
        <f aca="false">IF(AND(Q$36&gt;=$B$4,Q$36&lt;=$C$4),$B$13*Q13,0)</f>
        <v>0</v>
      </c>
      <c r="R39" s="56" t="n">
        <f aca="false">IF(AND(R$36&gt;=$B$4,R$36&lt;=$C$4),$B$13*R13,0)</f>
        <v>0</v>
      </c>
      <c r="S39" s="56" t="n">
        <f aca="false">IF(AND(S$36&gt;=$B$4,S$36&lt;=$C$4),$B$13*S13,0)</f>
        <v>0</v>
      </c>
      <c r="T39" s="56" t="n">
        <f aca="false">IF(AND(T$36&gt;=$B$4,T$36&lt;=$C$4),$B$13*T13,0)</f>
        <v>0</v>
      </c>
      <c r="U39" s="56" t="n">
        <f aca="false">IF(AND(U$36&gt;=$B$4,U$36&lt;=$C$4),$B$13*U13,0)</f>
        <v>0</v>
      </c>
      <c r="V39" s="56" t="n">
        <f aca="false">IF(AND(V$36&gt;=$B$4,V$36&lt;=$C$4),$B$13*V13,0)</f>
        <v>0</v>
      </c>
      <c r="W39" s="56" t="n">
        <f aca="false">IF(AND(W$36&gt;=$B$4,W$36&lt;=$C$4),$B$13*W13,0)</f>
        <v>0</v>
      </c>
      <c r="X39" s="56" t="n">
        <f aca="false">IF(AND(X$36&gt;=$B$4,X$36&lt;=$C$4),$B$13*X13,0)</f>
        <v>0</v>
      </c>
      <c r="Y39" s="56" t="n">
        <f aca="false">IF(AND(Y$36&gt;=$B$4,Y$36&lt;=$C$4),$B$13*Y13,0)</f>
        <v>0</v>
      </c>
      <c r="Z39" s="56" t="n">
        <f aca="false">IF(AND(Z$36&gt;=$B$4,Z$36&lt;=$C$4),$B$13*Z13,0)</f>
        <v>0</v>
      </c>
      <c r="AA39" s="57" t="n">
        <f aca="false">SUM(D39:Z39)</f>
        <v>135550</v>
      </c>
    </row>
    <row r="40" customFormat="false" ht="15" hidden="false" customHeight="false" outlineLevel="0" collapsed="false">
      <c r="A40" s="41" t="s">
        <v>17</v>
      </c>
      <c r="C40" s="41" t="n">
        <v>1</v>
      </c>
      <c r="D40" s="56" t="n">
        <f aca="false">IF(AND(D$36&gt;=$B$4,D$36&lt;=$C$4),$B$14*D14,0)</f>
        <v>10312.5</v>
      </c>
      <c r="E40" s="56" t="n">
        <f aca="false">IF(AND(E$36&gt;=$B$4,E$36&lt;=$C$4),$B$14*E14,0)</f>
        <v>10312.5</v>
      </c>
      <c r="F40" s="56" t="n">
        <f aca="false">IF(AND(F$36&gt;=$B$4,F$36&lt;=$C$4),$B$14*F14,0)</f>
        <v>10312.5</v>
      </c>
      <c r="G40" s="56" t="n">
        <f aca="false">IF(AND(G$36&gt;=$B$4,G$36&lt;=$C$4),$B$14*G14,0)</f>
        <v>10312.5</v>
      </c>
      <c r="H40" s="56" t="n">
        <f aca="false">IF(AND(H$36&gt;=$B$4,H$36&lt;=$C$4),$B$14*H14,0)</f>
        <v>10312.5</v>
      </c>
      <c r="I40" s="56" t="n">
        <f aca="false">IF(AND(I$36&gt;=$B$4,I$36&lt;=$C$4),$B$14*I14,0)</f>
        <v>0</v>
      </c>
      <c r="J40" s="56" t="n">
        <f aca="false">IF(AND(J$36&gt;=$B$4,J$36&lt;=$C$4),$B$14*J14,0)</f>
        <v>0</v>
      </c>
      <c r="K40" s="56" t="n">
        <f aca="false">IF(AND(K$36&gt;=$B$4,K$36&lt;=$C$4),$B$14*K14,0)</f>
        <v>0</v>
      </c>
      <c r="L40" s="56" t="n">
        <f aca="false">IF(AND(L$36&gt;=$B$4,L$36&lt;=$C$4),$B$14*L14,0)</f>
        <v>0</v>
      </c>
      <c r="M40" s="56" t="n">
        <f aca="false">IF(AND(M$36&gt;=$B$4,M$36&lt;=$C$4),$B$14*M14,0)</f>
        <v>0</v>
      </c>
      <c r="N40" s="56" t="n">
        <f aca="false">IF(AND(N$36&gt;=$B$4,N$36&lt;=$C$4),$B$14*N14,0)</f>
        <v>0</v>
      </c>
      <c r="O40" s="56" t="n">
        <f aca="false">IF(AND(O$36&gt;=$B$4,O$36&lt;=$C$4),$B$14*O14,0)</f>
        <v>0</v>
      </c>
      <c r="P40" s="56" t="n">
        <f aca="false">IF(AND(P$36&gt;=$B$4,P$36&lt;=$C$4),$B$14*P14,0)</f>
        <v>0</v>
      </c>
      <c r="Q40" s="56" t="n">
        <f aca="false">IF(AND(Q$36&gt;=$B$4,Q$36&lt;=$C$4),$B$14*Q14,0)</f>
        <v>0</v>
      </c>
      <c r="R40" s="56" t="n">
        <f aca="false">IF(AND(R$36&gt;=$B$4,R$36&lt;=$C$4),$B$14*R14,0)</f>
        <v>0</v>
      </c>
      <c r="S40" s="56" t="n">
        <f aca="false">IF(AND(S$36&gt;=$B$4,S$36&lt;=$C$4),$B$14*S14,0)</f>
        <v>0</v>
      </c>
      <c r="T40" s="56" t="n">
        <f aca="false">IF(AND(T$36&gt;=$B$4,T$36&lt;=$C$4),$B$14*T14,0)</f>
        <v>0</v>
      </c>
      <c r="U40" s="56" t="n">
        <f aca="false">IF(AND(U$36&gt;=$B$4,U$36&lt;=$C$4),$B$14*U14,0)</f>
        <v>0</v>
      </c>
      <c r="V40" s="56" t="n">
        <f aca="false">IF(AND(V$36&gt;=$B$4,V$36&lt;=$C$4),$B$14*V14,0)</f>
        <v>0</v>
      </c>
      <c r="W40" s="56" t="n">
        <f aca="false">IF(AND(W$36&gt;=$B$4,W$36&lt;=$C$4),$B$14*W14,0)</f>
        <v>0</v>
      </c>
      <c r="X40" s="56" t="n">
        <f aca="false">IF(AND(X$36&gt;=$B$4,X$36&lt;=$C$4),$B$14*X14,0)</f>
        <v>0</v>
      </c>
      <c r="Y40" s="56" t="n">
        <f aca="false">IF(AND(Y$36&gt;=$B$4,Y$36&lt;=$C$4),$B$14*Y14,0)</f>
        <v>0</v>
      </c>
      <c r="Z40" s="56" t="n">
        <f aca="false">IF(AND(Z$36&gt;=$B$4,Z$36&lt;=$C$4),$B$14*Z14,0)</f>
        <v>0</v>
      </c>
      <c r="AA40" s="57" t="n">
        <f aca="false">SUM(D40:Z40)</f>
        <v>51562.5</v>
      </c>
    </row>
    <row r="41" customFormat="false" ht="15" hidden="false" customHeight="false" outlineLevel="0" collapsed="false">
      <c r="A41" s="41" t="s">
        <v>18</v>
      </c>
      <c r="C41" s="41" t="n">
        <v>1</v>
      </c>
      <c r="D41" s="56" t="n">
        <f aca="false">IF(AND(D$36&gt;=$B$4,D$36&lt;=$C$4),$B$15*D15,0)</f>
        <v>7440</v>
      </c>
      <c r="E41" s="56" t="n">
        <f aca="false">IF(AND(E$36&gt;=$B$4,E$36&lt;=$C$4),$B$15*E15,0)</f>
        <v>7440</v>
      </c>
      <c r="F41" s="56" t="n">
        <f aca="false">IF(AND(F$36&gt;=$B$4,F$36&lt;=$C$4),$B$15*F15,0)</f>
        <v>7440</v>
      </c>
      <c r="G41" s="56" t="n">
        <f aca="false">IF(AND(G$36&gt;=$B$4,G$36&lt;=$C$4),$B$15*G15,0)</f>
        <v>7440</v>
      </c>
      <c r="H41" s="56" t="n">
        <f aca="false">IF(AND(H$36&gt;=$B$4,H$36&lt;=$C$4),$B$15*H15,0)</f>
        <v>7440</v>
      </c>
      <c r="I41" s="56" t="n">
        <f aca="false">IF(AND(I$36&gt;=$B$4,I$36&lt;=$C$4),$B$15*I15,0)</f>
        <v>0</v>
      </c>
      <c r="J41" s="56" t="n">
        <f aca="false">IF(AND(J$36&gt;=$B$4,J$36&lt;=$C$4),$B$15*J15,0)</f>
        <v>0</v>
      </c>
      <c r="K41" s="56" t="n">
        <f aca="false">IF(AND(K$36&gt;=$B$4,K$36&lt;=$C$4),$B$15*K15,0)</f>
        <v>0</v>
      </c>
      <c r="L41" s="56" t="n">
        <f aca="false">IF(AND(L$36&gt;=$B$4,L$36&lt;=$C$4),$B$15*L15,0)</f>
        <v>0</v>
      </c>
      <c r="M41" s="56" t="n">
        <f aca="false">IF(AND(M$36&gt;=$B$4,M$36&lt;=$C$4),$B$15*M15,0)</f>
        <v>0</v>
      </c>
      <c r="N41" s="56" t="n">
        <f aca="false">IF(AND(N$36&gt;=$B$4,N$36&lt;=$C$4),$B$15*N15,0)</f>
        <v>0</v>
      </c>
      <c r="O41" s="56" t="n">
        <f aca="false">IF(AND(O$36&gt;=$B$4,O$36&lt;=$C$4),$B$15*O15,0)</f>
        <v>0</v>
      </c>
      <c r="P41" s="56" t="n">
        <f aca="false">IF(AND(P$36&gt;=$B$4,P$36&lt;=$C$4),$B$15*P15,0)</f>
        <v>0</v>
      </c>
      <c r="Q41" s="56" t="n">
        <f aca="false">IF(AND(Q$36&gt;=$B$4,Q$36&lt;=$C$4),$B$15*Q15,0)</f>
        <v>0</v>
      </c>
      <c r="R41" s="56" t="n">
        <f aca="false">IF(AND(R$36&gt;=$B$4,R$36&lt;=$C$4),$B$15*R15,0)</f>
        <v>0</v>
      </c>
      <c r="S41" s="56" t="n">
        <f aca="false">IF(AND(S$36&gt;=$B$4,S$36&lt;=$C$4),$B$15*S15,0)</f>
        <v>0</v>
      </c>
      <c r="T41" s="56" t="n">
        <f aca="false">IF(AND(T$36&gt;=$B$4,T$36&lt;=$C$4),$B$15*T15,0)</f>
        <v>0</v>
      </c>
      <c r="U41" s="56" t="n">
        <f aca="false">IF(AND(U$36&gt;=$B$4,U$36&lt;=$C$4),$B$15*U15,0)</f>
        <v>0</v>
      </c>
      <c r="V41" s="56" t="n">
        <f aca="false">IF(AND(V$36&gt;=$B$4,V$36&lt;=$C$4),$B$15*V15,0)</f>
        <v>0</v>
      </c>
      <c r="W41" s="56" t="n">
        <f aca="false">IF(AND(W$36&gt;=$B$4,W$36&lt;=$C$4),$B$15*W15,0)</f>
        <v>0</v>
      </c>
      <c r="X41" s="56" t="n">
        <f aca="false">IF(AND(X$36&gt;=$B$4,X$36&lt;=$C$4),$B$15*X15,0)</f>
        <v>0</v>
      </c>
      <c r="Y41" s="56" t="n">
        <f aca="false">IF(AND(Y$36&gt;=$B$4,Y$36&lt;=$C$4),$B$15*Y15,0)</f>
        <v>0</v>
      </c>
      <c r="Z41" s="56" t="n">
        <f aca="false">IF(AND(Z$36&gt;=$B$4,Z$36&lt;=$C$4),$B$15*Z15,0)</f>
        <v>0</v>
      </c>
      <c r="AA41" s="57" t="n">
        <f aca="false">SUM(D41:Z41)</f>
        <v>37200</v>
      </c>
    </row>
    <row r="42" customFormat="false" ht="15" hidden="false" customHeight="false" outlineLevel="0" collapsed="false">
      <c r="A42" s="41" t="s">
        <v>19</v>
      </c>
      <c r="C42" s="41" t="n">
        <v>1</v>
      </c>
      <c r="D42" s="56" t="n">
        <f aca="false">IF(AND(D$36&gt;=$B$4,D$36&lt;=$C$4),$B$18*D18,0)</f>
        <v>13465</v>
      </c>
      <c r="E42" s="56" t="n">
        <f aca="false">IF(AND(E$36&gt;=$B$4,E$36&lt;=$C$4),$B$18*E18,0)</f>
        <v>13465</v>
      </c>
      <c r="F42" s="56" t="n">
        <f aca="false">IF(AND(F$36&gt;=$B$4,F$36&lt;=$C$4),$B$18*F18,0)</f>
        <v>13465</v>
      </c>
      <c r="G42" s="56" t="n">
        <f aca="false">IF(AND(G$36&gt;=$B$4,G$36&lt;=$C$4),$B$18*G18,0)</f>
        <v>13465</v>
      </c>
      <c r="H42" s="56" t="n">
        <f aca="false">IF(AND(H$36&gt;=$B$4,H$36&lt;=$C$4),$B$18*H18,0)</f>
        <v>13465</v>
      </c>
      <c r="I42" s="56" t="n">
        <f aca="false">IF(AND(I$36&gt;=$B$4,I$36&lt;=$C$4),$B$18*I18,0)</f>
        <v>0</v>
      </c>
      <c r="J42" s="56" t="n">
        <f aca="false">IF(AND(J$36&gt;=$B$4,J$36&lt;=$C$4),$B$18*J18,0)</f>
        <v>0</v>
      </c>
      <c r="K42" s="56" t="n">
        <f aca="false">IF(AND(K$36&gt;=$B$4,K$36&lt;=$C$4),$B$18*K18,0)</f>
        <v>0</v>
      </c>
      <c r="L42" s="56" t="n">
        <f aca="false">IF(AND(L$36&gt;=$B$4,L$36&lt;=$C$4),$B$18*L18,0)</f>
        <v>0</v>
      </c>
      <c r="M42" s="56" t="n">
        <f aca="false">IF(AND(M$36&gt;=$B$4,M$36&lt;=$C$4),$B$18*M18,0)</f>
        <v>0</v>
      </c>
      <c r="N42" s="56" t="n">
        <f aca="false">IF(AND(N$36&gt;=$B$4,N$36&lt;=$C$4),$B$18*N18,0)</f>
        <v>0</v>
      </c>
      <c r="O42" s="56" t="n">
        <f aca="false">IF(AND(O$36&gt;=$B$4,O$36&lt;=$C$4),$B$18*O18,0)</f>
        <v>0</v>
      </c>
      <c r="P42" s="56" t="n">
        <f aca="false">IF(AND(P$36&gt;=$B$4,P$36&lt;=$C$4),$B$18*P18,0)</f>
        <v>0</v>
      </c>
      <c r="Q42" s="56" t="n">
        <f aca="false">IF(AND(Q$36&gt;=$B$4,Q$36&lt;=$C$4),$B$18*Q18,0)</f>
        <v>0</v>
      </c>
      <c r="R42" s="56" t="n">
        <f aca="false">IF(AND(R$36&gt;=$B$4,R$36&lt;=$C$4),$B$18*R18,0)</f>
        <v>0</v>
      </c>
      <c r="S42" s="56" t="n">
        <f aca="false">IF(AND(S$36&gt;=$B$4,S$36&lt;=$C$4),$B$18*S18,0)</f>
        <v>0</v>
      </c>
      <c r="T42" s="56" t="n">
        <f aca="false">IF(AND(T$36&gt;=$B$4,T$36&lt;=$C$4),$B$18*T18,0)</f>
        <v>0</v>
      </c>
      <c r="U42" s="56" t="n">
        <f aca="false">IF(AND(U$36&gt;=$B$4,U$36&lt;=$C$4),$B$18*U18,0)</f>
        <v>0</v>
      </c>
      <c r="V42" s="56" t="n">
        <f aca="false">IF(AND(V$36&gt;=$B$4,V$36&lt;=$C$4),$B$18*V18,0)</f>
        <v>0</v>
      </c>
      <c r="W42" s="56" t="n">
        <f aca="false">IF(AND(W$36&gt;=$B$4,W$36&lt;=$C$4),$B$18*W18,0)</f>
        <v>0</v>
      </c>
      <c r="X42" s="56" t="n">
        <f aca="false">IF(AND(X$36&gt;=$B$4,X$36&lt;=$C$4),$B$18*X18,0)</f>
        <v>0</v>
      </c>
      <c r="Y42" s="56" t="n">
        <f aca="false">IF(AND(Y$36&gt;=$B$4,Y$36&lt;=$C$4),$B$18*Y18,0)</f>
        <v>0</v>
      </c>
      <c r="Z42" s="56" t="n">
        <f aca="false">IF(AND(Z$36&gt;=$B$4,Z$36&lt;=$C$4),$B$18*Z18,0)</f>
        <v>0</v>
      </c>
      <c r="AA42" s="57" t="n">
        <f aca="false">SUM(D42:Z42)</f>
        <v>67325</v>
      </c>
    </row>
    <row r="43" customFormat="false" ht="15" hidden="false" customHeight="false" outlineLevel="0" collapsed="false">
      <c r="A43" s="41" t="s">
        <v>20</v>
      </c>
      <c r="C43" s="41" t="n">
        <v>1</v>
      </c>
      <c r="D43" s="56" t="n">
        <f aca="false">IF(AND(D$36&gt;=$B$4,D$36&lt;=$C$4),$B$16*D16,0)</f>
        <v>20625</v>
      </c>
      <c r="E43" s="56" t="n">
        <f aca="false">IF(AND(E$36&gt;=$B$4,E$36&lt;=$C$4),$B$16*E16,0)</f>
        <v>20625</v>
      </c>
      <c r="F43" s="56" t="n">
        <f aca="false">IF(AND(F$36&gt;=$B$4,F$36&lt;=$C$4),$B$16*F16,0)</f>
        <v>20625</v>
      </c>
      <c r="G43" s="56" t="n">
        <f aca="false">IF(AND(G$36&gt;=$B$4,G$36&lt;=$C$4),$B$16*G16,0)</f>
        <v>20625</v>
      </c>
      <c r="H43" s="56" t="n">
        <f aca="false">IF(AND(H$36&gt;=$B$4,H$36&lt;=$C$4),$B$16*H16,0)</f>
        <v>20625</v>
      </c>
      <c r="I43" s="56" t="n">
        <f aca="false">IF(AND(I$36&gt;=$B$4,I$36&lt;=$C$4),$B$16*I16,0)</f>
        <v>0</v>
      </c>
      <c r="J43" s="56" t="n">
        <f aca="false">IF(AND(J$36&gt;=$B$4,J$36&lt;=$C$4),$B$16*J16,0)</f>
        <v>0</v>
      </c>
      <c r="K43" s="56" t="n">
        <f aca="false">IF(AND(K$36&gt;=$B$4,K$36&lt;=$C$4),$B$16*K16,0)</f>
        <v>0</v>
      </c>
      <c r="L43" s="56" t="n">
        <f aca="false">IF(AND(L$36&gt;=$B$4,L$36&lt;=$C$4),$B$16*L16,0)</f>
        <v>0</v>
      </c>
      <c r="M43" s="56" t="n">
        <f aca="false">IF(AND(M$36&gt;=$B$4,M$36&lt;=$C$4),$B$16*M16,0)</f>
        <v>0</v>
      </c>
      <c r="N43" s="56" t="n">
        <f aca="false">IF(AND(N$36&gt;=$B$4,N$36&lt;=$C$4),$B$16*N16,0)</f>
        <v>0</v>
      </c>
      <c r="O43" s="56" t="n">
        <f aca="false">IF(AND(O$36&gt;=$B$4,O$36&lt;=$C$4),$B$16*O16,0)</f>
        <v>0</v>
      </c>
      <c r="P43" s="56" t="n">
        <f aca="false">IF(AND(P$36&gt;=$B$4,P$36&lt;=$C$4),$B$16*P16,0)</f>
        <v>0</v>
      </c>
      <c r="Q43" s="56" t="n">
        <f aca="false">IF(AND(Q$36&gt;=$B$4,Q$36&lt;=$C$4),$B$16*Q16,0)</f>
        <v>0</v>
      </c>
      <c r="R43" s="56" t="n">
        <f aca="false">IF(AND(R$36&gt;=$B$4,R$36&lt;=$C$4),$B$16*R16,0)</f>
        <v>0</v>
      </c>
      <c r="S43" s="56" t="n">
        <f aca="false">IF(AND(S$36&gt;=$B$4,S$36&lt;=$C$4),$B$16*S16,0)</f>
        <v>0</v>
      </c>
      <c r="T43" s="56" t="n">
        <f aca="false">IF(AND(T$36&gt;=$B$4,T$36&lt;=$C$4),$B$16*T16,0)</f>
        <v>0</v>
      </c>
      <c r="U43" s="56" t="n">
        <f aca="false">IF(AND(U$36&gt;=$B$4,U$36&lt;=$C$4),$B$16*U16,0)</f>
        <v>0</v>
      </c>
      <c r="V43" s="56" t="n">
        <f aca="false">IF(AND(V$36&gt;=$B$4,V$36&lt;=$C$4),$B$16*V16,0)</f>
        <v>0</v>
      </c>
      <c r="W43" s="56" t="n">
        <f aca="false">IF(AND(W$36&gt;=$B$4,W$36&lt;=$C$4),$B$16*W16,0)</f>
        <v>0</v>
      </c>
      <c r="X43" s="56" t="n">
        <f aca="false">IF(AND(X$36&gt;=$B$4,X$36&lt;=$C$4),$B$16*X16,0)</f>
        <v>0</v>
      </c>
      <c r="Y43" s="56" t="n">
        <f aca="false">IF(AND(Y$36&gt;=$B$4,Y$36&lt;=$C$4),$B$16*Y16,0)</f>
        <v>0</v>
      </c>
      <c r="Z43" s="56" t="n">
        <f aca="false">IF(AND(Z$36&gt;=$B$4,Z$36&lt;=$C$4),$B$16*Z16,0)</f>
        <v>0</v>
      </c>
      <c r="AA43" s="57" t="n">
        <f aca="false">SUM(D43:Z43)</f>
        <v>103125</v>
      </c>
    </row>
    <row r="44" customFormat="false" ht="15" hidden="false" customHeight="false" outlineLevel="0" collapsed="false">
      <c r="A44" s="41" t="s">
        <v>21</v>
      </c>
      <c r="C44" s="41" t="n">
        <v>1</v>
      </c>
      <c r="D44" s="56" t="n">
        <f aca="false">IF(AND(D$36&gt;=$B$4,D$36&lt;=$C$4),$B$19*D19,0)</f>
        <v>714.285</v>
      </c>
      <c r="E44" s="56" t="n">
        <f aca="false">IF(AND(E$36&gt;=$B$4,E$36&lt;=$C$4),$B$19*E19,0)</f>
        <v>714.285</v>
      </c>
      <c r="F44" s="56" t="n">
        <f aca="false">IF(AND(F$36&gt;=$B$4,F$36&lt;=$C$4),$B$19*F19,0)</f>
        <v>714.285</v>
      </c>
      <c r="G44" s="56" t="n">
        <f aca="false">IF(AND(G$36&gt;=$B$4,G$36&lt;=$C$4),$B$19*G19,0)</f>
        <v>714.285</v>
      </c>
      <c r="H44" s="56" t="n">
        <f aca="false">IF(AND(H$36&gt;=$B$4,H$36&lt;=$C$4),$B$19*H19,0)</f>
        <v>714.285</v>
      </c>
      <c r="I44" s="56" t="n">
        <f aca="false">IF(AND(I$36&gt;=$B$4,I$36&lt;=$C$4),$B$19*I19,0)</f>
        <v>0</v>
      </c>
      <c r="J44" s="56" t="n">
        <f aca="false">IF(AND(J$36&gt;=$B$4,J$36&lt;=$C$4),$B$19*J19,0)</f>
        <v>0</v>
      </c>
      <c r="K44" s="56" t="n">
        <f aca="false">IF(AND(K$36&gt;=$B$4,K$36&lt;=$C$4),$B$19*K19,0)</f>
        <v>0</v>
      </c>
      <c r="L44" s="56" t="n">
        <f aca="false">IF(AND(L$36&gt;=$B$4,L$36&lt;=$C$4),$B$19*L19,0)</f>
        <v>0</v>
      </c>
      <c r="M44" s="56" t="n">
        <f aca="false">IF(AND(M$36&gt;=$B$4,M$36&lt;=$C$4),$B$19*M19,0)</f>
        <v>0</v>
      </c>
      <c r="N44" s="56" t="n">
        <f aca="false">IF(AND(N$36&gt;=$B$4,N$36&lt;=$C$4),$B$19*N19,0)</f>
        <v>0</v>
      </c>
      <c r="O44" s="56" t="n">
        <f aca="false">IF(AND(O$36&gt;=$B$4,O$36&lt;=$C$4),$B$19*O19,0)</f>
        <v>0</v>
      </c>
      <c r="P44" s="56" t="n">
        <f aca="false">IF(AND(P$36&gt;=$B$4,P$36&lt;=$C$4),$B$19*P19,0)</f>
        <v>0</v>
      </c>
      <c r="Q44" s="56" t="n">
        <f aca="false">IF(AND(Q$36&gt;=$B$4,Q$36&lt;=$C$4),$B$19*Q19,0)</f>
        <v>0</v>
      </c>
      <c r="R44" s="56" t="n">
        <f aca="false">IF(AND(R$36&gt;=$B$4,R$36&lt;=$C$4),$B$19*R19,0)</f>
        <v>0</v>
      </c>
      <c r="S44" s="56" t="n">
        <f aca="false">IF(AND(S$36&gt;=$B$4,S$36&lt;=$C$4),$B$19*S19,0)</f>
        <v>0</v>
      </c>
      <c r="T44" s="56" t="n">
        <f aca="false">IF(AND(T$36&gt;=$B$4,T$36&lt;=$C$4),$B$19*T19,0)</f>
        <v>0</v>
      </c>
      <c r="U44" s="56" t="n">
        <f aca="false">IF(AND(U$36&gt;=$B$4,U$36&lt;=$C$4),$B$19*U19,0)</f>
        <v>0</v>
      </c>
      <c r="V44" s="56" t="n">
        <f aca="false">IF(AND(V$36&gt;=$B$4,V$36&lt;=$C$4),$B$19*V19,0)</f>
        <v>0</v>
      </c>
      <c r="W44" s="56" t="n">
        <f aca="false">IF(AND(W$36&gt;=$B$4,W$36&lt;=$C$4),$B$19*W19,0)</f>
        <v>0</v>
      </c>
      <c r="X44" s="56" t="n">
        <f aca="false">IF(AND(X$36&gt;=$B$4,X$36&lt;=$C$4),$B$19*X19,0)</f>
        <v>0</v>
      </c>
      <c r="Y44" s="56" t="n">
        <f aca="false">IF(AND(Y$36&gt;=$B$4,Y$36&lt;=$C$4),$B$19*Y19,0)</f>
        <v>0</v>
      </c>
      <c r="Z44" s="56" t="n">
        <f aca="false">IF(AND(Z$36&gt;=$B$4,Z$36&lt;=$C$4),$B$19*Z19,0)</f>
        <v>0</v>
      </c>
      <c r="AA44" s="57" t="n">
        <f aca="false">SUM(D44:Z44)</f>
        <v>3571.425</v>
      </c>
    </row>
    <row r="45" customFormat="false" ht="15" hidden="false" customHeight="false" outlineLevel="0" collapsed="false">
      <c r="A45" s="41" t="s">
        <v>22</v>
      </c>
      <c r="C45" s="41" t="n">
        <v>1</v>
      </c>
      <c r="D45" s="56" t="n">
        <f aca="false">IF(AND(D$36&gt;=$B$4,D$36&lt;=$C$4),$B$17*D17,0)</f>
        <v>19750</v>
      </c>
      <c r="E45" s="56" t="n">
        <f aca="false">IF(AND(E$36&gt;=$B$4,E$36&lt;=$C$4),$B$17*E17,0)</f>
        <v>19750</v>
      </c>
      <c r="F45" s="56" t="n">
        <f aca="false">IF(AND(F$36&gt;=$B$4,F$36&lt;=$C$4),$B$17*F17,0)</f>
        <v>19750</v>
      </c>
      <c r="G45" s="56" t="n">
        <f aca="false">IF(AND(G$36&gt;=$B$4,G$36&lt;=$C$4),$B$17*G17,0)</f>
        <v>19750</v>
      </c>
      <c r="H45" s="56" t="n">
        <f aca="false">IF(AND(H$36&gt;=$B$4,H$36&lt;=$C$4),$B$17*H17,0)</f>
        <v>19750</v>
      </c>
      <c r="I45" s="56" t="n">
        <f aca="false">IF(AND(I$36&gt;=$B$4,I$36&lt;=$C$4),$B$17*I17,0)</f>
        <v>0</v>
      </c>
      <c r="J45" s="56" t="n">
        <f aca="false">IF(AND(J$36&gt;=$B$4,J$36&lt;=$C$4),$B$17*J17,0)</f>
        <v>0</v>
      </c>
      <c r="K45" s="56" t="n">
        <f aca="false">IF(AND(K$36&gt;=$B$4,K$36&lt;=$C$4),$B$17*K17,0)</f>
        <v>0</v>
      </c>
      <c r="L45" s="56" t="n">
        <f aca="false">IF(AND(L$36&gt;=$B$4,L$36&lt;=$C$4),$B$17*L17,0)</f>
        <v>0</v>
      </c>
      <c r="M45" s="56" t="n">
        <f aca="false">IF(AND(M$36&gt;=$B$4,M$36&lt;=$C$4),$B$17*M17,0)</f>
        <v>0</v>
      </c>
      <c r="N45" s="56" t="n">
        <f aca="false">IF(AND(N$36&gt;=$B$4,N$36&lt;=$C$4),$B$17*N17,0)</f>
        <v>0</v>
      </c>
      <c r="O45" s="56" t="n">
        <f aca="false">IF(AND(O$36&gt;=$B$4,O$36&lt;=$C$4),$B$17*O17,0)</f>
        <v>0</v>
      </c>
      <c r="P45" s="56" t="n">
        <f aca="false">IF(AND(P$36&gt;=$B$4,P$36&lt;=$C$4),$B$17*P17,0)</f>
        <v>0</v>
      </c>
      <c r="Q45" s="56" t="n">
        <f aca="false">IF(AND(Q$36&gt;=$B$4,Q$36&lt;=$C$4),$B$17*Q17,0)</f>
        <v>0</v>
      </c>
      <c r="R45" s="56" t="n">
        <f aca="false">IF(AND(R$36&gt;=$B$4,R$36&lt;=$C$4),$B$17*R17,0)</f>
        <v>0</v>
      </c>
      <c r="S45" s="56" t="n">
        <f aca="false">IF(AND(S$36&gt;=$B$4,S$36&lt;=$C$4),$B$17*S17,0)</f>
        <v>0</v>
      </c>
      <c r="T45" s="56" t="n">
        <f aca="false">IF(AND(T$36&gt;=$B$4,T$36&lt;=$C$4),$B$17*T17,0)</f>
        <v>0</v>
      </c>
      <c r="U45" s="56" t="n">
        <f aca="false">IF(AND(U$36&gt;=$B$4,U$36&lt;=$C$4),$B$17*U17,0)</f>
        <v>0</v>
      </c>
      <c r="V45" s="56" t="n">
        <f aca="false">IF(AND(V$36&gt;=$B$4,V$36&lt;=$C$4),$B$17*V17,0)</f>
        <v>0</v>
      </c>
      <c r="W45" s="56" t="n">
        <f aca="false">IF(AND(W$36&gt;=$B$4,W$36&lt;=$C$4),$B$17*W17,0)</f>
        <v>0</v>
      </c>
      <c r="X45" s="56" t="n">
        <f aca="false">IF(AND(X$36&gt;=$B$4,X$36&lt;=$C$4),$B$17*X17,0)</f>
        <v>0</v>
      </c>
      <c r="Y45" s="56" t="n">
        <f aca="false">IF(AND(Y$36&gt;=$B$4,Y$36&lt;=$C$4),$B$17*Y17,0)</f>
        <v>0</v>
      </c>
      <c r="Z45" s="56" t="n">
        <f aca="false">IF(AND(Z$36&gt;=$B$4,Z$36&lt;=$C$4),$B$17*Z17,0)</f>
        <v>0</v>
      </c>
      <c r="AA45" s="57" t="n">
        <f aca="false">SUM(D45:Z45)</f>
        <v>98750</v>
      </c>
    </row>
    <row r="46" customFormat="false" ht="15" hidden="false" customHeight="false" outlineLevel="0" collapsed="false">
      <c r="A46" s="41" t="s">
        <v>24</v>
      </c>
      <c r="C46" s="41" t="n">
        <v>2</v>
      </c>
      <c r="D46" s="56" t="n">
        <f aca="false">IF(AND(D$36&gt;=$B$5,D$36&lt;=$C$5),$B$11*D11,0)</f>
        <v>0</v>
      </c>
      <c r="E46" s="56" t="n">
        <f aca="false">IF(AND(E$36&gt;=$B$5,E$36&lt;=$C$5),$B$11*E11,0)</f>
        <v>0</v>
      </c>
      <c r="F46" s="56" t="n">
        <f aca="false">IF(AND(F$36&gt;=$B$5,F$36&lt;=$C$5),$B$11*F11,0)</f>
        <v>0</v>
      </c>
      <c r="G46" s="56" t="n">
        <f aca="false">IF(AND(G$36&gt;=$B$5,G$36&lt;=$C$5),$B$11*G11,0)</f>
        <v>0</v>
      </c>
      <c r="H46" s="56" t="n">
        <f aca="false">IF(AND(H$36&gt;=$B$5,H$36&lt;=$C$5),$B$11*H11,0)</f>
        <v>0</v>
      </c>
      <c r="I46" s="56" t="n">
        <f aca="false">IF(AND(I$36&gt;=$B$5,I$36&lt;=$C$5),$B$11*I11,0)</f>
        <v>55400</v>
      </c>
      <c r="J46" s="56" t="n">
        <f aca="false">IF(AND(J$36&gt;=$B$5,J$36&lt;=$C$5),$B$11*J11,0)</f>
        <v>55400</v>
      </c>
      <c r="K46" s="56" t="n">
        <f aca="false">IF(AND(K$36&gt;=$B$5,K$36&lt;=$C$5),$B$11*K11,0)</f>
        <v>55400</v>
      </c>
      <c r="L46" s="56" t="n">
        <f aca="false">IF(AND(L$36&gt;=$B$5,L$36&lt;=$C$5),$B$11*L11,0)</f>
        <v>55400</v>
      </c>
      <c r="M46" s="56" t="n">
        <f aca="false">IF(AND(M$36&gt;=$B$5,M$36&lt;=$C$5),$B$11*M11,0)</f>
        <v>55400</v>
      </c>
      <c r="N46" s="56" t="n">
        <f aca="false">IF(AND(N$36&gt;=$B$5,N$36&lt;=$C$5),$B$11*N11,0)</f>
        <v>55400</v>
      </c>
      <c r="O46" s="56" t="n">
        <f aca="false">IF(AND(O$36&gt;=$B$5,O$36&lt;=$C$5),$B$11*O11,0)</f>
        <v>0</v>
      </c>
      <c r="P46" s="56" t="n">
        <f aca="false">IF(AND(P$36&gt;=$B$5,P$36&lt;=$C$5),$B$11*P11,0)</f>
        <v>0</v>
      </c>
      <c r="Q46" s="56" t="n">
        <f aca="false">IF(AND(Q$36&gt;=$B$5,Q$36&lt;=$C$5),$B$11*Q11,0)</f>
        <v>0</v>
      </c>
      <c r="R46" s="56" t="n">
        <f aca="false">IF(AND(R$36&gt;=$B$5,R$36&lt;=$C$5),$B$11*R11,0)</f>
        <v>0</v>
      </c>
      <c r="S46" s="56" t="n">
        <f aca="false">IF(AND(S$36&gt;=$B$5,S$36&lt;=$C$5),$B$11*S11,0)</f>
        <v>0</v>
      </c>
      <c r="T46" s="56" t="n">
        <f aca="false">IF(AND(T$36&gt;=$B$5,T$36&lt;=$C$5),$B$11*T11,0)</f>
        <v>0</v>
      </c>
      <c r="U46" s="56" t="n">
        <f aca="false">IF(AND(U$36&gt;=$B$5,U$36&lt;=$C$5),$B$11*U11,0)</f>
        <v>0</v>
      </c>
      <c r="V46" s="56" t="n">
        <f aca="false">IF(AND(V$36&gt;=$B$5,V$36&lt;=$C$5),$B$11*V11,0)</f>
        <v>0</v>
      </c>
      <c r="W46" s="56" t="n">
        <f aca="false">IF(AND(W$36&gt;=$B$5,W$36&lt;=$C$5),$B$11*W11,0)</f>
        <v>0</v>
      </c>
      <c r="X46" s="56" t="n">
        <f aca="false">IF(AND(X$36&gt;=$B$5,X$36&lt;=$C$5),$B$11*X11,0)</f>
        <v>0</v>
      </c>
      <c r="Y46" s="56" t="n">
        <f aca="false">IF(AND(Y$36&gt;=$B$5,Y$36&lt;=$C$5),$B$11*Y11,0)</f>
        <v>0</v>
      </c>
      <c r="Z46" s="56" t="n">
        <f aca="false">IF(AND(Z$36&gt;=$B$5,Z$36&lt;=$C$5),$B$11*Z11,0)</f>
        <v>0</v>
      </c>
      <c r="AA46" s="57" t="n">
        <f aca="false">SUM(D46:Z46)</f>
        <v>332400</v>
      </c>
    </row>
    <row r="47" customFormat="false" ht="15" hidden="false" customHeight="false" outlineLevel="0" collapsed="false">
      <c r="A47" s="41" t="s">
        <v>25</v>
      </c>
      <c r="C47" s="41" t="n">
        <v>2</v>
      </c>
      <c r="D47" s="56" t="n">
        <f aca="false">IF(AND(D$36&gt;=$B$5,D$36&lt;=$C$5),$B$12*D12,0)</f>
        <v>0</v>
      </c>
      <c r="E47" s="56" t="n">
        <f aca="false">IF(AND(E$36&gt;=$B$5,E$36&lt;=$C$5),$B$12*E12,0)</f>
        <v>0</v>
      </c>
      <c r="F47" s="56" t="n">
        <f aca="false">IF(AND(F$36&gt;=$B$5,F$36&lt;=$C$5),$B$12*F12,0)</f>
        <v>0</v>
      </c>
      <c r="G47" s="56" t="n">
        <f aca="false">IF(AND(G$36&gt;=$B$5,G$36&lt;=$C$5),$B$12*G12,0)</f>
        <v>0</v>
      </c>
      <c r="H47" s="56" t="n">
        <f aca="false">IF(AND(H$36&gt;=$B$5,H$36&lt;=$C$5),$B$12*H12,0)</f>
        <v>0</v>
      </c>
      <c r="I47" s="56" t="n">
        <f aca="false">IF(AND(I$36&gt;=$B$5,I$36&lt;=$C$5),$B$12*I12,0)</f>
        <v>18860</v>
      </c>
      <c r="J47" s="56" t="n">
        <f aca="false">IF(AND(J$36&gt;=$B$5,J$36&lt;=$C$5),$B$12*J12,0)</f>
        <v>18860</v>
      </c>
      <c r="K47" s="56" t="n">
        <f aca="false">IF(AND(K$36&gt;=$B$5,K$36&lt;=$C$5),$B$12*K12,0)</f>
        <v>18860</v>
      </c>
      <c r="L47" s="56" t="n">
        <f aca="false">IF(AND(L$36&gt;=$B$5,L$36&lt;=$C$5),$B$12*L12,0)</f>
        <v>18860</v>
      </c>
      <c r="M47" s="56" t="n">
        <f aca="false">IF(AND(M$36&gt;=$B$5,M$36&lt;=$C$5),$B$12*M12,0)</f>
        <v>18860</v>
      </c>
      <c r="N47" s="56" t="n">
        <f aca="false">IF(AND(N$36&gt;=$B$5,N$36&lt;=$C$5),$B$12*N12,0)</f>
        <v>18860</v>
      </c>
      <c r="O47" s="56" t="n">
        <f aca="false">IF(AND(O$36&gt;=$B$5,O$36&lt;=$C$5),$B$12*O12,0)</f>
        <v>0</v>
      </c>
      <c r="P47" s="56" t="n">
        <f aca="false">IF(AND(P$36&gt;=$B$5,P$36&lt;=$C$5),$B$12*P12,0)</f>
        <v>0</v>
      </c>
      <c r="Q47" s="56" t="n">
        <f aca="false">IF(AND(Q$36&gt;=$B$5,Q$36&lt;=$C$5),$B$12*Q12,0)</f>
        <v>0</v>
      </c>
      <c r="R47" s="56" t="n">
        <f aca="false">IF(AND(R$36&gt;=$B$5,R$36&lt;=$C$5),$B$12*R12,0)</f>
        <v>0</v>
      </c>
      <c r="S47" s="56" t="n">
        <f aca="false">IF(AND(S$36&gt;=$B$5,S$36&lt;=$C$5),$B$12*S12,0)</f>
        <v>0</v>
      </c>
      <c r="T47" s="56" t="n">
        <f aca="false">IF(AND(T$36&gt;=$B$5,T$36&lt;=$C$5),$B$12*T12,0)</f>
        <v>0</v>
      </c>
      <c r="U47" s="56" t="n">
        <f aca="false">IF(AND(U$36&gt;=$B$5,U$36&lt;=$C$5),$B$12*U12,0)</f>
        <v>0</v>
      </c>
      <c r="V47" s="56" t="n">
        <f aca="false">IF(AND(V$36&gt;=$B$5,V$36&lt;=$C$5),$B$12*V12,0)</f>
        <v>0</v>
      </c>
      <c r="W47" s="56" t="n">
        <f aca="false">IF(AND(W$36&gt;=$B$5,W$36&lt;=$C$5),$B$12*W12,0)</f>
        <v>0</v>
      </c>
      <c r="X47" s="56" t="n">
        <f aca="false">IF(AND(X$36&gt;=$B$5,X$36&lt;=$C$5),$B$12*X12,0)</f>
        <v>0</v>
      </c>
      <c r="Y47" s="56" t="n">
        <f aca="false">IF(AND(Y$36&gt;=$B$5,Y$36&lt;=$C$5),$B$12*Y12,0)</f>
        <v>0</v>
      </c>
      <c r="Z47" s="56" t="n">
        <f aca="false">IF(AND(Z$36&gt;=$B$5,Z$36&lt;=$C$5),$B$12*Z12,0)</f>
        <v>0</v>
      </c>
      <c r="AA47" s="57" t="n">
        <f aca="false">SUM(D47:Z47)</f>
        <v>113160</v>
      </c>
    </row>
    <row r="48" customFormat="false" ht="15" hidden="false" customHeight="false" outlineLevel="0" collapsed="false">
      <c r="A48" s="41" t="s">
        <v>26</v>
      </c>
      <c r="C48" s="41" t="n">
        <v>2</v>
      </c>
      <c r="D48" s="56" t="n">
        <f aca="false">IF(AND(D$36&gt;=$B$5,D$36&lt;=$C$5),$B$13*D13,0)</f>
        <v>0</v>
      </c>
      <c r="E48" s="56" t="n">
        <f aca="false">IF(AND(E$36&gt;=$B$5,E$36&lt;=$C$5),$B$13*E13,0)</f>
        <v>0</v>
      </c>
      <c r="F48" s="56" t="n">
        <f aca="false">IF(AND(F$36&gt;=$B$5,F$36&lt;=$C$5),$B$13*F13,0)</f>
        <v>0</v>
      </c>
      <c r="G48" s="56" t="n">
        <f aca="false">IF(AND(G$36&gt;=$B$5,G$36&lt;=$C$5),$B$13*G13,0)</f>
        <v>0</v>
      </c>
      <c r="H48" s="56" t="n">
        <f aca="false">IF(AND(H$36&gt;=$B$5,H$36&lt;=$C$5),$B$13*H13,0)</f>
        <v>0</v>
      </c>
      <c r="I48" s="56" t="n">
        <f aca="false">IF(AND(I$36&gt;=$B$5,I$36&lt;=$C$5),$B$13*I13,0)</f>
        <v>27110</v>
      </c>
      <c r="J48" s="56" t="n">
        <f aca="false">IF(AND(J$36&gt;=$B$5,J$36&lt;=$C$5),$B$13*J13,0)</f>
        <v>27110</v>
      </c>
      <c r="K48" s="56" t="n">
        <f aca="false">IF(AND(K$36&gt;=$B$5,K$36&lt;=$C$5),$B$13*K13,0)</f>
        <v>27110</v>
      </c>
      <c r="L48" s="56" t="n">
        <f aca="false">IF(AND(L$36&gt;=$B$5,L$36&lt;=$C$5),$B$13*L13,0)</f>
        <v>27110</v>
      </c>
      <c r="M48" s="56" t="n">
        <f aca="false">IF(AND(M$36&gt;=$B$5,M$36&lt;=$C$5),$B$13*M13,0)</f>
        <v>27110</v>
      </c>
      <c r="N48" s="56" t="n">
        <f aca="false">IF(AND(N$36&gt;=$B$5,N$36&lt;=$C$5),$B$13*N13,0)</f>
        <v>27110</v>
      </c>
      <c r="O48" s="56" t="n">
        <f aca="false">IF(AND(O$36&gt;=$B$5,O$36&lt;=$C$5),$B$13*O13,0)</f>
        <v>0</v>
      </c>
      <c r="P48" s="56" t="n">
        <f aca="false">IF(AND(P$36&gt;=$B$5,P$36&lt;=$C$5),$B$13*P13,0)</f>
        <v>0</v>
      </c>
      <c r="Q48" s="56" t="n">
        <f aca="false">IF(AND(Q$36&gt;=$B$5,Q$36&lt;=$C$5),$B$13*Q13,0)</f>
        <v>0</v>
      </c>
      <c r="R48" s="56" t="n">
        <f aca="false">IF(AND(R$36&gt;=$B$5,R$36&lt;=$C$5),$B$13*R13,0)</f>
        <v>0</v>
      </c>
      <c r="S48" s="56" t="n">
        <f aca="false">IF(AND(S$36&gt;=$B$5,S$36&lt;=$C$5),$B$13*S13,0)</f>
        <v>0</v>
      </c>
      <c r="T48" s="56" t="n">
        <f aca="false">IF(AND(T$36&gt;=$B$5,T$36&lt;=$C$5),$B$13*T13,0)</f>
        <v>0</v>
      </c>
      <c r="U48" s="56" t="n">
        <f aca="false">IF(AND(U$36&gt;=$B$5,U$36&lt;=$C$5),$B$13*U13,0)</f>
        <v>0</v>
      </c>
      <c r="V48" s="56" t="n">
        <f aca="false">IF(AND(V$36&gt;=$B$5,V$36&lt;=$C$5),$B$13*V13,0)</f>
        <v>0</v>
      </c>
      <c r="W48" s="56" t="n">
        <f aca="false">IF(AND(W$36&gt;=$B$5,W$36&lt;=$C$5),$B$13*W13,0)</f>
        <v>0</v>
      </c>
      <c r="X48" s="56" t="n">
        <f aca="false">IF(AND(X$36&gt;=$B$5,X$36&lt;=$C$5),$B$13*X13,0)</f>
        <v>0</v>
      </c>
      <c r="Y48" s="56" t="n">
        <f aca="false">IF(AND(Y$36&gt;=$B$5,Y$36&lt;=$C$5),$B$13*Y13,0)</f>
        <v>0</v>
      </c>
      <c r="Z48" s="56" t="n">
        <f aca="false">IF(AND(Z$36&gt;=$B$5,Z$36&lt;=$C$5),$B$13*Z13,0)</f>
        <v>0</v>
      </c>
      <c r="AA48" s="57" t="n">
        <f aca="false">SUM(D48:Z48)</f>
        <v>162660</v>
      </c>
    </row>
    <row r="49" customFormat="false" ht="15" hidden="false" customHeight="false" outlineLevel="0" collapsed="false">
      <c r="A49" s="41" t="s">
        <v>27</v>
      </c>
      <c r="C49" s="41" t="n">
        <v>2</v>
      </c>
      <c r="D49" s="56" t="n">
        <f aca="false">IF(AND(D$36&gt;=$B$5,D$36&lt;=$C$5),$B$14*D14,0)</f>
        <v>0</v>
      </c>
      <c r="E49" s="56" t="n">
        <f aca="false">IF(AND(E$36&gt;=$B$5,E$36&lt;=$C$5),$B$14*E14,0)</f>
        <v>0</v>
      </c>
      <c r="F49" s="56" t="n">
        <f aca="false">IF(AND(F$36&gt;=$B$5,F$36&lt;=$C$5),$B$14*F14,0)</f>
        <v>0</v>
      </c>
      <c r="G49" s="56" t="n">
        <f aca="false">IF(AND(G$36&gt;=$B$5,G$36&lt;=$C$5),$B$14*G14,0)</f>
        <v>0</v>
      </c>
      <c r="H49" s="56" t="n">
        <f aca="false">IF(AND(H$36&gt;=$B$5,H$36&lt;=$C$5),$B$14*H14,0)</f>
        <v>0</v>
      </c>
      <c r="I49" s="56" t="n">
        <f aca="false">IF(AND(I$36&gt;=$B$5,I$36&lt;=$C$5),$B$14*I14,0)</f>
        <v>20625</v>
      </c>
      <c r="J49" s="56" t="n">
        <f aca="false">IF(AND(J$36&gt;=$B$5,J$36&lt;=$C$5),$B$14*J14,0)</f>
        <v>20625</v>
      </c>
      <c r="K49" s="56" t="n">
        <f aca="false">IF(AND(K$36&gt;=$B$5,K$36&lt;=$C$5),$B$14*K14,0)</f>
        <v>20625</v>
      </c>
      <c r="L49" s="56" t="n">
        <f aca="false">IF(AND(L$36&gt;=$B$5,L$36&lt;=$C$5),$B$14*L14,0)</f>
        <v>20625</v>
      </c>
      <c r="M49" s="56" t="n">
        <f aca="false">IF(AND(M$36&gt;=$B$5,M$36&lt;=$C$5),$B$14*M14,0)</f>
        <v>20625</v>
      </c>
      <c r="N49" s="56" t="n">
        <f aca="false">IF(AND(N$36&gt;=$B$5,N$36&lt;=$C$5),$B$14*N14,0)</f>
        <v>20625</v>
      </c>
      <c r="O49" s="56" t="n">
        <f aca="false">IF(AND(O$36&gt;=$B$5,O$36&lt;=$C$5),$B$14*O14,0)</f>
        <v>0</v>
      </c>
      <c r="P49" s="56" t="n">
        <f aca="false">IF(AND(P$36&gt;=$B$5,P$36&lt;=$C$5),$B$14*P14,0)</f>
        <v>0</v>
      </c>
      <c r="Q49" s="56" t="n">
        <f aca="false">IF(AND(Q$36&gt;=$B$5,Q$36&lt;=$C$5),$B$14*Q14,0)</f>
        <v>0</v>
      </c>
      <c r="R49" s="56" t="n">
        <f aca="false">IF(AND(R$36&gt;=$B$5,R$36&lt;=$C$5),$B$14*R14,0)</f>
        <v>0</v>
      </c>
      <c r="S49" s="56" t="n">
        <f aca="false">IF(AND(S$36&gt;=$B$5,S$36&lt;=$C$5),$B$14*S14,0)</f>
        <v>0</v>
      </c>
      <c r="T49" s="56" t="n">
        <f aca="false">IF(AND(T$36&gt;=$B$5,T$36&lt;=$C$5),$B$14*T14,0)</f>
        <v>0</v>
      </c>
      <c r="U49" s="56" t="n">
        <f aca="false">IF(AND(U$36&gt;=$B$5,U$36&lt;=$C$5),$B$14*U14,0)</f>
        <v>0</v>
      </c>
      <c r="V49" s="56" t="n">
        <f aca="false">IF(AND(V$36&gt;=$B$5,V$36&lt;=$C$5),$B$14*V14,0)</f>
        <v>0</v>
      </c>
      <c r="W49" s="56" t="n">
        <f aca="false">IF(AND(W$36&gt;=$B$5,W$36&lt;=$C$5),$B$14*W14,0)</f>
        <v>0</v>
      </c>
      <c r="X49" s="56" t="n">
        <f aca="false">IF(AND(X$36&gt;=$B$5,X$36&lt;=$C$5),$B$14*X14,0)</f>
        <v>0</v>
      </c>
      <c r="Y49" s="56" t="n">
        <f aca="false">IF(AND(Y$36&gt;=$B$5,Y$36&lt;=$C$5),$B$14*Y14,0)</f>
        <v>0</v>
      </c>
      <c r="Z49" s="56" t="n">
        <f aca="false">IF(AND(Z$36&gt;=$B$5,Z$36&lt;=$C$5),$B$14*Z14,0)</f>
        <v>0</v>
      </c>
      <c r="AA49" s="57" t="n">
        <f aca="false">SUM(D49:Z49)</f>
        <v>123750</v>
      </c>
    </row>
    <row r="50" customFormat="false" ht="15" hidden="false" customHeight="false" outlineLevel="0" collapsed="false">
      <c r="A50" s="41" t="s">
        <v>28</v>
      </c>
      <c r="C50" s="41" t="n">
        <v>2</v>
      </c>
      <c r="D50" s="56" t="n">
        <f aca="false">IF(AND(D$36&gt;=$B$5,D$36&lt;=$C$5),$B$15*D15,0)</f>
        <v>0</v>
      </c>
      <c r="E50" s="56" t="n">
        <f aca="false">IF(AND(E$36&gt;=$B$5,E$36&lt;=$C$5),$B$15*E15,0)</f>
        <v>0</v>
      </c>
      <c r="F50" s="56" t="n">
        <f aca="false">IF(AND(F$36&gt;=$B$5,F$36&lt;=$C$5),$B$15*F15,0)</f>
        <v>0</v>
      </c>
      <c r="G50" s="56" t="n">
        <f aca="false">IF(AND(G$36&gt;=$B$5,G$36&lt;=$C$5),$B$15*G15,0)</f>
        <v>0</v>
      </c>
      <c r="H50" s="56" t="n">
        <f aca="false">IF(AND(H$36&gt;=$B$5,H$36&lt;=$C$5),$B$15*H15,0)</f>
        <v>0</v>
      </c>
      <c r="I50" s="56" t="n">
        <f aca="false">IF(AND(I$36&gt;=$B$5,I$36&lt;=$C$5),$B$15*I15,0)</f>
        <v>7440</v>
      </c>
      <c r="J50" s="56" t="n">
        <f aca="false">IF(AND(J$36&gt;=$B$5,J$36&lt;=$C$5),$B$15*J15,0)</f>
        <v>7440</v>
      </c>
      <c r="K50" s="56" t="n">
        <f aca="false">IF(AND(K$36&gt;=$B$5,K$36&lt;=$C$5),$B$15*K15,0)</f>
        <v>7440</v>
      </c>
      <c r="L50" s="56" t="n">
        <f aca="false">IF(AND(L$36&gt;=$B$5,L$36&lt;=$C$5),$B$15*L15,0)</f>
        <v>7440</v>
      </c>
      <c r="M50" s="56" t="n">
        <f aca="false">IF(AND(M$36&gt;=$B$5,M$36&lt;=$C$5),$B$15*M15,0)</f>
        <v>7440</v>
      </c>
      <c r="N50" s="56" t="n">
        <f aca="false">IF(AND(N$36&gt;=$B$5,N$36&lt;=$C$5),$B$15*N15,0)</f>
        <v>7440</v>
      </c>
      <c r="O50" s="56" t="n">
        <f aca="false">IF(AND(O$36&gt;=$B$5,O$36&lt;=$C$5),$B$15*O15,0)</f>
        <v>0</v>
      </c>
      <c r="P50" s="56" t="n">
        <f aca="false">IF(AND(P$36&gt;=$B$5,P$36&lt;=$C$5),$B$15*P15,0)</f>
        <v>0</v>
      </c>
      <c r="Q50" s="56" t="n">
        <f aca="false">IF(AND(Q$36&gt;=$B$5,Q$36&lt;=$C$5),$B$15*Q15,0)</f>
        <v>0</v>
      </c>
      <c r="R50" s="56" t="n">
        <f aca="false">IF(AND(R$36&gt;=$B$5,R$36&lt;=$C$5),$B$15*R15,0)</f>
        <v>0</v>
      </c>
      <c r="S50" s="56" t="n">
        <f aca="false">IF(AND(S$36&gt;=$B$5,S$36&lt;=$C$5),$B$15*S15,0)</f>
        <v>0</v>
      </c>
      <c r="T50" s="56" t="n">
        <f aca="false">IF(AND(T$36&gt;=$B$5,T$36&lt;=$C$5),$B$15*T15,0)</f>
        <v>0</v>
      </c>
      <c r="U50" s="56" t="n">
        <f aca="false">IF(AND(U$36&gt;=$B$5,U$36&lt;=$C$5),$B$15*U15,0)</f>
        <v>0</v>
      </c>
      <c r="V50" s="56" t="n">
        <f aca="false">IF(AND(V$36&gt;=$B$5,V$36&lt;=$C$5),$B$15*V15,0)</f>
        <v>0</v>
      </c>
      <c r="W50" s="56" t="n">
        <f aca="false">IF(AND(W$36&gt;=$B$5,W$36&lt;=$C$5),$B$15*W15,0)</f>
        <v>0</v>
      </c>
      <c r="X50" s="56" t="n">
        <f aca="false">IF(AND(X$36&gt;=$B$5,X$36&lt;=$C$5),$B$15*X15,0)</f>
        <v>0</v>
      </c>
      <c r="Y50" s="56" t="n">
        <f aca="false">IF(AND(Y$36&gt;=$B$5,Y$36&lt;=$C$5),$B$15*Y15,0)</f>
        <v>0</v>
      </c>
      <c r="Z50" s="56" t="n">
        <f aca="false">IF(AND(Z$36&gt;=$B$5,Z$36&lt;=$C$5),$B$15*Z15,0)</f>
        <v>0</v>
      </c>
      <c r="AA50" s="57" t="n">
        <f aca="false">SUM(D50:Z50)</f>
        <v>44640</v>
      </c>
    </row>
    <row r="51" customFormat="false" ht="15" hidden="false" customHeight="false" outlineLevel="0" collapsed="false">
      <c r="A51" s="41" t="s">
        <v>29</v>
      </c>
      <c r="C51" s="41" t="n">
        <v>2</v>
      </c>
      <c r="D51" s="56" t="n">
        <f aca="false">IF(AND(D$36&gt;=$B$5,D$36&lt;=$C$5),$B$16*D16,0)</f>
        <v>0</v>
      </c>
      <c r="E51" s="56" t="n">
        <f aca="false">IF(AND(E$36&gt;=$B$5,E$36&lt;=$C$5),$B$16*E16,0)</f>
        <v>0</v>
      </c>
      <c r="F51" s="56" t="n">
        <f aca="false">IF(AND(F$36&gt;=$B$5,F$36&lt;=$C$5),$B$16*F16,0)</f>
        <v>0</v>
      </c>
      <c r="G51" s="56" t="n">
        <f aca="false">IF(AND(G$36&gt;=$B$5,G$36&lt;=$C$5),$B$16*G16,0)</f>
        <v>0</v>
      </c>
      <c r="H51" s="56" t="n">
        <f aca="false">IF(AND(H$36&gt;=$B$5,H$36&lt;=$C$5),$B$16*H16,0)</f>
        <v>0</v>
      </c>
      <c r="I51" s="56" t="n">
        <f aca="false">IF(AND(I$36&gt;=$B$5,I$36&lt;=$C$5),$B$16*I16,0)</f>
        <v>20625</v>
      </c>
      <c r="J51" s="56" t="n">
        <f aca="false">IF(AND(J$36&gt;=$B$5,J$36&lt;=$C$5),$B$16*J16,0)</f>
        <v>20625</v>
      </c>
      <c r="K51" s="56" t="n">
        <f aca="false">IF(AND(K$36&gt;=$B$5,K$36&lt;=$C$5),$B$16*K16,0)</f>
        <v>20625</v>
      </c>
      <c r="L51" s="56" t="n">
        <f aca="false">IF(AND(L$36&gt;=$B$5,L$36&lt;=$C$5),$B$16*L16,0)</f>
        <v>20625</v>
      </c>
      <c r="M51" s="56" t="n">
        <f aca="false">IF(AND(M$36&gt;=$B$5,M$36&lt;=$C$5),$B$16*M16,0)</f>
        <v>20625</v>
      </c>
      <c r="N51" s="56" t="n">
        <f aca="false">IF(AND(N$36&gt;=$B$5,N$36&lt;=$C$5),$B$16*N16,0)</f>
        <v>20625</v>
      </c>
      <c r="O51" s="56" t="n">
        <f aca="false">IF(AND(O$36&gt;=$B$5,O$36&lt;=$C$5),$B$16*O16,0)</f>
        <v>0</v>
      </c>
      <c r="P51" s="56" t="n">
        <f aca="false">IF(AND(P$36&gt;=$B$5,P$36&lt;=$C$5),$B$16*P16,0)</f>
        <v>0</v>
      </c>
      <c r="Q51" s="56" t="n">
        <f aca="false">IF(AND(Q$36&gt;=$B$5,Q$36&lt;=$C$5),$B$16*Q16,0)</f>
        <v>0</v>
      </c>
      <c r="R51" s="56" t="n">
        <f aca="false">IF(AND(R$36&gt;=$B$5,R$36&lt;=$C$5),$B$16*R16,0)</f>
        <v>0</v>
      </c>
      <c r="S51" s="56" t="n">
        <f aca="false">IF(AND(S$36&gt;=$B$5,S$36&lt;=$C$5),$B$16*S16,0)</f>
        <v>0</v>
      </c>
      <c r="T51" s="56" t="n">
        <f aca="false">IF(AND(T$36&gt;=$B$5,T$36&lt;=$C$5),$B$16*T16,0)</f>
        <v>0</v>
      </c>
      <c r="U51" s="56" t="n">
        <f aca="false">IF(AND(U$36&gt;=$B$5,U$36&lt;=$C$5),$B$16*U16,0)</f>
        <v>0</v>
      </c>
      <c r="V51" s="56" t="n">
        <f aca="false">IF(AND(V$36&gt;=$B$5,V$36&lt;=$C$5),$B$16*V16,0)</f>
        <v>0</v>
      </c>
      <c r="W51" s="56" t="n">
        <f aca="false">IF(AND(W$36&gt;=$B$5,W$36&lt;=$C$5),$B$16*W16,0)</f>
        <v>0</v>
      </c>
      <c r="X51" s="56" t="n">
        <f aca="false">IF(AND(X$36&gt;=$B$5,X$36&lt;=$C$5),$B$16*X16,0)</f>
        <v>0</v>
      </c>
      <c r="Y51" s="56" t="n">
        <f aca="false">IF(AND(Y$36&gt;=$B$5,Y$36&lt;=$C$5),$B$16*Y16,0)</f>
        <v>0</v>
      </c>
      <c r="Z51" s="56" t="n">
        <f aca="false">IF(AND(Z$36&gt;=$B$5,Z$36&lt;=$C$5),$B$16*Z16,0)</f>
        <v>0</v>
      </c>
      <c r="AA51" s="57" t="n">
        <f aca="false">SUM(D51:Z51)</f>
        <v>123750</v>
      </c>
    </row>
    <row r="52" customFormat="false" ht="15" hidden="false" customHeight="false" outlineLevel="0" collapsed="false">
      <c r="A52" s="41" t="s">
        <v>30</v>
      </c>
      <c r="C52" s="41" t="n">
        <v>2</v>
      </c>
      <c r="D52" s="56" t="n">
        <f aca="false">IF(AND(D$36&gt;=$B$5,D$36&lt;=$C$5),$B$18*D18,0)</f>
        <v>0</v>
      </c>
      <c r="E52" s="56" t="n">
        <f aca="false">IF(AND(E$36&gt;=$B$5,E$36&lt;=$C$5),$B$18*E18,0)</f>
        <v>0</v>
      </c>
      <c r="F52" s="56" t="n">
        <f aca="false">IF(AND(F$36&gt;=$B$5,F$36&lt;=$C$5),$B$18*F18,0)</f>
        <v>0</v>
      </c>
      <c r="G52" s="56" t="n">
        <f aca="false">IF(AND(G$36&gt;=$B$5,G$36&lt;=$C$5),$B$18*G18,0)</f>
        <v>0</v>
      </c>
      <c r="H52" s="56" t="n">
        <f aca="false">IF(AND(H$36&gt;=$B$5,H$36&lt;=$C$5),$B$18*H18,0)</f>
        <v>0</v>
      </c>
      <c r="I52" s="56" t="n">
        <f aca="false">IF(AND(I$36&gt;=$B$5,I$36&lt;=$C$5),$B$18*I18,0)</f>
        <v>13465</v>
      </c>
      <c r="J52" s="56" t="n">
        <f aca="false">IF(AND(J$36&gt;=$B$5,J$36&lt;=$C$5),$B$18*J18,0)</f>
        <v>13465</v>
      </c>
      <c r="K52" s="56" t="n">
        <f aca="false">IF(AND(K$36&gt;=$B$5,K$36&lt;=$C$5),$B$18*K18,0)</f>
        <v>13465</v>
      </c>
      <c r="L52" s="56" t="n">
        <f aca="false">IF(AND(L$36&gt;=$B$5,L$36&lt;=$C$5),$B$18*L18,0)</f>
        <v>13465</v>
      </c>
      <c r="M52" s="56" t="n">
        <f aca="false">IF(AND(M$36&gt;=$B$5,M$36&lt;=$C$5),$B$18*M18,0)</f>
        <v>13465</v>
      </c>
      <c r="N52" s="56" t="n">
        <f aca="false">IF(AND(N$36&gt;=$B$5,N$36&lt;=$C$5),$B$18*N18,0)</f>
        <v>13465</v>
      </c>
      <c r="O52" s="56" t="n">
        <f aca="false">IF(AND(O$36&gt;=$B$5,O$36&lt;=$C$5),$B$18*O18,0)</f>
        <v>0</v>
      </c>
      <c r="P52" s="56" t="n">
        <f aca="false">IF(AND(P$36&gt;=$B$5,P$36&lt;=$C$5),$B$18*P18,0)</f>
        <v>0</v>
      </c>
      <c r="Q52" s="56" t="n">
        <f aca="false">IF(AND(Q$36&gt;=$B$5,Q$36&lt;=$C$5),$B$18*Q18,0)</f>
        <v>0</v>
      </c>
      <c r="R52" s="56" t="n">
        <f aca="false">IF(AND(R$36&gt;=$B$5,R$36&lt;=$C$5),$B$18*R18,0)</f>
        <v>0</v>
      </c>
      <c r="S52" s="56" t="n">
        <f aca="false">IF(AND(S$36&gt;=$B$5,S$36&lt;=$C$5),$B$18*S18,0)</f>
        <v>0</v>
      </c>
      <c r="T52" s="56" t="n">
        <f aca="false">IF(AND(T$36&gt;=$B$5,T$36&lt;=$C$5),$B$18*T18,0)</f>
        <v>0</v>
      </c>
      <c r="U52" s="56" t="n">
        <f aca="false">IF(AND(U$36&gt;=$B$5,U$36&lt;=$C$5),$B$18*U18,0)</f>
        <v>0</v>
      </c>
      <c r="V52" s="56" t="n">
        <f aca="false">IF(AND(V$36&gt;=$B$5,V$36&lt;=$C$5),$B$18*V18,0)</f>
        <v>0</v>
      </c>
      <c r="W52" s="56" t="n">
        <f aca="false">IF(AND(W$36&gt;=$B$5,W$36&lt;=$C$5),$B$18*W18,0)</f>
        <v>0</v>
      </c>
      <c r="X52" s="56" t="n">
        <f aca="false">IF(AND(X$36&gt;=$B$5,X$36&lt;=$C$5),$B$18*X18,0)</f>
        <v>0</v>
      </c>
      <c r="Y52" s="56" t="n">
        <f aca="false">IF(AND(Y$36&gt;=$B$5,Y$36&lt;=$C$5),$B$18*Y18,0)</f>
        <v>0</v>
      </c>
      <c r="Z52" s="56" t="n">
        <f aca="false">IF(AND(Z$36&gt;=$B$5,Z$36&lt;=$C$5),$B$18*Z18,0)</f>
        <v>0</v>
      </c>
      <c r="AA52" s="57" t="n">
        <f aca="false">SUM(D52:Z52)</f>
        <v>80790</v>
      </c>
    </row>
    <row r="53" customFormat="false" ht="15" hidden="false" customHeight="false" outlineLevel="0" collapsed="false">
      <c r="A53" s="41" t="s">
        <v>31</v>
      </c>
      <c r="C53" s="41" t="n">
        <v>2</v>
      </c>
      <c r="D53" s="56" t="n">
        <v>0</v>
      </c>
      <c r="E53" s="56" t="n">
        <v>0</v>
      </c>
      <c r="F53" s="56" t="n">
        <v>0</v>
      </c>
      <c r="G53" s="56" t="n">
        <v>0</v>
      </c>
      <c r="H53" s="56" t="n">
        <v>0</v>
      </c>
      <c r="I53" s="56" t="n">
        <v>0</v>
      </c>
      <c r="J53" s="56" t="n">
        <v>0</v>
      </c>
      <c r="K53" s="56" t="n">
        <v>0</v>
      </c>
      <c r="L53" s="56" t="n">
        <v>0</v>
      </c>
      <c r="M53" s="56" t="n">
        <v>0</v>
      </c>
      <c r="N53" s="56" t="n">
        <v>0</v>
      </c>
      <c r="O53" s="56" t="n">
        <v>0</v>
      </c>
      <c r="P53" s="56" t="n">
        <v>0</v>
      </c>
      <c r="Q53" s="56" t="n">
        <v>0</v>
      </c>
      <c r="R53" s="56" t="n">
        <v>0</v>
      </c>
      <c r="S53" s="56" t="n">
        <v>0</v>
      </c>
      <c r="T53" s="56" t="n">
        <v>0</v>
      </c>
      <c r="U53" s="56" t="n">
        <v>0</v>
      </c>
      <c r="V53" s="56" t="n">
        <v>0</v>
      </c>
      <c r="W53" s="56" t="n">
        <v>0</v>
      </c>
      <c r="X53" s="56" t="n">
        <v>0</v>
      </c>
      <c r="Y53" s="56" t="n">
        <v>0</v>
      </c>
      <c r="Z53" s="56" t="n">
        <v>0</v>
      </c>
      <c r="AA53" s="57" t="n">
        <f aca="false">SUM(D53:Z53)</f>
        <v>0</v>
      </c>
    </row>
    <row r="54" customFormat="false" ht="15" hidden="false" customHeight="false" outlineLevel="0" collapsed="false">
      <c r="A54" s="41" t="s">
        <v>32</v>
      </c>
      <c r="C54" s="41" t="n">
        <v>2</v>
      </c>
      <c r="D54" s="56" t="n">
        <f aca="false">IF(AND(D$36&gt;=$B$5,D$36&lt;=$C$5),$B$19*D19,0)</f>
        <v>0</v>
      </c>
      <c r="E54" s="56" t="n">
        <f aca="false">IF(AND(E$36&gt;=$B$5,E$36&lt;=$C$5),$B$19*E19,0)</f>
        <v>0</v>
      </c>
      <c r="F54" s="56" t="n">
        <f aca="false">IF(AND(F$36&gt;=$B$5,F$36&lt;=$C$5),$B$19*F19,0)</f>
        <v>0</v>
      </c>
      <c r="G54" s="56" t="n">
        <f aca="false">IF(AND(G$36&gt;=$B$5,G$36&lt;=$C$5),$B$19*G19,0)</f>
        <v>0</v>
      </c>
      <c r="H54" s="56" t="n">
        <f aca="false">IF(AND(H$36&gt;=$B$5,H$36&lt;=$C$5),$B$19*H19,0)</f>
        <v>0</v>
      </c>
      <c r="I54" s="56" t="n">
        <f aca="false">IF(AND(I$36&gt;=$B$5,I$36&lt;=$C$5),$B$19*I19,0)</f>
        <v>714.285</v>
      </c>
      <c r="J54" s="56" t="n">
        <f aca="false">IF(AND(J$36&gt;=$B$5,J$36&lt;=$C$5),$B$19*J19,0)</f>
        <v>714.285</v>
      </c>
      <c r="K54" s="56" t="n">
        <f aca="false">IF(AND(K$36&gt;=$B$5,K$36&lt;=$C$5),$B$19*K19,0)</f>
        <v>714.285</v>
      </c>
      <c r="L54" s="56" t="n">
        <f aca="false">IF(AND(L$36&gt;=$B$5,L$36&lt;=$C$5),$B$19*L19,0)</f>
        <v>714.285</v>
      </c>
      <c r="M54" s="56" t="n">
        <f aca="false">IF(AND(M$36&gt;=$B$5,M$36&lt;=$C$5),$B$19*M19,0)</f>
        <v>714.285</v>
      </c>
      <c r="N54" s="56" t="n">
        <f aca="false">IF(AND(N$36&gt;=$B$5,N$36&lt;=$C$5),$B$19*N19,0)</f>
        <v>714.285</v>
      </c>
      <c r="O54" s="56" t="n">
        <f aca="false">IF(AND(O$36&gt;=$B$5,O$36&lt;=$C$5),$B$19*O19,0)</f>
        <v>0</v>
      </c>
      <c r="P54" s="56" t="n">
        <f aca="false">IF(AND(P$36&gt;=$B$5,P$36&lt;=$C$5),$B$19*P19,0)</f>
        <v>0</v>
      </c>
      <c r="Q54" s="56" t="n">
        <f aca="false">IF(AND(Q$36&gt;=$B$5,Q$36&lt;=$C$5),$B$19*Q19,0)</f>
        <v>0</v>
      </c>
      <c r="R54" s="56" t="n">
        <f aca="false">IF(AND(R$36&gt;=$B$5,R$36&lt;=$C$5),$B$19*R19,0)</f>
        <v>0</v>
      </c>
      <c r="S54" s="56" t="n">
        <f aca="false">IF(AND(S$36&gt;=$B$5,S$36&lt;=$C$5),$B$19*S19,0)</f>
        <v>0</v>
      </c>
      <c r="T54" s="56" t="n">
        <f aca="false">IF(AND(T$36&gt;=$B$5,T$36&lt;=$C$5),$B$19*T19,0)</f>
        <v>0</v>
      </c>
      <c r="U54" s="56" t="n">
        <f aca="false">IF(AND(U$36&gt;=$B$5,U$36&lt;=$C$5),$B$19*U19,0)</f>
        <v>0</v>
      </c>
      <c r="V54" s="56" t="n">
        <f aca="false">IF(AND(V$36&gt;=$B$5,V$36&lt;=$C$5),$B$19*V19,0)</f>
        <v>0</v>
      </c>
      <c r="W54" s="56" t="n">
        <f aca="false">IF(AND(W$36&gt;=$B$5,W$36&lt;=$C$5),$B$19*W19,0)</f>
        <v>0</v>
      </c>
      <c r="X54" s="56" t="n">
        <f aca="false">IF(AND(X$36&gt;=$B$5,X$36&lt;=$C$5),$B$19*X19,0)</f>
        <v>0</v>
      </c>
      <c r="Y54" s="56" t="n">
        <f aca="false">IF(AND(Y$36&gt;=$B$5,Y$36&lt;=$C$5),$B$19*Y19,0)</f>
        <v>0</v>
      </c>
      <c r="Z54" s="56" t="n">
        <f aca="false">IF(AND(Z$36&gt;=$B$5,Z$36&lt;=$C$5),$B$19*Z19,0)</f>
        <v>0</v>
      </c>
      <c r="AA54" s="57" t="n">
        <f aca="false">SUM(D54:Z54)</f>
        <v>4285.71</v>
      </c>
    </row>
    <row r="55" customFormat="false" ht="15" hidden="false" customHeight="false" outlineLevel="0" collapsed="false">
      <c r="A55" s="41" t="s">
        <v>33</v>
      </c>
      <c r="C55" s="41" t="n">
        <v>2</v>
      </c>
      <c r="D55" s="56" t="n">
        <f aca="false">IF(AND(D$36&gt;=$B$5,D$36&lt;=$C$5),$B$17*D17,0)</f>
        <v>0</v>
      </c>
      <c r="E55" s="56" t="n">
        <f aca="false">IF(AND(E$36&gt;=$B$5,E$36&lt;=$C$5),$B$17*E17,0)</f>
        <v>0</v>
      </c>
      <c r="F55" s="56" t="n">
        <f aca="false">IF(AND(F$36&gt;=$B$5,F$36&lt;=$C$5),$B$17*F17,0)</f>
        <v>0</v>
      </c>
      <c r="G55" s="56" t="n">
        <f aca="false">IF(AND(G$36&gt;=$B$5,G$36&lt;=$C$5),$B$17*G17,0)</f>
        <v>0</v>
      </c>
      <c r="H55" s="56" t="n">
        <f aca="false">IF(AND(H$36&gt;=$B$5,H$36&lt;=$C$5),$B$17*H17,0)</f>
        <v>0</v>
      </c>
      <c r="I55" s="56" t="n">
        <f aca="false">IF(AND(I$36&gt;=$B$5,I$36&lt;=$C$5),$B$17*I17,0)</f>
        <v>19750</v>
      </c>
      <c r="J55" s="56" t="n">
        <f aca="false">IF(AND(J$36&gt;=$B$5,J$36&lt;=$C$5),$B$17*J17,0)</f>
        <v>19750</v>
      </c>
      <c r="K55" s="56" t="n">
        <f aca="false">IF(AND(K$36&gt;=$B$5,K$36&lt;=$C$5),$B$17*K17,0)</f>
        <v>19750</v>
      </c>
      <c r="L55" s="56" t="n">
        <f aca="false">IF(AND(L$36&gt;=$B$5,L$36&lt;=$C$5),$B$17*L17,0)</f>
        <v>19750</v>
      </c>
      <c r="M55" s="56" t="n">
        <f aca="false">IF(AND(M$36&gt;=$B$5,M$36&lt;=$C$5),$B$17*M17,0)</f>
        <v>19750</v>
      </c>
      <c r="N55" s="56" t="n">
        <f aca="false">IF(AND(N$36&gt;=$B$5,N$36&lt;=$C$5),$B$17*N17,0)</f>
        <v>19750</v>
      </c>
      <c r="O55" s="56" t="n">
        <f aca="false">IF(AND(O$36&gt;=$B$5,O$36&lt;=$C$5),$B$17*O17,0)</f>
        <v>0</v>
      </c>
      <c r="P55" s="56" t="n">
        <f aca="false">IF(AND(P$36&gt;=$B$5,P$36&lt;=$C$5),$B$17*P17,0)</f>
        <v>0</v>
      </c>
      <c r="Q55" s="56" t="n">
        <f aca="false">IF(AND(Q$36&gt;=$B$5,Q$36&lt;=$C$5),$B$17*Q17,0)</f>
        <v>0</v>
      </c>
      <c r="R55" s="56" t="n">
        <f aca="false">IF(AND(R$36&gt;=$B$5,R$36&lt;=$C$5),$B$17*R17,0)</f>
        <v>0</v>
      </c>
      <c r="S55" s="56" t="n">
        <f aca="false">IF(AND(S$36&gt;=$B$5,S$36&lt;=$C$5),$B$17*S17,0)</f>
        <v>0</v>
      </c>
      <c r="T55" s="56" t="n">
        <f aca="false">IF(AND(T$36&gt;=$B$5,T$36&lt;=$C$5),$B$17*T17,0)</f>
        <v>0</v>
      </c>
      <c r="U55" s="56" t="n">
        <f aca="false">IF(AND(U$36&gt;=$B$5,U$36&lt;=$C$5),$B$17*U17,0)</f>
        <v>0</v>
      </c>
      <c r="V55" s="56" t="n">
        <f aca="false">IF(AND(V$36&gt;=$B$5,V$36&lt;=$C$5),$B$17*V17,0)</f>
        <v>0</v>
      </c>
      <c r="W55" s="56" t="n">
        <f aca="false">IF(AND(W$36&gt;=$B$5,W$36&lt;=$C$5),$B$17*W17,0)</f>
        <v>0</v>
      </c>
      <c r="X55" s="56" t="n">
        <f aca="false">IF(AND(X$36&gt;=$B$5,X$36&lt;=$C$5),$B$17*X17,0)</f>
        <v>0</v>
      </c>
      <c r="Y55" s="56" t="n">
        <f aca="false">IF(AND(Y$36&gt;=$B$5,Y$36&lt;=$C$5),$B$17*Y17,0)</f>
        <v>0</v>
      </c>
      <c r="Z55" s="56" t="n">
        <f aca="false">IF(AND(Z$36&gt;=$B$5,Z$36&lt;=$C$5),$B$17*Z17,0)</f>
        <v>0</v>
      </c>
      <c r="AA55" s="57" t="n">
        <f aca="false">SUM(D55:Z55)</f>
        <v>118500</v>
      </c>
    </row>
    <row r="56" customFormat="false" ht="15" hidden="false" customHeight="false" outlineLevel="0" collapsed="false">
      <c r="A56" s="41" t="s">
        <v>35</v>
      </c>
      <c r="C56" s="41" t="n">
        <v>3</v>
      </c>
      <c r="D56" s="56" t="n">
        <f aca="false">IF(AND(D$36&gt;=$B$6,D$36&lt;=$C$6),$B$11*D11,0)</f>
        <v>0</v>
      </c>
      <c r="E56" s="56" t="n">
        <f aca="false">IF(AND(E$36&gt;=$B$6,E$36&lt;=$C$6),$B$11*E11,0)</f>
        <v>0</v>
      </c>
      <c r="F56" s="56" t="n">
        <f aca="false">IF(AND(F$36&gt;=$B$6,F$36&lt;=$C$6),$B$11*F11,0)</f>
        <v>0</v>
      </c>
      <c r="G56" s="56" t="n">
        <f aca="false">IF(AND(G$36&gt;=$B$6,G$36&lt;=$C$6),$B$11*G11,0)</f>
        <v>0</v>
      </c>
      <c r="H56" s="56" t="n">
        <f aca="false">IF(AND(H$36&gt;=$B$6,H$36&lt;=$C$6),$B$11*H11,0)</f>
        <v>0</v>
      </c>
      <c r="I56" s="56" t="n">
        <f aca="false">IF(AND(I$36&gt;=$B$6,I$36&lt;=$C$6),$B$11*I11,0)</f>
        <v>0</v>
      </c>
      <c r="J56" s="56" t="n">
        <f aca="false">IF(AND(J$36&gt;=$B$6,J$36&lt;=$C$6),$B$11*J11,0)</f>
        <v>0</v>
      </c>
      <c r="K56" s="56" t="n">
        <f aca="false">IF(AND(K$36&gt;=$B$6,K$36&lt;=$C$6),$B$11*K11,0)</f>
        <v>0</v>
      </c>
      <c r="L56" s="56" t="n">
        <f aca="false">IF(AND(L$36&gt;=$B$6,L$36&lt;=$C$6),$B$11*L11,0)</f>
        <v>0</v>
      </c>
      <c r="M56" s="56" t="n">
        <f aca="false">IF(AND(M$36&gt;=$B$6,M$36&lt;=$C$6),$B$11*M11,0)</f>
        <v>0</v>
      </c>
      <c r="N56" s="56" t="n">
        <f aca="false">IF(AND(N$36&gt;=$B$6,N$36&lt;=$C$6),$B$11*N11,0)</f>
        <v>0</v>
      </c>
      <c r="O56" s="56" t="n">
        <f aca="false">IF(AND(O$36&gt;=$B$6,O$36&lt;=$C$6),$B$11*O11,0)</f>
        <v>55400</v>
      </c>
      <c r="P56" s="56" t="n">
        <f aca="false">IF(AND(P$36&gt;=$B$6,P$36&lt;=$C$6),$B$11*P11,0)</f>
        <v>55400</v>
      </c>
      <c r="Q56" s="56" t="n">
        <f aca="false">IF(AND(Q$36&gt;=$B$6,Q$36&lt;=$C$6),$B$11*Q11,0)</f>
        <v>55400</v>
      </c>
      <c r="R56" s="56" t="n">
        <f aca="false">IF(AND(R$36&gt;=$B$6,R$36&lt;=$C$6),$B$11*R11,0)</f>
        <v>55400</v>
      </c>
      <c r="S56" s="56" t="n">
        <f aca="false">IF(AND(S$36&gt;=$B$6,S$36&lt;=$C$6),$B$11*S11,0)</f>
        <v>55400</v>
      </c>
      <c r="T56" s="56" t="n">
        <f aca="false">IF(AND(T$36&gt;=$B$6,T$36&lt;=$C$6),$B$11*T11,0)</f>
        <v>55400</v>
      </c>
      <c r="U56" s="56" t="n">
        <f aca="false">IF(AND(U$36&gt;=$B$6,U$36&lt;=$C$6),$B$11*U11,0)</f>
        <v>0</v>
      </c>
      <c r="V56" s="56" t="n">
        <f aca="false">IF(AND(V$36&gt;=$B$6,V$36&lt;=$C$6),$B$11*V11,0)</f>
        <v>0</v>
      </c>
      <c r="W56" s="56" t="n">
        <f aca="false">IF(AND(W$36&gt;=$B$6,W$36&lt;=$C$6),$B$11*W11,0)</f>
        <v>0</v>
      </c>
      <c r="X56" s="56" t="n">
        <f aca="false">IF(AND(X$36&gt;=$B$6,X$36&lt;=$C$6),$B$11*X11,0)</f>
        <v>0</v>
      </c>
      <c r="Y56" s="56" t="n">
        <f aca="false">IF(AND(Y$36&gt;=$B$6,Y$36&lt;=$C$6),$B$11*Y11,0)</f>
        <v>0</v>
      </c>
      <c r="Z56" s="56" t="n">
        <f aca="false">IF(AND(Z$36&gt;=$B$6,Z$36&lt;=$C$6),$B$11*Z11,0)</f>
        <v>0</v>
      </c>
      <c r="AA56" s="57" t="n">
        <f aca="false">SUM(D56:Z56)</f>
        <v>332400</v>
      </c>
    </row>
    <row r="57" customFormat="false" ht="15" hidden="false" customHeight="false" outlineLevel="0" collapsed="false">
      <c r="A57" s="41" t="s">
        <v>36</v>
      </c>
      <c r="C57" s="41" t="n">
        <v>3</v>
      </c>
      <c r="D57" s="56" t="n">
        <f aca="false">IF(AND(D$36&gt;=$B$6,D$36&lt;=$C$6),$B$12*D12,0)</f>
        <v>0</v>
      </c>
      <c r="E57" s="56" t="n">
        <f aca="false">IF(AND(E$36&gt;=$B$6,E$36&lt;=$C$6),$B$12*E12,0)</f>
        <v>0</v>
      </c>
      <c r="F57" s="56" t="n">
        <f aca="false">IF(AND(F$36&gt;=$B$6,F$36&lt;=$C$6),$B$12*F12,0)</f>
        <v>0</v>
      </c>
      <c r="G57" s="56" t="n">
        <f aca="false">IF(AND(G$36&gt;=$B$6,G$36&lt;=$C$6),$B$12*G12,0)</f>
        <v>0</v>
      </c>
      <c r="H57" s="56" t="n">
        <f aca="false">IF(AND(H$36&gt;=$B$6,H$36&lt;=$C$6),$B$12*H12,0)</f>
        <v>0</v>
      </c>
      <c r="I57" s="56" t="n">
        <f aca="false">IF(AND(I$36&gt;=$B$6,I$36&lt;=$C$6),$B$12*I12,0)</f>
        <v>0</v>
      </c>
      <c r="J57" s="56" t="n">
        <f aca="false">IF(AND(J$36&gt;=$B$6,J$36&lt;=$C$6),$B$12*J12,0)</f>
        <v>0</v>
      </c>
      <c r="K57" s="56" t="n">
        <f aca="false">IF(AND(K$36&gt;=$B$6,K$36&lt;=$C$6),$B$12*K12,0)</f>
        <v>0</v>
      </c>
      <c r="L57" s="56" t="n">
        <f aca="false">IF(AND(L$36&gt;=$B$6,L$36&lt;=$C$6),$B$12*L12,0)</f>
        <v>0</v>
      </c>
      <c r="M57" s="56" t="n">
        <f aca="false">IF(AND(M$36&gt;=$B$6,M$36&lt;=$C$6),$B$12*M12,0)</f>
        <v>0</v>
      </c>
      <c r="N57" s="56" t="n">
        <f aca="false">IF(AND(N$36&gt;=$B$6,N$36&lt;=$C$6),$B$12*N12,0)</f>
        <v>0</v>
      </c>
      <c r="O57" s="56" t="n">
        <f aca="false">IF(AND(O$36&gt;=$B$6,O$36&lt;=$C$6),$B$12*O12,0)</f>
        <v>18860</v>
      </c>
      <c r="P57" s="56" t="n">
        <f aca="false">IF(AND(P$36&gt;=$B$6,P$36&lt;=$C$6),$B$12*P12,0)</f>
        <v>18860</v>
      </c>
      <c r="Q57" s="56" t="n">
        <f aca="false">IF(AND(Q$36&gt;=$B$6,Q$36&lt;=$C$6),$B$12*Q12,0)</f>
        <v>18860</v>
      </c>
      <c r="R57" s="56" t="n">
        <f aca="false">IF(AND(R$36&gt;=$B$6,R$36&lt;=$C$6),$B$12*R12,0)</f>
        <v>18860</v>
      </c>
      <c r="S57" s="56" t="n">
        <f aca="false">IF(AND(S$36&gt;=$B$6,S$36&lt;=$C$6),$B$12*S12,0)</f>
        <v>18860</v>
      </c>
      <c r="T57" s="56" t="n">
        <f aca="false">IF(AND(T$36&gt;=$B$6,T$36&lt;=$C$6),$B$12*T12,0)</f>
        <v>18860</v>
      </c>
      <c r="U57" s="56" t="n">
        <f aca="false">IF(AND(U$36&gt;=$B$6,U$36&lt;=$C$6),$B$12*U12,0)</f>
        <v>0</v>
      </c>
      <c r="V57" s="56" t="n">
        <f aca="false">IF(AND(V$36&gt;=$B$6,V$36&lt;=$C$6),$B$12*V12,0)</f>
        <v>0</v>
      </c>
      <c r="W57" s="56" t="n">
        <f aca="false">IF(AND(W$36&gt;=$B$6,W$36&lt;=$C$6),$B$12*W12,0)</f>
        <v>0</v>
      </c>
      <c r="X57" s="56" t="n">
        <f aca="false">IF(AND(X$36&gt;=$B$6,X$36&lt;=$C$6),$B$12*X12,0)</f>
        <v>0</v>
      </c>
      <c r="Y57" s="56" t="n">
        <f aca="false">IF(AND(Y$36&gt;=$B$6,Y$36&lt;=$C$6),$B$12*Y12,0)</f>
        <v>0</v>
      </c>
      <c r="Z57" s="56" t="n">
        <f aca="false">IF(AND(Z$36&gt;=$B$6,Z$36&lt;=$C$6),$B$12*Z12,0)</f>
        <v>0</v>
      </c>
      <c r="AA57" s="57" t="n">
        <f aca="false">SUM(D57:Z57)</f>
        <v>113160</v>
      </c>
    </row>
    <row r="58" customFormat="false" ht="15" hidden="false" customHeight="false" outlineLevel="0" collapsed="false">
      <c r="A58" s="41" t="s">
        <v>37</v>
      </c>
      <c r="C58" s="41" t="n">
        <v>3</v>
      </c>
      <c r="D58" s="56" t="n">
        <f aca="false">IF(AND(D$36&gt;=$B$6,D$36&lt;=$C$6),$B$13*D13,0)</f>
        <v>0</v>
      </c>
      <c r="E58" s="56" t="n">
        <f aca="false">IF(AND(E$36&gt;=$B$6,E$36&lt;=$C$6),$B$13*E13,0)</f>
        <v>0</v>
      </c>
      <c r="F58" s="56" t="n">
        <f aca="false">IF(AND(F$36&gt;=$B$6,F$36&lt;=$C$6),$B$13*F13,0)</f>
        <v>0</v>
      </c>
      <c r="G58" s="56" t="n">
        <f aca="false">IF(AND(G$36&gt;=$B$6,G$36&lt;=$C$6),$B$13*G13,0)</f>
        <v>0</v>
      </c>
      <c r="H58" s="56" t="n">
        <f aca="false">IF(AND(H$36&gt;=$B$6,H$36&lt;=$C$6),$B$13*H13,0)</f>
        <v>0</v>
      </c>
      <c r="I58" s="56" t="n">
        <f aca="false">IF(AND(I$36&gt;=$B$6,I$36&lt;=$C$6),$B$13*I13,0)</f>
        <v>0</v>
      </c>
      <c r="J58" s="56" t="n">
        <f aca="false">IF(AND(J$36&gt;=$B$6,J$36&lt;=$C$6),$B$13*J13,0)</f>
        <v>0</v>
      </c>
      <c r="K58" s="56" t="n">
        <f aca="false">IF(AND(K$36&gt;=$B$6,K$36&lt;=$C$6),$B$13*K13,0)</f>
        <v>0</v>
      </c>
      <c r="L58" s="56" t="n">
        <f aca="false">IF(AND(L$36&gt;=$B$6,L$36&lt;=$C$6),$B$13*L13,0)</f>
        <v>0</v>
      </c>
      <c r="M58" s="56" t="n">
        <f aca="false">IF(AND(M$36&gt;=$B$6,M$36&lt;=$C$6),$B$13*M13,0)</f>
        <v>0</v>
      </c>
      <c r="N58" s="56" t="n">
        <f aca="false">IF(AND(N$36&gt;=$B$6,N$36&lt;=$C$6),$B$13*N13,0)</f>
        <v>0</v>
      </c>
      <c r="O58" s="56" t="n">
        <f aca="false">IF(AND(O$36&gt;=$B$6,O$36&lt;=$C$6),$B$13*O13,0)</f>
        <v>27110</v>
      </c>
      <c r="P58" s="56" t="n">
        <f aca="false">IF(AND(P$36&gt;=$B$6,P$36&lt;=$C$6),$B$13*P13,0)</f>
        <v>27110</v>
      </c>
      <c r="Q58" s="56" t="n">
        <f aca="false">IF(AND(Q$36&gt;=$B$6,Q$36&lt;=$C$6),$B$13*Q13,0)</f>
        <v>27110</v>
      </c>
      <c r="R58" s="56" t="n">
        <f aca="false">IF(AND(R$36&gt;=$B$6,R$36&lt;=$C$6),$B$13*R13,0)</f>
        <v>27110</v>
      </c>
      <c r="S58" s="56" t="n">
        <f aca="false">IF(AND(S$36&gt;=$B$6,S$36&lt;=$C$6),$B$13*S13,0)</f>
        <v>27110</v>
      </c>
      <c r="T58" s="56" t="n">
        <f aca="false">IF(AND(T$36&gt;=$B$6,T$36&lt;=$C$6),$B$13*T13,0)</f>
        <v>27110</v>
      </c>
      <c r="U58" s="56" t="n">
        <f aca="false">IF(AND(U$36&gt;=$B$6,U$36&lt;=$C$6),$B$13*U13,0)</f>
        <v>0</v>
      </c>
      <c r="V58" s="56" t="n">
        <f aca="false">IF(AND(V$36&gt;=$B$6,V$36&lt;=$C$6),$B$13*V13,0)</f>
        <v>0</v>
      </c>
      <c r="W58" s="56" t="n">
        <f aca="false">IF(AND(W$36&gt;=$B$6,W$36&lt;=$C$6),$B$13*W13,0)</f>
        <v>0</v>
      </c>
      <c r="X58" s="56" t="n">
        <f aca="false">IF(AND(X$36&gt;=$B$6,X$36&lt;=$C$6),$B$13*X13,0)</f>
        <v>0</v>
      </c>
      <c r="Y58" s="56" t="n">
        <f aca="false">IF(AND(Y$36&gt;=$B$6,Y$36&lt;=$C$6),$B$13*Y13,0)</f>
        <v>0</v>
      </c>
      <c r="Z58" s="56" t="n">
        <f aca="false">IF(AND(Z$36&gt;=$B$6,Z$36&lt;=$C$6),$B$13*Z13,0)</f>
        <v>0</v>
      </c>
      <c r="AA58" s="57" t="n">
        <f aca="false">SUM(D58:Z58)</f>
        <v>162660</v>
      </c>
    </row>
    <row r="59" customFormat="false" ht="15" hidden="false" customHeight="false" outlineLevel="0" collapsed="false">
      <c r="A59" s="41" t="s">
        <v>38</v>
      </c>
      <c r="C59" s="41" t="n">
        <v>3</v>
      </c>
      <c r="D59" s="56" t="n">
        <f aca="false">IF(AND(D$36&gt;=$B$6,D$36&lt;=$C$6),$B$14*D14,0)</f>
        <v>0</v>
      </c>
      <c r="E59" s="56" t="n">
        <f aca="false">IF(AND(E$36&gt;=$B$6,E$36&lt;=$C$6),$B$14*E14,0)</f>
        <v>0</v>
      </c>
      <c r="F59" s="56" t="n">
        <f aca="false">IF(AND(F$36&gt;=$B$6,F$36&lt;=$C$6),$B$14*F14,0)</f>
        <v>0</v>
      </c>
      <c r="G59" s="56" t="n">
        <f aca="false">IF(AND(G$36&gt;=$B$6,G$36&lt;=$C$6),$B$14*G14,0)</f>
        <v>0</v>
      </c>
      <c r="H59" s="56" t="n">
        <f aca="false">IF(AND(H$36&gt;=$B$6,H$36&lt;=$C$6),$B$14*H14,0)</f>
        <v>0</v>
      </c>
      <c r="I59" s="56" t="n">
        <f aca="false">IF(AND(I$36&gt;=$B$6,I$36&lt;=$C$6),$B$14*I14,0)</f>
        <v>0</v>
      </c>
      <c r="J59" s="56" t="n">
        <f aca="false">IF(AND(J$36&gt;=$B$6,J$36&lt;=$C$6),$B$14*J14,0)</f>
        <v>0</v>
      </c>
      <c r="K59" s="56" t="n">
        <f aca="false">IF(AND(K$36&gt;=$B$6,K$36&lt;=$C$6),$B$14*K14,0)</f>
        <v>0</v>
      </c>
      <c r="L59" s="56" t="n">
        <f aca="false">IF(AND(L$36&gt;=$B$6,L$36&lt;=$C$6),$B$14*L14,0)</f>
        <v>0</v>
      </c>
      <c r="M59" s="56" t="n">
        <f aca="false">IF(AND(M$36&gt;=$B$6,M$36&lt;=$C$6),$B$14*M14,0)</f>
        <v>0</v>
      </c>
      <c r="N59" s="56" t="n">
        <f aca="false">IF(AND(N$36&gt;=$B$6,N$36&lt;=$C$6),$B$14*N14,0)</f>
        <v>0</v>
      </c>
      <c r="O59" s="56" t="n">
        <f aca="false">IF(AND(O$36&gt;=$B$6,O$36&lt;=$C$6),$B$14*O14,0)</f>
        <v>20625</v>
      </c>
      <c r="P59" s="56" t="n">
        <f aca="false">IF(AND(P$36&gt;=$B$6,P$36&lt;=$C$6),$B$14*P14,0)</f>
        <v>20625</v>
      </c>
      <c r="Q59" s="56" t="n">
        <f aca="false">IF(AND(Q$36&gt;=$B$6,Q$36&lt;=$C$6),$B$14*Q14,0)</f>
        <v>20625</v>
      </c>
      <c r="R59" s="56" t="n">
        <f aca="false">IF(AND(R$36&gt;=$B$6,R$36&lt;=$C$6),$B$14*R14,0)</f>
        <v>20625</v>
      </c>
      <c r="S59" s="56" t="n">
        <f aca="false">IF(AND(S$36&gt;=$B$6,S$36&lt;=$C$6),$B$14*S14,0)</f>
        <v>20625</v>
      </c>
      <c r="T59" s="56" t="n">
        <f aca="false">IF(AND(T$36&gt;=$B$6,T$36&lt;=$C$6),$B$14*T14,0)</f>
        <v>20625</v>
      </c>
      <c r="U59" s="56" t="n">
        <f aca="false">IF(AND(U$36&gt;=$B$6,U$36&lt;=$C$6),$B$14*U14,0)</f>
        <v>0</v>
      </c>
      <c r="V59" s="56" t="n">
        <f aca="false">IF(AND(V$36&gt;=$B$6,V$36&lt;=$C$6),$B$14*V14,0)</f>
        <v>0</v>
      </c>
      <c r="W59" s="56" t="n">
        <f aca="false">IF(AND(W$36&gt;=$B$6,W$36&lt;=$C$6),$B$14*W14,0)</f>
        <v>0</v>
      </c>
      <c r="X59" s="56" t="n">
        <f aca="false">IF(AND(X$36&gt;=$B$6,X$36&lt;=$C$6),$B$14*X14,0)</f>
        <v>0</v>
      </c>
      <c r="Y59" s="56" t="n">
        <f aca="false">IF(AND(Y$36&gt;=$B$6,Y$36&lt;=$C$6),$B$14*Y14,0)</f>
        <v>0</v>
      </c>
      <c r="Z59" s="56" t="n">
        <f aca="false">IF(AND(Z$36&gt;=$B$6,Z$36&lt;=$C$6),$B$14*Z14,0)</f>
        <v>0</v>
      </c>
      <c r="AA59" s="57" t="n">
        <f aca="false">SUM(D59:Z59)</f>
        <v>123750</v>
      </c>
    </row>
    <row r="60" customFormat="false" ht="15" hidden="false" customHeight="false" outlineLevel="0" collapsed="false">
      <c r="A60" s="41" t="s">
        <v>39</v>
      </c>
      <c r="C60" s="41" t="n">
        <v>3</v>
      </c>
      <c r="D60" s="56" t="n">
        <f aca="false">IF(AND(D$36&gt;=$B$6,D$36&lt;=$C$6),$B$15*D15,0)</f>
        <v>0</v>
      </c>
      <c r="E60" s="56" t="n">
        <f aca="false">IF(AND(E$36&gt;=$B$6,E$36&lt;=$C$6),$B$15*E15,0)</f>
        <v>0</v>
      </c>
      <c r="F60" s="56" t="n">
        <f aca="false">IF(AND(F$36&gt;=$B$6,F$36&lt;=$C$6),$B$15*F15,0)</f>
        <v>0</v>
      </c>
      <c r="G60" s="56" t="n">
        <f aca="false">IF(AND(G$36&gt;=$B$6,G$36&lt;=$C$6),$B$15*G15,0)</f>
        <v>0</v>
      </c>
      <c r="H60" s="56" t="n">
        <f aca="false">IF(AND(H$36&gt;=$B$6,H$36&lt;=$C$6),$B$15*H15,0)</f>
        <v>0</v>
      </c>
      <c r="I60" s="56" t="n">
        <f aca="false">IF(AND(I$36&gt;=$B$6,I$36&lt;=$C$6),$B$15*I15,0)</f>
        <v>0</v>
      </c>
      <c r="J60" s="56" t="n">
        <f aca="false">IF(AND(J$36&gt;=$B$6,J$36&lt;=$C$6),$B$15*J15,0)</f>
        <v>0</v>
      </c>
      <c r="K60" s="56" t="n">
        <f aca="false">IF(AND(K$36&gt;=$B$6,K$36&lt;=$C$6),$B$15*K15,0)</f>
        <v>0</v>
      </c>
      <c r="L60" s="56" t="n">
        <f aca="false">IF(AND(L$36&gt;=$B$6,L$36&lt;=$C$6),$B$15*L15,0)</f>
        <v>0</v>
      </c>
      <c r="M60" s="56" t="n">
        <f aca="false">IF(AND(M$36&gt;=$B$6,M$36&lt;=$C$6),$B$15*M15,0)</f>
        <v>0</v>
      </c>
      <c r="N60" s="56" t="n">
        <f aca="false">IF(AND(N$36&gt;=$B$6,N$36&lt;=$C$6),$B$15*N15,0)</f>
        <v>0</v>
      </c>
      <c r="O60" s="56" t="n">
        <f aca="false">IF(AND(O$36&gt;=$B$6,O$36&lt;=$C$6),$B$15*O15,0)</f>
        <v>7440</v>
      </c>
      <c r="P60" s="56" t="n">
        <f aca="false">IF(AND(P$36&gt;=$B$6,P$36&lt;=$C$6),$B$15*P15,0)</f>
        <v>7440</v>
      </c>
      <c r="Q60" s="56" t="n">
        <f aca="false">IF(AND(Q$36&gt;=$B$6,Q$36&lt;=$C$6),$B$15*Q15,0)</f>
        <v>7440</v>
      </c>
      <c r="R60" s="56" t="n">
        <f aca="false">IF(AND(R$36&gt;=$B$6,R$36&lt;=$C$6),$B$15*R15,0)</f>
        <v>7440</v>
      </c>
      <c r="S60" s="56" t="n">
        <f aca="false">IF(AND(S$36&gt;=$B$6,S$36&lt;=$C$6),$B$15*S15,0)</f>
        <v>7440</v>
      </c>
      <c r="T60" s="56" t="n">
        <f aca="false">IF(AND(T$36&gt;=$B$6,T$36&lt;=$C$6),$B$15*T15,0)</f>
        <v>7440</v>
      </c>
      <c r="U60" s="56" t="n">
        <f aca="false">IF(AND(U$36&gt;=$B$6,U$36&lt;=$C$6),$B$15*U15,0)</f>
        <v>0</v>
      </c>
      <c r="V60" s="56" t="n">
        <f aca="false">IF(AND(V$36&gt;=$B$6,V$36&lt;=$C$6),$B$15*V15,0)</f>
        <v>0</v>
      </c>
      <c r="W60" s="56" t="n">
        <f aca="false">IF(AND(W$36&gt;=$B$6,W$36&lt;=$C$6),$B$15*W15,0)</f>
        <v>0</v>
      </c>
      <c r="X60" s="56" t="n">
        <f aca="false">IF(AND(X$36&gt;=$B$6,X$36&lt;=$C$6),$B$15*X15,0)</f>
        <v>0</v>
      </c>
      <c r="Y60" s="56" t="n">
        <f aca="false">IF(AND(Y$36&gt;=$B$6,Y$36&lt;=$C$6),$B$15*Y15,0)</f>
        <v>0</v>
      </c>
      <c r="Z60" s="56" t="n">
        <f aca="false">IF(AND(Z$36&gt;=$B$6,Z$36&lt;=$C$6),$B$15*Z15,0)</f>
        <v>0</v>
      </c>
      <c r="AA60" s="57" t="n">
        <f aca="false">SUM(D60:Z60)</f>
        <v>44640</v>
      </c>
    </row>
    <row r="61" customFormat="false" ht="15" hidden="false" customHeight="false" outlineLevel="0" collapsed="false">
      <c r="A61" s="41" t="s">
        <v>40</v>
      </c>
      <c r="C61" s="41" t="n">
        <v>3</v>
      </c>
      <c r="D61" s="56" t="n">
        <f aca="false">IF(AND(D$36&gt;=$B$6,D$36&lt;=$C$6),$B$16*D16,0)</f>
        <v>0</v>
      </c>
      <c r="E61" s="56" t="n">
        <f aca="false">IF(AND(E$36&gt;=$B$6,E$36&lt;=$C$6),$B$16*E16,0)</f>
        <v>0</v>
      </c>
      <c r="F61" s="56" t="n">
        <f aca="false">IF(AND(F$36&gt;=$B$6,F$36&lt;=$C$6),$B$16*F16,0)</f>
        <v>0</v>
      </c>
      <c r="G61" s="56" t="n">
        <f aca="false">IF(AND(G$36&gt;=$B$6,G$36&lt;=$C$6),$B$16*G16,0)</f>
        <v>0</v>
      </c>
      <c r="H61" s="56" t="n">
        <f aca="false">IF(AND(H$36&gt;=$B$6,H$36&lt;=$C$6),$B$16*H16,0)</f>
        <v>0</v>
      </c>
      <c r="I61" s="56" t="n">
        <f aca="false">IF(AND(I$36&gt;=$B$6,I$36&lt;=$C$6),$B$16*I16,0)</f>
        <v>0</v>
      </c>
      <c r="J61" s="56" t="n">
        <f aca="false">IF(AND(J$36&gt;=$B$6,J$36&lt;=$C$6),$B$16*J16,0)</f>
        <v>0</v>
      </c>
      <c r="K61" s="56" t="n">
        <f aca="false">IF(AND(K$36&gt;=$B$6,K$36&lt;=$C$6),$B$16*K16,0)</f>
        <v>0</v>
      </c>
      <c r="L61" s="56" t="n">
        <f aca="false">IF(AND(L$36&gt;=$B$6,L$36&lt;=$C$6),$B$16*L16,0)</f>
        <v>0</v>
      </c>
      <c r="M61" s="56" t="n">
        <f aca="false">IF(AND(M$36&gt;=$B$6,M$36&lt;=$C$6),$B$16*M16,0)</f>
        <v>0</v>
      </c>
      <c r="N61" s="56" t="n">
        <f aca="false">IF(AND(N$36&gt;=$B$6,N$36&lt;=$C$6),$B$16*N16,0)</f>
        <v>0</v>
      </c>
      <c r="O61" s="56" t="n">
        <f aca="false">IF(AND(O$36&gt;=$B$6,O$36&lt;=$C$6),$B$16*O16,0)</f>
        <v>20625</v>
      </c>
      <c r="P61" s="56" t="n">
        <f aca="false">IF(AND(P$36&gt;=$B$6,P$36&lt;=$C$6),$B$16*P16,0)</f>
        <v>20625</v>
      </c>
      <c r="Q61" s="56" t="n">
        <f aca="false">IF(AND(Q$36&gt;=$B$6,Q$36&lt;=$C$6),$B$16*Q16,0)</f>
        <v>20625</v>
      </c>
      <c r="R61" s="56" t="n">
        <f aca="false">IF(AND(R$36&gt;=$B$6,R$36&lt;=$C$6),$B$16*R16,0)</f>
        <v>20625</v>
      </c>
      <c r="S61" s="56" t="n">
        <f aca="false">IF(AND(S$36&gt;=$B$6,S$36&lt;=$C$6),$B$16*S16,0)</f>
        <v>20625</v>
      </c>
      <c r="T61" s="56" t="n">
        <f aca="false">IF(AND(T$36&gt;=$B$6,T$36&lt;=$C$6),$B$16*T16,0)</f>
        <v>20625</v>
      </c>
      <c r="U61" s="56" t="n">
        <f aca="false">IF(AND(U$36&gt;=$B$6,U$36&lt;=$C$6),$B$16*U16,0)</f>
        <v>0</v>
      </c>
      <c r="V61" s="56" t="n">
        <f aca="false">IF(AND(V$36&gt;=$B$6,V$36&lt;=$C$6),$B$16*V16,0)</f>
        <v>0</v>
      </c>
      <c r="W61" s="56" t="n">
        <f aca="false">IF(AND(W$36&gt;=$B$6,W$36&lt;=$C$6),$B$16*W16,0)</f>
        <v>0</v>
      </c>
      <c r="X61" s="56" t="n">
        <f aca="false">IF(AND(X$36&gt;=$B$6,X$36&lt;=$C$6),$B$16*X16,0)</f>
        <v>0</v>
      </c>
      <c r="Y61" s="56" t="n">
        <f aca="false">IF(AND(Y$36&gt;=$B$6,Y$36&lt;=$C$6),$B$16*Y16,0)</f>
        <v>0</v>
      </c>
      <c r="Z61" s="56" t="n">
        <f aca="false">IF(AND(Z$36&gt;=$B$6,Z$36&lt;=$C$6),$B$16*Z16,0)</f>
        <v>0</v>
      </c>
      <c r="AA61" s="57" t="n">
        <f aca="false">SUM(D61:Z61)</f>
        <v>123750</v>
      </c>
    </row>
    <row r="62" customFormat="false" ht="15" hidden="false" customHeight="false" outlineLevel="0" collapsed="false">
      <c r="A62" s="41" t="s">
        <v>41</v>
      </c>
      <c r="C62" s="41" t="n">
        <v>3</v>
      </c>
      <c r="D62" s="56" t="n">
        <f aca="false">IF(AND(D$36&gt;=$B$6,D$36&lt;=$C$6),$B$18*D18,0)</f>
        <v>0</v>
      </c>
      <c r="E62" s="56" t="n">
        <f aca="false">IF(AND(E$36&gt;=$B$6,E$36&lt;=$C$6),$B$18*E18,0)</f>
        <v>0</v>
      </c>
      <c r="F62" s="56" t="n">
        <f aca="false">IF(AND(F$36&gt;=$B$6,F$36&lt;=$C$6),$B$18*F18,0)</f>
        <v>0</v>
      </c>
      <c r="G62" s="56" t="n">
        <f aca="false">IF(AND(G$36&gt;=$B$6,G$36&lt;=$C$6),$B$18*G18,0)</f>
        <v>0</v>
      </c>
      <c r="H62" s="56" t="n">
        <f aca="false">IF(AND(H$36&gt;=$B$6,H$36&lt;=$C$6),$B$18*H18,0)</f>
        <v>0</v>
      </c>
      <c r="I62" s="56" t="n">
        <f aca="false">IF(AND(I$36&gt;=$B$6,I$36&lt;=$C$6),$B$18*I18,0)</f>
        <v>0</v>
      </c>
      <c r="J62" s="56" t="n">
        <f aca="false">IF(AND(J$36&gt;=$B$6,J$36&lt;=$C$6),$B$18*J18,0)</f>
        <v>0</v>
      </c>
      <c r="K62" s="56" t="n">
        <f aca="false">IF(AND(K$36&gt;=$B$6,K$36&lt;=$C$6),$B$18*K18,0)</f>
        <v>0</v>
      </c>
      <c r="L62" s="56" t="n">
        <f aca="false">IF(AND(L$36&gt;=$B$6,L$36&lt;=$C$6),$B$18*L18,0)</f>
        <v>0</v>
      </c>
      <c r="M62" s="56" t="n">
        <f aca="false">IF(AND(M$36&gt;=$B$6,M$36&lt;=$C$6),$B$18*M18,0)</f>
        <v>0</v>
      </c>
      <c r="N62" s="56" t="n">
        <f aca="false">IF(AND(N$36&gt;=$B$6,N$36&lt;=$C$6),$B$18*N18,0)</f>
        <v>0</v>
      </c>
      <c r="O62" s="56" t="n">
        <f aca="false">IF(AND(O$36&gt;=$B$6,O$36&lt;=$C$6),$B$18*O18,0)</f>
        <v>13465</v>
      </c>
      <c r="P62" s="56" t="n">
        <f aca="false">IF(AND(P$36&gt;=$B$6,P$36&lt;=$C$6),$B$18*P18,0)</f>
        <v>13465</v>
      </c>
      <c r="Q62" s="56" t="n">
        <f aca="false">IF(AND(Q$36&gt;=$B$6,Q$36&lt;=$C$6),$B$18*Q18,0)</f>
        <v>13465</v>
      </c>
      <c r="R62" s="56" t="n">
        <f aca="false">IF(AND(R$36&gt;=$B$6,R$36&lt;=$C$6),$B$18*R18,0)</f>
        <v>13465</v>
      </c>
      <c r="S62" s="56" t="n">
        <f aca="false">IF(AND(S$36&gt;=$B$6,S$36&lt;=$C$6),$B$18*S18,0)</f>
        <v>13465</v>
      </c>
      <c r="T62" s="56" t="n">
        <f aca="false">IF(AND(T$36&gt;=$B$6,T$36&lt;=$C$6),$B$18*T18,0)</f>
        <v>13465</v>
      </c>
      <c r="U62" s="56" t="n">
        <f aca="false">IF(AND(U$36&gt;=$B$6,U$36&lt;=$C$6),$B$18*U18,0)</f>
        <v>0</v>
      </c>
      <c r="V62" s="56" t="n">
        <f aca="false">IF(AND(V$36&gt;=$B$6,V$36&lt;=$C$6),$B$18*V18,0)</f>
        <v>0</v>
      </c>
      <c r="W62" s="56" t="n">
        <f aca="false">IF(AND(W$36&gt;=$B$6,W$36&lt;=$C$6),$B$18*W18,0)</f>
        <v>0</v>
      </c>
      <c r="X62" s="56" t="n">
        <f aca="false">IF(AND(X$36&gt;=$B$6,X$36&lt;=$C$6),$B$18*X18,0)</f>
        <v>0</v>
      </c>
      <c r="Y62" s="56" t="n">
        <f aca="false">IF(AND(Y$36&gt;=$B$6,Y$36&lt;=$C$6),$B$18*Y18,0)</f>
        <v>0</v>
      </c>
      <c r="Z62" s="56" t="n">
        <f aca="false">IF(AND(Z$36&gt;=$B$6,Z$36&lt;=$C$6),$B$18*Z18,0)</f>
        <v>0</v>
      </c>
      <c r="AA62" s="57" t="n">
        <f aca="false">SUM(D62:Z62)</f>
        <v>80790</v>
      </c>
    </row>
    <row r="63" customFormat="false" ht="15" hidden="false" customHeight="false" outlineLevel="0" collapsed="false">
      <c r="A63" s="41" t="s">
        <v>42</v>
      </c>
      <c r="C63" s="41" t="n">
        <v>3</v>
      </c>
      <c r="D63" s="56" t="n">
        <f aca="false">IF(AND(D$36&gt;=$B$6,D$36&lt;=$C$6),$B$19*D19,0)</f>
        <v>0</v>
      </c>
      <c r="E63" s="56" t="n">
        <f aca="false">IF(AND(E$36&gt;=$B$6,E$36&lt;=$C$6),$B$19*E19,0)</f>
        <v>0</v>
      </c>
      <c r="F63" s="56" t="n">
        <f aca="false">IF(AND(F$36&gt;=$B$6,F$36&lt;=$C$6),$B$19*F19,0)</f>
        <v>0</v>
      </c>
      <c r="G63" s="56" t="n">
        <f aca="false">IF(AND(G$36&gt;=$B$6,G$36&lt;=$C$6),$B$19*G19,0)</f>
        <v>0</v>
      </c>
      <c r="H63" s="56" t="n">
        <f aca="false">IF(AND(H$36&gt;=$B$6,H$36&lt;=$C$6),$B$19*H19,0)</f>
        <v>0</v>
      </c>
      <c r="I63" s="56" t="n">
        <f aca="false">IF(AND(I$36&gt;=$B$6,I$36&lt;=$C$6),$B$19*I19,0)</f>
        <v>0</v>
      </c>
      <c r="J63" s="56" t="n">
        <f aca="false">IF(AND(J$36&gt;=$B$6,J$36&lt;=$C$6),$B$19*J19,0)</f>
        <v>0</v>
      </c>
      <c r="K63" s="56" t="n">
        <f aca="false">IF(AND(K$36&gt;=$B$6,K$36&lt;=$C$6),$B$19*K19,0)</f>
        <v>0</v>
      </c>
      <c r="L63" s="56" t="n">
        <f aca="false">IF(AND(L$36&gt;=$B$6,L$36&lt;=$C$6),$B$19*L19,0)</f>
        <v>0</v>
      </c>
      <c r="M63" s="56" t="n">
        <f aca="false">IF(AND(M$36&gt;=$B$6,M$36&lt;=$C$6),$B$19*M19,0)</f>
        <v>0</v>
      </c>
      <c r="N63" s="56" t="n">
        <f aca="false">IF(AND(N$36&gt;=$B$6,N$36&lt;=$C$6),$B$19*N19,0)</f>
        <v>0</v>
      </c>
      <c r="O63" s="56" t="n">
        <f aca="false">IF(AND(O$36&gt;=$B$6,O$36&lt;=$C$6),$B$19*O19,0)</f>
        <v>714.285</v>
      </c>
      <c r="P63" s="56" t="n">
        <f aca="false">IF(AND(P$36&gt;=$B$6,P$36&lt;=$C$6),$B$19*P19,0)</f>
        <v>714.285</v>
      </c>
      <c r="Q63" s="56" t="n">
        <f aca="false">IF(AND(Q$36&gt;=$B$6,Q$36&lt;=$C$6),$B$19*Q19,0)</f>
        <v>714.285</v>
      </c>
      <c r="R63" s="56" t="n">
        <f aca="false">IF(AND(R$36&gt;=$B$6,R$36&lt;=$C$6),$B$19*R19,0)</f>
        <v>714.285</v>
      </c>
      <c r="S63" s="56" t="n">
        <f aca="false">IF(AND(S$36&gt;=$B$6,S$36&lt;=$C$6),$B$19*S19,0)</f>
        <v>714.285</v>
      </c>
      <c r="T63" s="56" t="n">
        <f aca="false">IF(AND(T$36&gt;=$B$6,T$36&lt;=$C$6),$B$19*T19,0)</f>
        <v>714.285</v>
      </c>
      <c r="U63" s="56" t="n">
        <f aca="false">IF(AND(U$36&gt;=$B$6,U$36&lt;=$C$6),$B$19*U19,0)</f>
        <v>0</v>
      </c>
      <c r="V63" s="56" t="n">
        <f aca="false">IF(AND(V$36&gt;=$B$6,V$36&lt;=$C$6),$B$19*V19,0)</f>
        <v>0</v>
      </c>
      <c r="W63" s="56" t="n">
        <f aca="false">IF(AND(W$36&gt;=$B$6,W$36&lt;=$C$6),$B$19*W19,0)</f>
        <v>0</v>
      </c>
      <c r="X63" s="56" t="n">
        <f aca="false">IF(AND(X$36&gt;=$B$6,X$36&lt;=$C$6),$B$19*X19,0)</f>
        <v>0</v>
      </c>
      <c r="Y63" s="56" t="n">
        <f aca="false">IF(AND(Y$36&gt;=$B$6,Y$36&lt;=$C$6),$B$19*Y19,0)</f>
        <v>0</v>
      </c>
      <c r="Z63" s="56" t="n">
        <f aca="false">IF(AND(Z$36&gt;=$B$6,Z$36&lt;=$C$6),$B$19*Z19,0)</f>
        <v>0</v>
      </c>
      <c r="AA63" s="57" t="n">
        <f aca="false">SUM(D63:Z63)</f>
        <v>4285.71</v>
      </c>
    </row>
    <row r="64" customFormat="false" ht="15" hidden="false" customHeight="false" outlineLevel="0" collapsed="false">
      <c r="A64" s="41" t="s">
        <v>43</v>
      </c>
      <c r="C64" s="41" t="n">
        <v>3</v>
      </c>
      <c r="D64" s="56" t="n">
        <f aca="false">IF(AND(D$36&gt;=$B$6,D$36&lt;=$C$6),$B$17*D17,0)</f>
        <v>0</v>
      </c>
      <c r="E64" s="56" t="n">
        <f aca="false">IF(AND(E$36&gt;=$B$6,E$36&lt;=$C$6),$B$17*E17,0)</f>
        <v>0</v>
      </c>
      <c r="F64" s="56" t="n">
        <f aca="false">IF(AND(F$36&gt;=$B$6,F$36&lt;=$C$6),$B$17*F17,0)</f>
        <v>0</v>
      </c>
      <c r="G64" s="56" t="n">
        <f aca="false">IF(AND(G$36&gt;=$B$6,G$36&lt;=$C$6),$B$17*G17,0)</f>
        <v>0</v>
      </c>
      <c r="H64" s="56" t="n">
        <f aca="false">IF(AND(H$36&gt;=$B$6,H$36&lt;=$C$6),$B$17*H17,0)</f>
        <v>0</v>
      </c>
      <c r="I64" s="56" t="n">
        <f aca="false">IF(AND(I$36&gt;=$B$6,I$36&lt;=$C$6),$B$17*I17,0)</f>
        <v>0</v>
      </c>
      <c r="J64" s="56" t="n">
        <f aca="false">IF(AND(J$36&gt;=$B$6,J$36&lt;=$C$6),$B$17*J17,0)</f>
        <v>0</v>
      </c>
      <c r="K64" s="56" t="n">
        <f aca="false">IF(AND(K$36&gt;=$B$6,K$36&lt;=$C$6),$B$17*K17,0)</f>
        <v>0</v>
      </c>
      <c r="L64" s="56" t="n">
        <f aca="false">IF(AND(L$36&gt;=$B$6,L$36&lt;=$C$6),$B$17*L17,0)</f>
        <v>0</v>
      </c>
      <c r="M64" s="56" t="n">
        <f aca="false">IF(AND(M$36&gt;=$B$6,M$36&lt;=$C$6),$B$17*M17,0)</f>
        <v>0</v>
      </c>
      <c r="N64" s="56" t="n">
        <f aca="false">IF(AND(N$36&gt;=$B$6,N$36&lt;=$C$6),$B$17*N17,0)</f>
        <v>0</v>
      </c>
      <c r="O64" s="56" t="n">
        <f aca="false">IF(AND(O$36&gt;=$B$6,O$36&lt;=$C$6),$B$17*O17,0)</f>
        <v>19750</v>
      </c>
      <c r="P64" s="56" t="n">
        <f aca="false">IF(AND(P$36&gt;=$B$6,P$36&lt;=$C$6),$B$17*P17,0)</f>
        <v>19750</v>
      </c>
      <c r="Q64" s="56" t="n">
        <f aca="false">IF(AND(Q$36&gt;=$B$6,Q$36&lt;=$C$6),$B$17*Q17,0)</f>
        <v>19750</v>
      </c>
      <c r="R64" s="56" t="n">
        <f aca="false">IF(AND(R$36&gt;=$B$6,R$36&lt;=$C$6),$B$17*R17,0)</f>
        <v>19750</v>
      </c>
      <c r="S64" s="56" t="n">
        <f aca="false">IF(AND(S$36&gt;=$B$6,S$36&lt;=$C$6),$B$17*S17,0)</f>
        <v>19750</v>
      </c>
      <c r="T64" s="56" t="n">
        <f aca="false">IF(AND(T$36&gt;=$B$6,T$36&lt;=$C$6),$B$17*T17,0)</f>
        <v>19750</v>
      </c>
      <c r="U64" s="56" t="n">
        <f aca="false">IF(AND(U$36&gt;=$B$6,U$36&lt;=$C$6),$B$17*U17,0)</f>
        <v>0</v>
      </c>
      <c r="V64" s="56" t="n">
        <f aca="false">IF(AND(V$36&gt;=$B$6,V$36&lt;=$C$6),$B$17*V17,0)</f>
        <v>0</v>
      </c>
      <c r="W64" s="56" t="n">
        <f aca="false">IF(AND(W$36&gt;=$B$6,W$36&lt;=$C$6),$B$17*W17,0)</f>
        <v>0</v>
      </c>
      <c r="X64" s="56" t="n">
        <f aca="false">IF(AND(X$36&gt;=$B$6,X$36&lt;=$C$6),$B$17*X17,0)</f>
        <v>0</v>
      </c>
      <c r="Y64" s="56" t="n">
        <f aca="false">IF(AND(Y$36&gt;=$B$6,Y$36&lt;=$C$6),$B$17*Y17,0)</f>
        <v>0</v>
      </c>
      <c r="Z64" s="56" t="n">
        <f aca="false">IF(AND(Z$36&gt;=$B$6,Z$36&lt;=$C$6),$B$17*Z17,0)</f>
        <v>0</v>
      </c>
      <c r="AA64" s="57" t="n">
        <f aca="false">SUM(D64:Z64)</f>
        <v>118500</v>
      </c>
    </row>
    <row r="65" customFormat="false" ht="15" hidden="false" customHeight="false" outlineLevel="0" collapsed="false">
      <c r="A65" s="41" t="s">
        <v>45</v>
      </c>
      <c r="C65" s="41" t="n">
        <v>4</v>
      </c>
      <c r="D65" s="56" t="n">
        <f aca="false">IF(AND(D$36&gt;=$B$7,D$36&lt;=$C$7),$B$11*D11,0)</f>
        <v>0</v>
      </c>
      <c r="E65" s="56" t="n">
        <f aca="false">IF(AND(E$36&gt;=$B$7,E$36&lt;=$C$7),$B$11*E11,0)</f>
        <v>0</v>
      </c>
      <c r="F65" s="56" t="n">
        <f aca="false">IF(AND(F$36&gt;=$B$7,F$36&lt;=$C$7),$B$11*F11,0)</f>
        <v>0</v>
      </c>
      <c r="G65" s="56" t="n">
        <f aca="false">IF(AND(G$36&gt;=$B$7,G$36&lt;=$C$7),$B$11*G11,0)</f>
        <v>0</v>
      </c>
      <c r="H65" s="56" t="n">
        <f aca="false">IF(AND(H$36&gt;=$B$7,H$36&lt;=$C$7),$B$11*H11,0)</f>
        <v>0</v>
      </c>
      <c r="I65" s="56" t="n">
        <f aca="false">IF(AND(I$36&gt;=$B$7,I$36&lt;=$C$7),$B$11*I11,0)</f>
        <v>0</v>
      </c>
      <c r="J65" s="56" t="n">
        <f aca="false">IF(AND(J$36&gt;=$B$7,J$36&lt;=$C$7),$B$11*J11,0)</f>
        <v>0</v>
      </c>
      <c r="K65" s="56" t="n">
        <f aca="false">IF(AND(K$36&gt;=$B$7,K$36&lt;=$C$7),$B$11*K11,0)</f>
        <v>0</v>
      </c>
      <c r="L65" s="56" t="n">
        <f aca="false">IF(AND(L$36&gt;=$B$7,L$36&lt;=$C$7),$B$11*L11,0)</f>
        <v>0</v>
      </c>
      <c r="M65" s="56" t="n">
        <f aca="false">IF(AND(M$36&gt;=$B$7,M$36&lt;=$C$7),$B$11*M11,0)</f>
        <v>0</v>
      </c>
      <c r="N65" s="56" t="n">
        <f aca="false">IF(AND(N$36&gt;=$B$7,N$36&lt;=$C$7),$B$11*N11,0)</f>
        <v>0</v>
      </c>
      <c r="O65" s="56" t="n">
        <f aca="false">IF(AND(O$36&gt;=$B$7,O$36&lt;=$C$7),$B$11*O11,0)</f>
        <v>0</v>
      </c>
      <c r="P65" s="56" t="n">
        <f aca="false">IF(AND(P$36&gt;=$B$7,P$36&lt;=$C$7),$B$11*P11,0)</f>
        <v>0</v>
      </c>
      <c r="Q65" s="56" t="n">
        <f aca="false">IF(AND(Q$36&gt;=$B$7,Q$36&lt;=$C$7),$B$11*Q11,0)</f>
        <v>0</v>
      </c>
      <c r="R65" s="56" t="n">
        <f aca="false">IF(AND(R$36&gt;=$B$7,R$36&lt;=$C$7),$B$11*R11,0)</f>
        <v>0</v>
      </c>
      <c r="S65" s="56" t="n">
        <f aca="false">IF(AND(S$36&gt;=$B$7,S$36&lt;=$C$7),$B$11*S11,0)</f>
        <v>0</v>
      </c>
      <c r="T65" s="56" t="n">
        <f aca="false">IF(AND(T$36&gt;=$B$7,T$36&lt;=$C$7),$B$11*T11,0)</f>
        <v>0</v>
      </c>
      <c r="U65" s="56" t="n">
        <f aca="false">IF(AND(U$36&gt;=$B$7,U$36&lt;=$C$7),$B$11*U11,0)</f>
        <v>55400</v>
      </c>
      <c r="V65" s="56" t="n">
        <f aca="false">IF(AND(V$36&gt;=$B$7,V$36&lt;=$C$7),$B$11*V11,0)</f>
        <v>55400</v>
      </c>
      <c r="W65" s="56" t="n">
        <f aca="false">IF(AND(W$36&gt;=$B$7,W$36&lt;=$C$7),$B$11*W11,0)</f>
        <v>55400</v>
      </c>
      <c r="X65" s="56" t="n">
        <f aca="false">IF(AND(X$36&gt;=$B$7,X$36&lt;=$C$7),$B$11*X11,0)</f>
        <v>55400</v>
      </c>
      <c r="Y65" s="56" t="n">
        <f aca="false">IF(AND(Y$36&gt;=$B$7,Y$36&lt;=$C$7),$B$11*Y11,0)</f>
        <v>0</v>
      </c>
      <c r="Z65" s="56" t="n">
        <f aca="false">IF(AND(Z$36&gt;=$B$7,Z$36&lt;=$C$7),$B$11*Z11,0)</f>
        <v>0</v>
      </c>
      <c r="AA65" s="57" t="n">
        <f aca="false">SUM(D65:Z65)</f>
        <v>221600</v>
      </c>
    </row>
    <row r="66" customFormat="false" ht="15" hidden="false" customHeight="false" outlineLevel="0" collapsed="false">
      <c r="A66" s="41" t="s">
        <v>46</v>
      </c>
      <c r="C66" s="41" t="n">
        <v>4</v>
      </c>
      <c r="D66" s="56" t="n">
        <f aca="false">IF(AND(D$36&gt;=$B$7,D$36&lt;=$C$7),$B$12*D12,0)</f>
        <v>0</v>
      </c>
      <c r="E66" s="56" t="n">
        <f aca="false">IF(AND(E$36&gt;=$B$7,E$36&lt;=$C$7),$B$12*E12,0)</f>
        <v>0</v>
      </c>
      <c r="F66" s="56" t="n">
        <f aca="false">IF(AND(F$36&gt;=$B$7,F$36&lt;=$C$7),$B$12*F12,0)</f>
        <v>0</v>
      </c>
      <c r="G66" s="56" t="n">
        <f aca="false">IF(AND(G$36&gt;=$B$7,G$36&lt;=$C$7),$B$12*G12,0)</f>
        <v>0</v>
      </c>
      <c r="H66" s="56" t="n">
        <f aca="false">IF(AND(H$36&gt;=$B$7,H$36&lt;=$C$7),$B$12*H12,0)</f>
        <v>0</v>
      </c>
      <c r="I66" s="56" t="n">
        <f aca="false">IF(AND(I$36&gt;=$B$7,I$36&lt;=$C$7),$B$12*I12,0)</f>
        <v>0</v>
      </c>
      <c r="J66" s="56" t="n">
        <f aca="false">IF(AND(J$36&gt;=$B$7,J$36&lt;=$C$7),$B$12*J12,0)</f>
        <v>0</v>
      </c>
      <c r="K66" s="56" t="n">
        <f aca="false">IF(AND(K$36&gt;=$B$7,K$36&lt;=$C$7),$B$12*K12,0)</f>
        <v>0</v>
      </c>
      <c r="L66" s="56" t="n">
        <f aca="false">IF(AND(L$36&gt;=$B$7,L$36&lt;=$C$7),$B$12*L12,0)</f>
        <v>0</v>
      </c>
      <c r="M66" s="56" t="n">
        <f aca="false">IF(AND(M$36&gt;=$B$7,M$36&lt;=$C$7),$B$12*M12,0)</f>
        <v>0</v>
      </c>
      <c r="N66" s="56" t="n">
        <f aca="false">IF(AND(N$36&gt;=$B$7,N$36&lt;=$C$7),$B$12*N12,0)</f>
        <v>0</v>
      </c>
      <c r="O66" s="56" t="n">
        <f aca="false">IF(AND(O$36&gt;=$B$7,O$36&lt;=$C$7),$B$12*O12,0)</f>
        <v>0</v>
      </c>
      <c r="P66" s="56" t="n">
        <f aca="false">IF(AND(P$36&gt;=$B$7,P$36&lt;=$C$7),$B$12*P12,0)</f>
        <v>0</v>
      </c>
      <c r="Q66" s="56" t="n">
        <f aca="false">IF(AND(Q$36&gt;=$B$7,Q$36&lt;=$C$7),$B$12*Q12,0)</f>
        <v>0</v>
      </c>
      <c r="R66" s="56" t="n">
        <f aca="false">IF(AND(R$36&gt;=$B$7,R$36&lt;=$C$7),$B$12*R12,0)</f>
        <v>0</v>
      </c>
      <c r="S66" s="56" t="n">
        <f aca="false">IF(AND(S$36&gt;=$B$7,S$36&lt;=$C$7),$B$12*S12,0)</f>
        <v>0</v>
      </c>
      <c r="T66" s="56" t="n">
        <f aca="false">IF(AND(T$36&gt;=$B$7,T$36&lt;=$C$7),$B$12*T12,0)</f>
        <v>0</v>
      </c>
      <c r="U66" s="56" t="n">
        <f aca="false">IF(AND(U$36&gt;=$B$7,U$36&lt;=$C$7),$B$12*U12,0)</f>
        <v>9430</v>
      </c>
      <c r="V66" s="56" t="n">
        <f aca="false">IF(AND(V$36&gt;=$B$7,V$36&lt;=$C$7),$B$12*V12,0)</f>
        <v>9430</v>
      </c>
      <c r="W66" s="56" t="n">
        <f aca="false">IF(AND(W$36&gt;=$B$7,W$36&lt;=$C$7),$B$12*W12,0)</f>
        <v>9430</v>
      </c>
      <c r="X66" s="56" t="n">
        <f aca="false">IF(AND(X$36&gt;=$B$7,X$36&lt;=$C$7),$B$12*X12,0)</f>
        <v>9430</v>
      </c>
      <c r="Y66" s="56" t="n">
        <f aca="false">IF(AND(Y$36&gt;=$B$7,Y$36&lt;=$C$7),$B$12*Y12,0)</f>
        <v>0</v>
      </c>
      <c r="Z66" s="56" t="n">
        <f aca="false">IF(AND(Z$36&gt;=$B$7,Z$36&lt;=$C$7),$B$12*Z12,0)</f>
        <v>0</v>
      </c>
      <c r="AA66" s="57" t="n">
        <f aca="false">SUM(D66:Z66)</f>
        <v>37720</v>
      </c>
    </row>
    <row r="67" customFormat="false" ht="15" hidden="false" customHeight="false" outlineLevel="0" collapsed="false">
      <c r="A67" s="41" t="s">
        <v>47</v>
      </c>
      <c r="C67" s="41" t="n">
        <v>4</v>
      </c>
      <c r="D67" s="56" t="n">
        <f aca="false">IF(AND(D$36&gt;=$B$7,D$36&lt;=$C$7),$B$13*D13,0)</f>
        <v>0</v>
      </c>
      <c r="E67" s="56" t="n">
        <f aca="false">IF(AND(E$36&gt;=$B$7,E$36&lt;=$C$7),$B$13*E13,0)</f>
        <v>0</v>
      </c>
      <c r="F67" s="56" t="n">
        <f aca="false">IF(AND(F$36&gt;=$B$7,F$36&lt;=$C$7),$B$13*F13,0)</f>
        <v>0</v>
      </c>
      <c r="G67" s="56" t="n">
        <f aca="false">IF(AND(G$36&gt;=$B$7,G$36&lt;=$C$7),$B$13*G13,0)</f>
        <v>0</v>
      </c>
      <c r="H67" s="56" t="n">
        <f aca="false">IF(AND(H$36&gt;=$B$7,H$36&lt;=$C$7),$B$13*H13,0)</f>
        <v>0</v>
      </c>
      <c r="I67" s="56" t="n">
        <f aca="false">IF(AND(I$36&gt;=$B$7,I$36&lt;=$C$7),$B$13*I13,0)</f>
        <v>0</v>
      </c>
      <c r="J67" s="56" t="n">
        <f aca="false">IF(AND(J$36&gt;=$B$7,J$36&lt;=$C$7),$B$13*J13,0)</f>
        <v>0</v>
      </c>
      <c r="K67" s="56" t="n">
        <f aca="false">IF(AND(K$36&gt;=$B$7,K$36&lt;=$C$7),$B$13*K13,0)</f>
        <v>0</v>
      </c>
      <c r="L67" s="56" t="n">
        <f aca="false">IF(AND(L$36&gt;=$B$7,L$36&lt;=$C$7),$B$13*L13,0)</f>
        <v>0</v>
      </c>
      <c r="M67" s="56" t="n">
        <f aca="false">IF(AND(M$36&gt;=$B$7,M$36&lt;=$C$7),$B$13*M13,0)</f>
        <v>0</v>
      </c>
      <c r="N67" s="56" t="n">
        <f aca="false">IF(AND(N$36&gt;=$B$7,N$36&lt;=$C$7),$B$13*N13,0)</f>
        <v>0</v>
      </c>
      <c r="O67" s="56" t="n">
        <f aca="false">IF(AND(O$36&gt;=$B$7,O$36&lt;=$C$7),$B$13*O13,0)</f>
        <v>0</v>
      </c>
      <c r="P67" s="56" t="n">
        <f aca="false">IF(AND(P$36&gt;=$B$7,P$36&lt;=$C$7),$B$13*P13,0)</f>
        <v>0</v>
      </c>
      <c r="Q67" s="56" t="n">
        <f aca="false">IF(AND(Q$36&gt;=$B$7,Q$36&lt;=$C$7),$B$13*Q13,0)</f>
        <v>0</v>
      </c>
      <c r="R67" s="56" t="n">
        <f aca="false">IF(AND(R$36&gt;=$B$7,R$36&lt;=$C$7),$B$13*R13,0)</f>
        <v>0</v>
      </c>
      <c r="S67" s="56" t="n">
        <f aca="false">IF(AND(S$36&gt;=$B$7,S$36&lt;=$C$7),$B$13*S13,0)</f>
        <v>0</v>
      </c>
      <c r="T67" s="56" t="n">
        <f aca="false">IF(AND(T$36&gt;=$B$7,T$36&lt;=$C$7),$B$13*T13,0)</f>
        <v>0</v>
      </c>
      <c r="U67" s="56" t="n">
        <f aca="false">IF(AND(U$36&gt;=$B$7,U$36&lt;=$C$7),$B$13*U13,0)</f>
        <v>27110</v>
      </c>
      <c r="V67" s="56" t="n">
        <f aca="false">IF(AND(V$36&gt;=$B$7,V$36&lt;=$C$7),$B$13*V13,0)</f>
        <v>27110</v>
      </c>
      <c r="W67" s="56" t="n">
        <f aca="false">IF(AND(W$36&gt;=$B$7,W$36&lt;=$C$7),$B$13*W13,0)</f>
        <v>27110</v>
      </c>
      <c r="X67" s="56" t="n">
        <f aca="false">IF(AND(X$36&gt;=$B$7,X$36&lt;=$C$7),$B$13*X13,0)</f>
        <v>27110</v>
      </c>
      <c r="Y67" s="56" t="n">
        <f aca="false">IF(AND(Y$36&gt;=$B$7,Y$36&lt;=$C$7),$B$13*Y13,0)</f>
        <v>0</v>
      </c>
      <c r="Z67" s="56" t="n">
        <f aca="false">IF(AND(Z$36&gt;=$B$7,Z$36&lt;=$C$7),$B$13*Z13,0)</f>
        <v>0</v>
      </c>
      <c r="AA67" s="57" t="n">
        <f aca="false">SUM(D67:Z67)</f>
        <v>108440</v>
      </c>
    </row>
    <row r="68" customFormat="false" ht="15" hidden="false" customHeight="false" outlineLevel="0" collapsed="false">
      <c r="A68" s="41" t="s">
        <v>48</v>
      </c>
      <c r="C68" s="41" t="n">
        <v>4</v>
      </c>
      <c r="D68" s="56" t="n">
        <f aca="false">IF(AND(D$36&gt;=$B$7,D$36&lt;=$C$7),$B$14*D14,0)</f>
        <v>0</v>
      </c>
      <c r="E68" s="56" t="n">
        <f aca="false">IF(AND(E$36&gt;=$B$7,E$36&lt;=$C$7),$B$14*E14,0)</f>
        <v>0</v>
      </c>
      <c r="F68" s="56" t="n">
        <f aca="false">IF(AND(F$36&gt;=$B$7,F$36&lt;=$C$7),$B$14*F14,0)</f>
        <v>0</v>
      </c>
      <c r="G68" s="56" t="n">
        <f aca="false">IF(AND(G$36&gt;=$B$7,G$36&lt;=$C$7),$B$14*G14,0)</f>
        <v>0</v>
      </c>
      <c r="H68" s="56" t="n">
        <f aca="false">IF(AND(H$36&gt;=$B$7,H$36&lt;=$C$7),$B$14*H14,0)</f>
        <v>0</v>
      </c>
      <c r="I68" s="56" t="n">
        <f aca="false">IF(AND(I$36&gt;=$B$7,I$36&lt;=$C$7),$B$14*I14,0)</f>
        <v>0</v>
      </c>
      <c r="J68" s="56" t="n">
        <f aca="false">IF(AND(J$36&gt;=$B$7,J$36&lt;=$C$7),$B$14*J14,0)</f>
        <v>0</v>
      </c>
      <c r="K68" s="56" t="n">
        <f aca="false">IF(AND(K$36&gt;=$B$7,K$36&lt;=$C$7),$B$14*K14,0)</f>
        <v>0</v>
      </c>
      <c r="L68" s="56" t="n">
        <f aca="false">IF(AND(L$36&gt;=$B$7,L$36&lt;=$C$7),$B$14*L14,0)</f>
        <v>0</v>
      </c>
      <c r="M68" s="56" t="n">
        <f aca="false">IF(AND(M$36&gt;=$B$7,M$36&lt;=$C$7),$B$14*M14,0)</f>
        <v>0</v>
      </c>
      <c r="N68" s="56" t="n">
        <f aca="false">IF(AND(N$36&gt;=$B$7,N$36&lt;=$C$7),$B$14*N14,0)</f>
        <v>0</v>
      </c>
      <c r="O68" s="56" t="n">
        <f aca="false">IF(AND(O$36&gt;=$B$7,O$36&lt;=$C$7),$B$14*O14,0)</f>
        <v>0</v>
      </c>
      <c r="P68" s="56" t="n">
        <f aca="false">IF(AND(P$36&gt;=$B$7,P$36&lt;=$C$7),$B$14*P14,0)</f>
        <v>0</v>
      </c>
      <c r="Q68" s="56" t="n">
        <f aca="false">IF(AND(Q$36&gt;=$B$7,Q$36&lt;=$C$7),$B$14*Q14,0)</f>
        <v>0</v>
      </c>
      <c r="R68" s="56" t="n">
        <f aca="false">IF(AND(R$36&gt;=$B$7,R$36&lt;=$C$7),$B$14*R14,0)</f>
        <v>0</v>
      </c>
      <c r="S68" s="56" t="n">
        <f aca="false">IF(AND(S$36&gt;=$B$7,S$36&lt;=$C$7),$B$14*S14,0)</f>
        <v>0</v>
      </c>
      <c r="T68" s="56" t="n">
        <f aca="false">IF(AND(T$36&gt;=$B$7,T$36&lt;=$C$7),$B$14*T14,0)</f>
        <v>0</v>
      </c>
      <c r="U68" s="56" t="n">
        <f aca="false">IF(AND(U$36&gt;=$B$7,U$36&lt;=$C$7),$B$14*U14,0)</f>
        <v>20625</v>
      </c>
      <c r="V68" s="56" t="n">
        <f aca="false">IF(AND(V$36&gt;=$B$7,V$36&lt;=$C$7),$B$14*V14,0)</f>
        <v>20625</v>
      </c>
      <c r="W68" s="56" t="n">
        <f aca="false">IF(AND(W$36&gt;=$B$7,W$36&lt;=$C$7),$B$14*W14,0)</f>
        <v>20625</v>
      </c>
      <c r="X68" s="56" t="n">
        <f aca="false">IF(AND(X$36&gt;=$B$7,X$36&lt;=$C$7),$B$14*X14,0)</f>
        <v>20625</v>
      </c>
      <c r="Y68" s="56" t="n">
        <f aca="false">IF(AND(Y$36&gt;=$B$7,Y$36&lt;=$C$7),$B$14*Y14,0)</f>
        <v>0</v>
      </c>
      <c r="Z68" s="56" t="n">
        <f aca="false">IF(AND(Z$36&gt;=$B$7,Z$36&lt;=$C$7),$B$14*Z14,0)</f>
        <v>0</v>
      </c>
      <c r="AA68" s="57" t="n">
        <f aca="false">SUM(D68:Z68)</f>
        <v>82500</v>
      </c>
    </row>
    <row r="69" customFormat="false" ht="15" hidden="false" customHeight="false" outlineLevel="0" collapsed="false">
      <c r="A69" s="41" t="s">
        <v>49</v>
      </c>
      <c r="C69" s="41" t="n">
        <v>4</v>
      </c>
      <c r="D69" s="56" t="n">
        <f aca="false">IF(AND(D$36&gt;=$B$7,D$36&lt;=$C$7),$B$15*D15,0)</f>
        <v>0</v>
      </c>
      <c r="E69" s="56" t="n">
        <f aca="false">IF(AND(E$36&gt;=$B$7,E$36&lt;=$C$7),$B$15*E15,0)</f>
        <v>0</v>
      </c>
      <c r="F69" s="56" t="n">
        <f aca="false">IF(AND(F$36&gt;=$B$7,F$36&lt;=$C$7),$B$15*F15,0)</f>
        <v>0</v>
      </c>
      <c r="G69" s="56" t="n">
        <f aca="false">IF(AND(G$36&gt;=$B$7,G$36&lt;=$C$7),$B$15*G15,0)</f>
        <v>0</v>
      </c>
      <c r="H69" s="56" t="n">
        <f aca="false">IF(AND(H$36&gt;=$B$7,H$36&lt;=$C$7),$B$15*H15,0)</f>
        <v>0</v>
      </c>
      <c r="I69" s="56" t="n">
        <f aca="false">IF(AND(I$36&gt;=$B$7,I$36&lt;=$C$7),$B$15*I15,0)</f>
        <v>0</v>
      </c>
      <c r="J69" s="56" t="n">
        <f aca="false">IF(AND(J$36&gt;=$B$7,J$36&lt;=$C$7),$B$15*J15,0)</f>
        <v>0</v>
      </c>
      <c r="K69" s="56" t="n">
        <f aca="false">IF(AND(K$36&gt;=$B$7,K$36&lt;=$C$7),$B$15*K15,0)</f>
        <v>0</v>
      </c>
      <c r="L69" s="56" t="n">
        <f aca="false">IF(AND(L$36&gt;=$B$7,L$36&lt;=$C$7),$B$15*L15,0)</f>
        <v>0</v>
      </c>
      <c r="M69" s="56" t="n">
        <f aca="false">IF(AND(M$36&gt;=$B$7,M$36&lt;=$C$7),$B$15*M15,0)</f>
        <v>0</v>
      </c>
      <c r="N69" s="56" t="n">
        <f aca="false">IF(AND(N$36&gt;=$B$7,N$36&lt;=$C$7),$B$15*N15,0)</f>
        <v>0</v>
      </c>
      <c r="O69" s="56" t="n">
        <f aca="false">IF(AND(O$36&gt;=$B$7,O$36&lt;=$C$7),$B$15*O15,0)</f>
        <v>0</v>
      </c>
      <c r="P69" s="56" t="n">
        <f aca="false">IF(AND(P$36&gt;=$B$7,P$36&lt;=$C$7),$B$15*P15,0)</f>
        <v>0</v>
      </c>
      <c r="Q69" s="56" t="n">
        <f aca="false">IF(AND(Q$36&gt;=$B$7,Q$36&lt;=$C$7),$B$15*Q15,0)</f>
        <v>0</v>
      </c>
      <c r="R69" s="56" t="n">
        <f aca="false">IF(AND(R$36&gt;=$B$7,R$36&lt;=$C$7),$B$15*R15,0)</f>
        <v>0</v>
      </c>
      <c r="S69" s="56" t="n">
        <f aca="false">IF(AND(S$36&gt;=$B$7,S$36&lt;=$C$7),$B$15*S15,0)</f>
        <v>0</v>
      </c>
      <c r="T69" s="56" t="n">
        <f aca="false">IF(AND(T$36&gt;=$B$7,T$36&lt;=$C$7),$B$15*T15,0)</f>
        <v>0</v>
      </c>
      <c r="U69" s="56" t="n">
        <f aca="false">IF(AND(U$36&gt;=$B$7,U$36&lt;=$C$7),$B$15*U15,0)</f>
        <v>7440</v>
      </c>
      <c r="V69" s="56" t="n">
        <f aca="false">IF(AND(V$36&gt;=$B$7,V$36&lt;=$C$7),$B$15*V15,0)</f>
        <v>7440</v>
      </c>
      <c r="W69" s="56" t="n">
        <f aca="false">IF(AND(W$36&gt;=$B$7,W$36&lt;=$C$7),$B$15*W15,0)</f>
        <v>7440</v>
      </c>
      <c r="X69" s="56" t="n">
        <f aca="false">IF(AND(X$36&gt;=$B$7,X$36&lt;=$C$7),$B$15*X15,0)</f>
        <v>7440</v>
      </c>
      <c r="Y69" s="56" t="n">
        <f aca="false">IF(AND(Y$36&gt;=$B$7,Y$36&lt;=$C$7),$B$15*Y15,0)</f>
        <v>0</v>
      </c>
      <c r="Z69" s="56" t="n">
        <f aca="false">IF(AND(Z$36&gt;=$B$7,Z$36&lt;=$C$7),$B$15*Z15,0)</f>
        <v>0</v>
      </c>
      <c r="AA69" s="57" t="n">
        <f aca="false">SUM(D69:Z69)</f>
        <v>29760</v>
      </c>
    </row>
    <row r="70" customFormat="false" ht="15" hidden="false" customHeight="false" outlineLevel="0" collapsed="false">
      <c r="A70" s="41" t="s">
        <v>50</v>
      </c>
      <c r="C70" s="41" t="n">
        <v>4</v>
      </c>
      <c r="D70" s="56" t="n">
        <f aca="false">IF(AND(D$36&gt;=$B$7,D$36&lt;=$C$7),$B$16*D16,0)</f>
        <v>0</v>
      </c>
      <c r="E70" s="56" t="n">
        <f aca="false">IF(AND(E$36&gt;=$B$7,E$36&lt;=$C$7),$B$16*E16,0)</f>
        <v>0</v>
      </c>
      <c r="F70" s="56" t="n">
        <f aca="false">IF(AND(F$36&gt;=$B$7,F$36&lt;=$C$7),$B$16*F16,0)</f>
        <v>0</v>
      </c>
      <c r="G70" s="56" t="n">
        <f aca="false">IF(AND(G$36&gt;=$B$7,G$36&lt;=$C$7),$B$16*G16,0)</f>
        <v>0</v>
      </c>
      <c r="H70" s="56" t="n">
        <f aca="false">IF(AND(H$36&gt;=$B$7,H$36&lt;=$C$7),$B$16*H16,0)</f>
        <v>0</v>
      </c>
      <c r="I70" s="56" t="n">
        <f aca="false">IF(AND(I$36&gt;=$B$7,I$36&lt;=$C$7),$B$16*I16,0)</f>
        <v>0</v>
      </c>
      <c r="J70" s="56" t="n">
        <f aca="false">IF(AND(J$36&gt;=$B$7,J$36&lt;=$C$7),$B$16*J16,0)</f>
        <v>0</v>
      </c>
      <c r="K70" s="56" t="n">
        <f aca="false">IF(AND(K$36&gt;=$B$7,K$36&lt;=$C$7),$B$16*K16,0)</f>
        <v>0</v>
      </c>
      <c r="L70" s="56" t="n">
        <f aca="false">IF(AND(L$36&gt;=$B$7,L$36&lt;=$C$7),$B$16*L16,0)</f>
        <v>0</v>
      </c>
      <c r="M70" s="56" t="n">
        <f aca="false">IF(AND(M$36&gt;=$B$7,M$36&lt;=$C$7),$B$16*M16,0)</f>
        <v>0</v>
      </c>
      <c r="N70" s="56" t="n">
        <f aca="false">IF(AND(N$36&gt;=$B$7,N$36&lt;=$C$7),$B$16*N16,0)</f>
        <v>0</v>
      </c>
      <c r="O70" s="56" t="n">
        <f aca="false">IF(AND(O$36&gt;=$B$7,O$36&lt;=$C$7),$B$16*O16,0)</f>
        <v>0</v>
      </c>
      <c r="P70" s="56" t="n">
        <f aca="false">IF(AND(P$36&gt;=$B$7,P$36&lt;=$C$7),$B$16*P16,0)</f>
        <v>0</v>
      </c>
      <c r="Q70" s="56" t="n">
        <f aca="false">IF(AND(Q$36&gt;=$B$7,Q$36&lt;=$C$7),$B$16*Q16,0)</f>
        <v>0</v>
      </c>
      <c r="R70" s="56" t="n">
        <f aca="false">IF(AND(R$36&gt;=$B$7,R$36&lt;=$C$7),$B$16*R16,0)</f>
        <v>0</v>
      </c>
      <c r="S70" s="56" t="n">
        <f aca="false">IF(AND(S$36&gt;=$B$7,S$36&lt;=$C$7),$B$16*S16,0)</f>
        <v>0</v>
      </c>
      <c r="T70" s="56" t="n">
        <f aca="false">IF(AND(T$36&gt;=$B$7,T$36&lt;=$C$7),$B$16*T16,0)</f>
        <v>0</v>
      </c>
      <c r="U70" s="56" t="n">
        <f aca="false">IF(AND(U$36&gt;=$B$7,U$36&lt;=$C$7),$B$16*U16,0)</f>
        <v>20625</v>
      </c>
      <c r="V70" s="56" t="n">
        <f aca="false">IF(AND(V$36&gt;=$B$7,V$36&lt;=$C$7),$B$16*V16,0)</f>
        <v>20625</v>
      </c>
      <c r="W70" s="56" t="n">
        <f aca="false">IF(AND(W$36&gt;=$B$7,W$36&lt;=$C$7),$B$16*W16,0)</f>
        <v>20625</v>
      </c>
      <c r="X70" s="56" t="n">
        <f aca="false">IF(AND(X$36&gt;=$B$7,X$36&lt;=$C$7),$B$16*X16,0)</f>
        <v>20625</v>
      </c>
      <c r="Y70" s="56" t="n">
        <f aca="false">IF(AND(Y$36&gt;=$B$7,Y$36&lt;=$C$7),$B$16*Y16,0)</f>
        <v>0</v>
      </c>
      <c r="Z70" s="56" t="n">
        <f aca="false">IF(AND(Z$36&gt;=$B$7,Z$36&lt;=$C$7),$B$16*Z16,0)</f>
        <v>0</v>
      </c>
      <c r="AA70" s="57" t="n">
        <f aca="false">SUM(D70:Z70)</f>
        <v>82500</v>
      </c>
    </row>
    <row r="71" customFormat="false" ht="15" hidden="false" customHeight="false" outlineLevel="0" collapsed="false">
      <c r="A71" s="41" t="s">
        <v>51</v>
      </c>
      <c r="C71" s="41" t="n">
        <v>4</v>
      </c>
      <c r="D71" s="56" t="n">
        <f aca="false">IF(AND(D$36&gt;=$B$7,D$36&lt;=$C$7),$B$19*D19,0)</f>
        <v>0</v>
      </c>
      <c r="E71" s="56" t="n">
        <f aca="false">IF(AND(E$36&gt;=$B$7,E$36&lt;=$C$7),$B$19*E19,0)</f>
        <v>0</v>
      </c>
      <c r="F71" s="56" t="n">
        <f aca="false">IF(AND(F$36&gt;=$B$7,F$36&lt;=$C$7),$B$19*F19,0)</f>
        <v>0</v>
      </c>
      <c r="G71" s="56" t="n">
        <f aca="false">IF(AND(G$36&gt;=$B$7,G$36&lt;=$C$7),$B$19*G19,0)</f>
        <v>0</v>
      </c>
      <c r="H71" s="56" t="n">
        <f aca="false">IF(AND(H$36&gt;=$B$7,H$36&lt;=$C$7),$B$19*H19,0)</f>
        <v>0</v>
      </c>
      <c r="I71" s="56" t="n">
        <f aca="false">IF(AND(I$36&gt;=$B$7,I$36&lt;=$C$7),$B$19*I19,0)</f>
        <v>0</v>
      </c>
      <c r="J71" s="56" t="n">
        <f aca="false">IF(AND(J$36&gt;=$B$7,J$36&lt;=$C$7),$B$19*J19,0)</f>
        <v>0</v>
      </c>
      <c r="K71" s="56" t="n">
        <f aca="false">IF(AND(K$36&gt;=$B$7,K$36&lt;=$C$7),$B$19*K19,0)</f>
        <v>0</v>
      </c>
      <c r="L71" s="56" t="n">
        <f aca="false">IF(AND(L$36&gt;=$B$7,L$36&lt;=$C$7),$B$19*L19,0)</f>
        <v>0</v>
      </c>
      <c r="M71" s="56" t="n">
        <f aca="false">IF(AND(M$36&gt;=$B$7,M$36&lt;=$C$7),$B$19*M19,0)</f>
        <v>0</v>
      </c>
      <c r="N71" s="56" t="n">
        <f aca="false">IF(AND(N$36&gt;=$B$7,N$36&lt;=$C$7),$B$19*N19,0)</f>
        <v>0</v>
      </c>
      <c r="O71" s="56" t="n">
        <f aca="false">IF(AND(O$36&gt;=$B$7,O$36&lt;=$C$7),$B$19*O19,0)</f>
        <v>0</v>
      </c>
      <c r="P71" s="56" t="n">
        <f aca="false">IF(AND(P$36&gt;=$B$7,P$36&lt;=$C$7),$B$19*P19,0)</f>
        <v>0</v>
      </c>
      <c r="Q71" s="56" t="n">
        <f aca="false">IF(AND(Q$36&gt;=$B$7,Q$36&lt;=$C$7),$B$19*Q19,0)</f>
        <v>0</v>
      </c>
      <c r="R71" s="56" t="n">
        <f aca="false">IF(AND(R$36&gt;=$B$7,R$36&lt;=$C$7),$B$19*R19,0)</f>
        <v>0</v>
      </c>
      <c r="S71" s="56" t="n">
        <f aca="false">IF(AND(S$36&gt;=$B$7,S$36&lt;=$C$7),$B$19*S19,0)</f>
        <v>0</v>
      </c>
      <c r="T71" s="56" t="n">
        <f aca="false">IF(AND(T$36&gt;=$B$7,T$36&lt;=$C$7),$B$19*T19,0)</f>
        <v>0</v>
      </c>
      <c r="U71" s="56" t="n">
        <f aca="false">IF(AND(U$36&gt;=$B$7,U$36&lt;=$C$7),$B$19*U19,0)</f>
        <v>714.285</v>
      </c>
      <c r="V71" s="56" t="n">
        <f aca="false">IF(AND(V$36&gt;=$B$7,V$36&lt;=$C$7),$B$19*V19,0)</f>
        <v>714.285</v>
      </c>
      <c r="W71" s="56" t="n">
        <f aca="false">IF(AND(W$36&gt;=$B$7,W$36&lt;=$C$7),$B$19*W19,0)</f>
        <v>714.285</v>
      </c>
      <c r="X71" s="56" t="n">
        <f aca="false">IF(AND(X$36&gt;=$B$7,X$36&lt;=$C$7),$B$19*X19,0)</f>
        <v>714.285</v>
      </c>
      <c r="Y71" s="56" t="n">
        <f aca="false">IF(AND(Y$36&gt;=$B$7,Y$36&lt;=$C$7),$B$19*Y19,0)</f>
        <v>0</v>
      </c>
      <c r="Z71" s="56" t="n">
        <f aca="false">IF(AND(Z$36&gt;=$B$7,Z$36&lt;=$C$7),$B$19*Z19,0)</f>
        <v>0</v>
      </c>
      <c r="AA71" s="57" t="n">
        <f aca="false">SUM(D71:Z71)</f>
        <v>2857.14</v>
      </c>
    </row>
    <row r="72" customFormat="false" ht="15" hidden="false" customHeight="false" outlineLevel="0" collapsed="false">
      <c r="A72" s="41" t="s">
        <v>52</v>
      </c>
      <c r="C72" s="41" t="n">
        <v>4</v>
      </c>
      <c r="D72" s="56" t="n">
        <f aca="false">IF(AND(D$36&gt;=$B$7,D$36&lt;=$C$7),$B$17*D17,0)</f>
        <v>0</v>
      </c>
      <c r="E72" s="56" t="n">
        <f aca="false">IF(AND(E$36&gt;=$B$7,E$36&lt;=$C$7),$B$17*E17,0)</f>
        <v>0</v>
      </c>
      <c r="F72" s="56" t="n">
        <f aca="false">IF(AND(F$36&gt;=$B$7,F$36&lt;=$C$7),$B$17*F17,0)</f>
        <v>0</v>
      </c>
      <c r="G72" s="56" t="n">
        <f aca="false">IF(AND(G$36&gt;=$B$7,G$36&lt;=$C$7),$B$17*G17,0)</f>
        <v>0</v>
      </c>
      <c r="H72" s="56" t="n">
        <f aca="false">IF(AND(H$36&gt;=$B$7,H$36&lt;=$C$7),$B$17*H17,0)</f>
        <v>0</v>
      </c>
      <c r="I72" s="56" t="n">
        <f aca="false">IF(AND(I$36&gt;=$B$7,I$36&lt;=$C$7),$B$17*I17,0)</f>
        <v>0</v>
      </c>
      <c r="J72" s="56" t="n">
        <f aca="false">IF(AND(J$36&gt;=$B$7,J$36&lt;=$C$7),$B$17*J17,0)</f>
        <v>0</v>
      </c>
      <c r="K72" s="56" t="n">
        <f aca="false">IF(AND(K$36&gt;=$B$7,K$36&lt;=$C$7),$B$17*K17,0)</f>
        <v>0</v>
      </c>
      <c r="L72" s="56" t="n">
        <f aca="false">IF(AND(L$36&gt;=$B$7,L$36&lt;=$C$7),$B$17*L17,0)</f>
        <v>0</v>
      </c>
      <c r="M72" s="56" t="n">
        <f aca="false">IF(AND(M$36&gt;=$B$7,M$36&lt;=$C$7),$B$17*M17,0)</f>
        <v>0</v>
      </c>
      <c r="N72" s="56" t="n">
        <f aca="false">IF(AND(N$36&gt;=$B$7,N$36&lt;=$C$7),$B$17*N17,0)</f>
        <v>0</v>
      </c>
      <c r="O72" s="56" t="n">
        <f aca="false">IF(AND(O$36&gt;=$B$7,O$36&lt;=$C$7),$B$17*O17,0)</f>
        <v>0</v>
      </c>
      <c r="P72" s="56" t="n">
        <f aca="false">IF(AND(P$36&gt;=$B$7,P$36&lt;=$C$7),$B$17*P17,0)</f>
        <v>0</v>
      </c>
      <c r="Q72" s="56" t="n">
        <f aca="false">IF(AND(Q$36&gt;=$B$7,Q$36&lt;=$C$7),$B$17*Q17,0)</f>
        <v>0</v>
      </c>
      <c r="R72" s="56" t="n">
        <f aca="false">IF(AND(R$36&gt;=$B$7,R$36&lt;=$C$7),$B$17*R17,0)</f>
        <v>0</v>
      </c>
      <c r="S72" s="56" t="n">
        <f aca="false">IF(AND(S$36&gt;=$B$7,S$36&lt;=$C$7),$B$17*S17,0)</f>
        <v>0</v>
      </c>
      <c r="T72" s="56" t="n">
        <f aca="false">IF(AND(T$36&gt;=$B$7,T$36&lt;=$C$7),$B$17*T17,0)</f>
        <v>0</v>
      </c>
      <c r="U72" s="56" t="n">
        <f aca="false">IF(AND(U$36&gt;=$B$7,U$36&lt;=$C$7),$B$17*U17,0)</f>
        <v>19750</v>
      </c>
      <c r="V72" s="56" t="n">
        <f aca="false">IF(AND(V$36&gt;=$B$7,V$36&lt;=$C$7),$B$17*V17,0)</f>
        <v>19750</v>
      </c>
      <c r="W72" s="56" t="n">
        <f aca="false">IF(AND(W$36&gt;=$B$7,W$36&lt;=$C$7),$B$17*W17,0)</f>
        <v>19750</v>
      </c>
      <c r="X72" s="56" t="n">
        <f aca="false">IF(AND(X$36&gt;=$B$7,X$36&lt;=$C$7),$B$17*X17,0)</f>
        <v>19750</v>
      </c>
      <c r="Y72" s="56" t="n">
        <f aca="false">IF(AND(Y$36&gt;=$B$7,Y$36&lt;=$C$7),$B$17*Y17,0)</f>
        <v>0</v>
      </c>
      <c r="Z72" s="56" t="n">
        <f aca="false">IF(AND(Z$36&gt;=$B$7,Z$36&lt;=$C$7),$B$17*Z17,0)</f>
        <v>0</v>
      </c>
      <c r="AA72" s="57" t="n">
        <f aca="false">SUM(D72:Z72)</f>
        <v>79000</v>
      </c>
    </row>
    <row r="73" customFormat="false" ht="15" hidden="false" customHeight="false" outlineLevel="0" collapsed="false">
      <c r="A73" s="41" t="s">
        <v>53</v>
      </c>
      <c r="C73" s="41" t="n">
        <v>4</v>
      </c>
      <c r="D73" s="56" t="n">
        <f aca="false">IF(AND(D$36&gt;=$B$7,D$36&lt;=$C$7),$B$18*D18,0)</f>
        <v>0</v>
      </c>
      <c r="E73" s="56" t="n">
        <f aca="false">IF(AND(E$36&gt;=$B$7,E$36&lt;=$C$7),$B$18*E18,0)</f>
        <v>0</v>
      </c>
      <c r="F73" s="56" t="n">
        <f aca="false">IF(AND(F$36&gt;=$B$7,F$36&lt;=$C$7),$B$18*F18,0)</f>
        <v>0</v>
      </c>
      <c r="G73" s="56" t="n">
        <f aca="false">IF(AND(G$36&gt;=$B$7,G$36&lt;=$C$7),$B$18*G18,0)</f>
        <v>0</v>
      </c>
      <c r="H73" s="56" t="n">
        <f aca="false">IF(AND(H$36&gt;=$B$7,H$36&lt;=$C$7),$B$18*H18,0)</f>
        <v>0</v>
      </c>
      <c r="I73" s="56" t="n">
        <f aca="false">IF(AND(I$36&gt;=$B$7,I$36&lt;=$C$7),$B$18*I18,0)</f>
        <v>0</v>
      </c>
      <c r="J73" s="56" t="n">
        <f aca="false">IF(AND(J$36&gt;=$B$7,J$36&lt;=$C$7),$B$18*J18,0)</f>
        <v>0</v>
      </c>
      <c r="K73" s="56" t="n">
        <f aca="false">IF(AND(K$36&gt;=$B$7,K$36&lt;=$C$7),$B$18*K18,0)</f>
        <v>0</v>
      </c>
      <c r="L73" s="56" t="n">
        <f aca="false">IF(AND(L$36&gt;=$B$7,L$36&lt;=$C$7),$B$18*L18,0)</f>
        <v>0</v>
      </c>
      <c r="M73" s="56" t="n">
        <f aca="false">IF(AND(M$36&gt;=$B$7,M$36&lt;=$C$7),$B$18*M18,0)</f>
        <v>0</v>
      </c>
      <c r="N73" s="56" t="n">
        <f aca="false">IF(AND(N$36&gt;=$B$7,N$36&lt;=$C$7),$B$18*N18,0)</f>
        <v>0</v>
      </c>
      <c r="O73" s="56" t="n">
        <f aca="false">IF(AND(O$36&gt;=$B$7,O$36&lt;=$C$7),$B$18*O18,0)</f>
        <v>0</v>
      </c>
      <c r="P73" s="56" t="n">
        <f aca="false">IF(AND(P$36&gt;=$B$7,P$36&lt;=$C$7),$B$18*P18,0)</f>
        <v>0</v>
      </c>
      <c r="Q73" s="56" t="n">
        <f aca="false">IF(AND(Q$36&gt;=$B$7,Q$36&lt;=$C$7),$B$18*Q18,0)</f>
        <v>0</v>
      </c>
      <c r="R73" s="56" t="n">
        <f aca="false">IF(AND(R$36&gt;=$B$7,R$36&lt;=$C$7),$B$18*R18,0)</f>
        <v>0</v>
      </c>
      <c r="S73" s="56" t="n">
        <f aca="false">IF(AND(S$36&gt;=$B$7,S$36&lt;=$C$7),$B$18*S18,0)</f>
        <v>0</v>
      </c>
      <c r="T73" s="56" t="n">
        <f aca="false">IF(AND(T$36&gt;=$B$7,T$36&lt;=$C$7),$B$18*T18,0)</f>
        <v>0</v>
      </c>
      <c r="U73" s="56" t="n">
        <f aca="false">IF(AND(U$36&gt;=$B$7,U$36&lt;=$C$7),$B$18*U18,0)</f>
        <v>13465</v>
      </c>
      <c r="V73" s="56" t="n">
        <f aca="false">IF(AND(V$36&gt;=$B$7,V$36&lt;=$C$7),$B$18*V18,0)</f>
        <v>13465</v>
      </c>
      <c r="W73" s="56" t="n">
        <f aca="false">IF(AND(W$36&gt;=$B$7,W$36&lt;=$C$7),$B$18*W18,0)</f>
        <v>13465</v>
      </c>
      <c r="X73" s="56" t="n">
        <f aca="false">IF(AND(X$36&gt;=$B$7,X$36&lt;=$C$7),$B$18*X18,0)</f>
        <v>13465</v>
      </c>
      <c r="Y73" s="56" t="n">
        <f aca="false">IF(AND(Y$36&gt;=$B$7,Y$36&lt;=$C$7),$B$18*Y18,0)</f>
        <v>0</v>
      </c>
      <c r="Z73" s="56" t="n">
        <f aca="false">IF(AND(Z$36&gt;=$B$7,Z$36&lt;=$C$7),$B$18*Z18,0)</f>
        <v>0</v>
      </c>
      <c r="AA73" s="57" t="n">
        <f aca="false">SUM(D73:Z73)</f>
        <v>53860</v>
      </c>
    </row>
    <row r="76" customFormat="false" ht="15" hidden="false" customHeight="false" outlineLevel="0" collapsed="false">
      <c r="A76" s="40" t="s">
        <v>222</v>
      </c>
    </row>
    <row r="77" customFormat="false" ht="15" hidden="false" customHeight="false" outlineLevel="0" collapsed="false">
      <c r="A77" s="53" t="s">
        <v>209</v>
      </c>
      <c r="B77" s="53" t="s">
        <v>210</v>
      </c>
      <c r="C77" s="53" t="s">
        <v>211</v>
      </c>
      <c r="D77" s="53" t="n">
        <v>1</v>
      </c>
      <c r="E77" s="53" t="n">
        <v>2</v>
      </c>
      <c r="F77" s="53" t="n">
        <v>3</v>
      </c>
      <c r="G77" s="53" t="n">
        <v>4</v>
      </c>
      <c r="H77" s="53" t="n">
        <v>5</v>
      </c>
      <c r="I77" s="53" t="n">
        <v>6</v>
      </c>
      <c r="J77" s="53" t="n">
        <v>7</v>
      </c>
      <c r="K77" s="53" t="n">
        <v>8</v>
      </c>
      <c r="L77" s="53" t="n">
        <v>9</v>
      </c>
      <c r="M77" s="53" t="n">
        <v>10</v>
      </c>
      <c r="N77" s="53" t="n">
        <v>11</v>
      </c>
      <c r="O77" s="53" t="n">
        <v>12</v>
      </c>
      <c r="P77" s="53" t="n">
        <v>13</v>
      </c>
      <c r="Q77" s="53" t="n">
        <v>14</v>
      </c>
      <c r="R77" s="53" t="n">
        <v>15</v>
      </c>
      <c r="S77" s="53" t="n">
        <v>16</v>
      </c>
      <c r="T77" s="53" t="n">
        <v>17</v>
      </c>
      <c r="U77" s="53" t="n">
        <v>18</v>
      </c>
      <c r="V77" s="53" t="n">
        <v>19</v>
      </c>
      <c r="W77" s="53" t="n">
        <v>20</v>
      </c>
      <c r="X77" s="53" t="n">
        <v>21</v>
      </c>
      <c r="Y77" s="53" t="n">
        <v>22</v>
      </c>
      <c r="Z77" s="53" t="n">
        <v>23</v>
      </c>
      <c r="AA77" s="53" t="s">
        <v>212</v>
      </c>
    </row>
    <row r="78" customFormat="false" ht="15" hidden="false" customHeight="false" outlineLevel="0" collapsed="false">
      <c r="A78" s="41" t="s">
        <v>14</v>
      </c>
      <c r="C78" s="41" t="n">
        <v>1</v>
      </c>
      <c r="D78" s="56" t="n">
        <f aca="false">IF(AND(D$77&gt;=$D$4,D$77&lt;=$E$4),$B$24*D24,0)</f>
        <v>55400</v>
      </c>
      <c r="E78" s="56" t="n">
        <f aca="false">IF(AND(E$77&gt;=$D$4,E$77&lt;=$E$4),$B$24*E24,0)</f>
        <v>55400</v>
      </c>
      <c r="F78" s="56" t="n">
        <f aca="false">IF(AND(F$77&gt;=$D$4,F$77&lt;=$E$4),$B$24*F24,0)</f>
        <v>55400</v>
      </c>
      <c r="G78" s="56" t="n">
        <f aca="false">IF(AND(G$77&gt;=$D$4,G$77&lt;=$E$4),$B$24*G24,0)</f>
        <v>55400</v>
      </c>
      <c r="H78" s="56" t="n">
        <f aca="false">IF(AND(H$77&gt;=$D$4,H$77&lt;=$E$4),$B$24*H24,0)</f>
        <v>55400</v>
      </c>
      <c r="I78" s="56" t="n">
        <f aca="false">IF(AND(I$77&gt;=$D$4,I$77&lt;=$E$4),$B$24*I24,0)</f>
        <v>0</v>
      </c>
      <c r="J78" s="56" t="n">
        <f aca="false">IF(AND(J$77&gt;=$D$4,J$77&lt;=$E$4),$B$24*J24,0)</f>
        <v>0</v>
      </c>
      <c r="K78" s="56" t="n">
        <f aca="false">IF(AND(K$77&gt;=$D$4,K$77&lt;=$E$4),$B$24*K24,0)</f>
        <v>0</v>
      </c>
      <c r="L78" s="56" t="n">
        <f aca="false">IF(AND(L$77&gt;=$D$4,L$77&lt;=$E$4),$B$24*L24,0)</f>
        <v>0</v>
      </c>
      <c r="M78" s="56" t="n">
        <f aca="false">IF(AND(M$77&gt;=$D$4,M$77&lt;=$E$4),$B$24*M24,0)</f>
        <v>0</v>
      </c>
      <c r="N78" s="56" t="n">
        <f aca="false">IF(AND(N$77&gt;=$D$4,N$77&lt;=$E$4),$B$24*N24,0)</f>
        <v>0</v>
      </c>
      <c r="O78" s="56" t="n">
        <f aca="false">IF(AND(O$77&gt;=$D$4,O$77&lt;=$E$4),$B$24*O24,0)</f>
        <v>0</v>
      </c>
      <c r="P78" s="56" t="n">
        <f aca="false">IF(AND(P$77&gt;=$D$4,P$77&lt;=$E$4),$B$24*P24,0)</f>
        <v>0</v>
      </c>
      <c r="Q78" s="56" t="n">
        <f aca="false">IF(AND(Q$77&gt;=$D$4,Q$77&lt;=$E$4),$B$24*Q24,0)</f>
        <v>0</v>
      </c>
      <c r="R78" s="56" t="n">
        <f aca="false">IF(AND(R$77&gt;=$D$4,R$77&lt;=$E$4),$B$24*R24,0)</f>
        <v>0</v>
      </c>
      <c r="S78" s="56" t="n">
        <f aca="false">IF(AND(S$77&gt;=$D$4,S$77&lt;=$E$4),$B$24*S24,0)</f>
        <v>0</v>
      </c>
      <c r="T78" s="56" t="n">
        <f aca="false">IF(AND(T$77&gt;=$D$4,T$77&lt;=$E$4),$B$24*T24,0)</f>
        <v>0</v>
      </c>
      <c r="U78" s="56" t="n">
        <f aca="false">IF(AND(U$77&gt;=$D$4,U$77&lt;=$E$4),$B$24*U24,0)</f>
        <v>0</v>
      </c>
      <c r="V78" s="56" t="n">
        <f aca="false">IF(AND(V$77&gt;=$D$4,V$77&lt;=$E$4),$B$24*V24,0)</f>
        <v>0</v>
      </c>
      <c r="W78" s="56" t="n">
        <f aca="false">IF(AND(W$77&gt;=$D$4,W$77&lt;=$E$4),$B$24*W24,0)</f>
        <v>0</v>
      </c>
      <c r="X78" s="56" t="n">
        <f aca="false">IF(AND(X$77&gt;=$D$4,X$77&lt;=$E$4),$B$24*X24,0)</f>
        <v>0</v>
      </c>
      <c r="Y78" s="56" t="n">
        <f aca="false">IF(AND(Y$77&gt;=$D$4,Y$77&lt;=$E$4),$B$24*Y24,0)</f>
        <v>0</v>
      </c>
      <c r="Z78" s="56" t="n">
        <f aca="false">IF(AND(Z$77&gt;=$D$4,Z$77&lt;=$E$4),$B$24*Z24,0)</f>
        <v>0</v>
      </c>
      <c r="AA78" s="57" t="n">
        <f aca="false">SUM(D78:Z78)</f>
        <v>277000</v>
      </c>
    </row>
    <row r="79" customFormat="false" ht="15" hidden="false" customHeight="false" outlineLevel="0" collapsed="false">
      <c r="A79" s="41" t="s">
        <v>15</v>
      </c>
      <c r="C79" s="41" t="n">
        <v>1</v>
      </c>
      <c r="D79" s="56" t="n">
        <f aca="false">IF(AND(D$77&gt;=$D$4,D$77&lt;=$E$4),$B$25*D25,0)</f>
        <v>18860</v>
      </c>
      <c r="E79" s="56" t="n">
        <f aca="false">IF(AND(E$77&gt;=$D$4,E$77&lt;=$E$4),$B$25*E25,0)</f>
        <v>18860</v>
      </c>
      <c r="F79" s="56" t="n">
        <f aca="false">IF(AND(F$77&gt;=$D$4,F$77&lt;=$E$4),$B$25*F25,0)</f>
        <v>18860</v>
      </c>
      <c r="G79" s="56" t="n">
        <f aca="false">IF(AND(G$77&gt;=$D$4,G$77&lt;=$E$4),$B$25*G25,0)</f>
        <v>18860</v>
      </c>
      <c r="H79" s="56" t="n">
        <f aca="false">IF(AND(H$77&gt;=$D$4,H$77&lt;=$E$4),$B$25*H25,0)</f>
        <v>18860</v>
      </c>
      <c r="I79" s="56" t="n">
        <f aca="false">IF(AND(I$77&gt;=$D$4,I$77&lt;=$E$4),$B$25*I25,0)</f>
        <v>0</v>
      </c>
      <c r="J79" s="56" t="n">
        <f aca="false">IF(AND(J$77&gt;=$D$4,J$77&lt;=$E$4),$B$25*J25,0)</f>
        <v>0</v>
      </c>
      <c r="K79" s="56" t="n">
        <f aca="false">IF(AND(K$77&gt;=$D$4,K$77&lt;=$E$4),$B$25*K25,0)</f>
        <v>0</v>
      </c>
      <c r="L79" s="56" t="n">
        <f aca="false">IF(AND(L$77&gt;=$D$4,L$77&lt;=$E$4),$B$25*L25,0)</f>
        <v>0</v>
      </c>
      <c r="M79" s="56" t="n">
        <f aca="false">IF(AND(M$77&gt;=$D$4,M$77&lt;=$E$4),$B$25*M25,0)</f>
        <v>0</v>
      </c>
      <c r="N79" s="56" t="n">
        <f aca="false">IF(AND(N$77&gt;=$D$4,N$77&lt;=$E$4),$B$25*N25,0)</f>
        <v>0</v>
      </c>
      <c r="O79" s="56" t="n">
        <f aca="false">IF(AND(O$77&gt;=$D$4,O$77&lt;=$E$4),$B$25*O25,0)</f>
        <v>0</v>
      </c>
      <c r="P79" s="56" t="n">
        <f aca="false">IF(AND(P$77&gt;=$D$4,P$77&lt;=$E$4),$B$25*P25,0)</f>
        <v>0</v>
      </c>
      <c r="Q79" s="56" t="n">
        <f aca="false">IF(AND(Q$77&gt;=$D$4,Q$77&lt;=$E$4),$B$25*Q25,0)</f>
        <v>0</v>
      </c>
      <c r="R79" s="56" t="n">
        <f aca="false">IF(AND(R$77&gt;=$D$4,R$77&lt;=$E$4),$B$25*R25,0)</f>
        <v>0</v>
      </c>
      <c r="S79" s="56" t="n">
        <f aca="false">IF(AND(S$77&gt;=$D$4,S$77&lt;=$E$4),$B$25*S25,0)</f>
        <v>0</v>
      </c>
      <c r="T79" s="56" t="n">
        <f aca="false">IF(AND(T$77&gt;=$D$4,T$77&lt;=$E$4),$B$25*T25,0)</f>
        <v>0</v>
      </c>
      <c r="U79" s="56" t="n">
        <f aca="false">IF(AND(U$77&gt;=$D$4,U$77&lt;=$E$4),$B$25*U25,0)</f>
        <v>0</v>
      </c>
      <c r="V79" s="56" t="n">
        <f aca="false">IF(AND(V$77&gt;=$D$4,V$77&lt;=$E$4),$B$25*V25,0)</f>
        <v>0</v>
      </c>
      <c r="W79" s="56" t="n">
        <f aca="false">IF(AND(W$77&gt;=$D$4,W$77&lt;=$E$4),$B$25*W25,0)</f>
        <v>0</v>
      </c>
      <c r="X79" s="56" t="n">
        <f aca="false">IF(AND(X$77&gt;=$D$4,X$77&lt;=$E$4),$B$25*X25,0)</f>
        <v>0</v>
      </c>
      <c r="Y79" s="56" t="n">
        <f aca="false">IF(AND(Y$77&gt;=$D$4,Y$77&lt;=$E$4),$B$25*Y25,0)</f>
        <v>0</v>
      </c>
      <c r="Z79" s="56" t="n">
        <f aca="false">IF(AND(Z$77&gt;=$D$4,Z$77&lt;=$E$4),$B$25*Z25,0)</f>
        <v>0</v>
      </c>
      <c r="AA79" s="57" t="n">
        <f aca="false">SUM(D79:Z79)</f>
        <v>94300</v>
      </c>
    </row>
    <row r="80" customFormat="false" ht="15" hidden="false" customHeight="false" outlineLevel="0" collapsed="false">
      <c r="A80" s="41" t="s">
        <v>16</v>
      </c>
      <c r="C80" s="41" t="n">
        <v>1</v>
      </c>
      <c r="D80" s="56" t="n">
        <f aca="false">IF(AND(D$77&gt;=$D$4,D$77&lt;=$E$4),$B$26*D26,0)</f>
        <v>27110</v>
      </c>
      <c r="E80" s="56" t="n">
        <f aca="false">IF(AND(E$77&gt;=$D$4,E$77&lt;=$E$4),$B$26*E26,0)</f>
        <v>27110</v>
      </c>
      <c r="F80" s="56" t="n">
        <f aca="false">IF(AND(F$77&gt;=$D$4,F$77&lt;=$E$4),$B$26*F26,0)</f>
        <v>27110</v>
      </c>
      <c r="G80" s="56" t="n">
        <f aca="false">IF(AND(G$77&gt;=$D$4,G$77&lt;=$E$4),$B$26*G26,0)</f>
        <v>20332.5</v>
      </c>
      <c r="H80" s="56" t="n">
        <f aca="false">IF(AND(H$77&gt;=$D$4,H$77&lt;=$E$4),$B$26*H26,0)</f>
        <v>20332.5</v>
      </c>
      <c r="I80" s="56" t="n">
        <f aca="false">IF(AND(I$77&gt;=$D$4,I$77&lt;=$E$4),$B$26*I26,0)</f>
        <v>0</v>
      </c>
      <c r="J80" s="56" t="n">
        <f aca="false">IF(AND(J$77&gt;=$D$4,J$77&lt;=$E$4),$B$26*J26,0)</f>
        <v>0</v>
      </c>
      <c r="K80" s="56" t="n">
        <f aca="false">IF(AND(K$77&gt;=$D$4,K$77&lt;=$E$4),$B$26*K26,0)</f>
        <v>0</v>
      </c>
      <c r="L80" s="56" t="n">
        <f aca="false">IF(AND(L$77&gt;=$D$4,L$77&lt;=$E$4),$B$26*L26,0)</f>
        <v>0</v>
      </c>
      <c r="M80" s="56" t="n">
        <f aca="false">IF(AND(M$77&gt;=$D$4,M$77&lt;=$E$4),$B$26*M26,0)</f>
        <v>0</v>
      </c>
      <c r="N80" s="56" t="n">
        <f aca="false">IF(AND(N$77&gt;=$D$4,N$77&lt;=$E$4),$B$26*N26,0)</f>
        <v>0</v>
      </c>
      <c r="O80" s="56" t="n">
        <f aca="false">IF(AND(O$77&gt;=$D$4,O$77&lt;=$E$4),$B$26*O26,0)</f>
        <v>0</v>
      </c>
      <c r="P80" s="56" t="n">
        <f aca="false">IF(AND(P$77&gt;=$D$4,P$77&lt;=$E$4),$B$26*P26,0)</f>
        <v>0</v>
      </c>
      <c r="Q80" s="56" t="n">
        <f aca="false">IF(AND(Q$77&gt;=$D$4,Q$77&lt;=$E$4),$B$26*Q26,0)</f>
        <v>0</v>
      </c>
      <c r="R80" s="56" t="n">
        <f aca="false">IF(AND(R$77&gt;=$D$4,R$77&lt;=$E$4),$B$26*R26,0)</f>
        <v>0</v>
      </c>
      <c r="S80" s="56" t="n">
        <f aca="false">IF(AND(S$77&gt;=$D$4,S$77&lt;=$E$4),$B$26*S26,0)</f>
        <v>0</v>
      </c>
      <c r="T80" s="56" t="n">
        <f aca="false">IF(AND(T$77&gt;=$D$4,T$77&lt;=$E$4),$B$26*T26,0)</f>
        <v>0</v>
      </c>
      <c r="U80" s="56" t="n">
        <f aca="false">IF(AND(U$77&gt;=$D$4,U$77&lt;=$E$4),$B$26*U26,0)</f>
        <v>0</v>
      </c>
      <c r="V80" s="56" t="n">
        <f aca="false">IF(AND(V$77&gt;=$D$4,V$77&lt;=$E$4),$B$26*V26,0)</f>
        <v>0</v>
      </c>
      <c r="W80" s="56" t="n">
        <f aca="false">IF(AND(W$77&gt;=$D$4,W$77&lt;=$E$4),$B$26*W26,0)</f>
        <v>0</v>
      </c>
      <c r="X80" s="56" t="n">
        <f aca="false">IF(AND(X$77&gt;=$D$4,X$77&lt;=$E$4),$B$26*X26,0)</f>
        <v>0</v>
      </c>
      <c r="Y80" s="56" t="n">
        <f aca="false">IF(AND(Y$77&gt;=$D$4,Y$77&lt;=$E$4),$B$26*Y26,0)</f>
        <v>0</v>
      </c>
      <c r="Z80" s="56" t="n">
        <f aca="false">IF(AND(Z$77&gt;=$D$4,Z$77&lt;=$E$4),$B$26*Z26,0)</f>
        <v>0</v>
      </c>
      <c r="AA80" s="57" t="n">
        <f aca="false">SUM(D80:Z80)</f>
        <v>121995</v>
      </c>
    </row>
    <row r="81" customFormat="false" ht="15" hidden="false" customHeight="false" outlineLevel="0" collapsed="false">
      <c r="A81" s="41" t="s">
        <v>17</v>
      </c>
      <c r="C81" s="41" t="n">
        <v>1</v>
      </c>
      <c r="D81" s="56" t="n">
        <f aca="false">IF(AND(D$77&gt;=$D$4,D$77&lt;=$E$4),$B$27*D27,0)</f>
        <v>10312.5</v>
      </c>
      <c r="E81" s="56" t="n">
        <f aca="false">IF(AND(E$77&gt;=$D$4,E$77&lt;=$E$4),$B$27*E27,0)</f>
        <v>10312.5</v>
      </c>
      <c r="F81" s="56" t="n">
        <f aca="false">IF(AND(F$77&gt;=$D$4,F$77&lt;=$E$4),$B$27*F27,0)</f>
        <v>10312.5</v>
      </c>
      <c r="G81" s="56" t="n">
        <f aca="false">IF(AND(G$77&gt;=$D$4,G$77&lt;=$E$4),$B$27*G27,0)</f>
        <v>10312.5</v>
      </c>
      <c r="H81" s="56" t="n">
        <f aca="false">IF(AND(H$77&gt;=$D$4,H$77&lt;=$E$4),$B$27*H27,0)</f>
        <v>10312.5</v>
      </c>
      <c r="I81" s="56" t="n">
        <f aca="false">IF(AND(I$77&gt;=$D$4,I$77&lt;=$E$4),$B$27*I27,0)</f>
        <v>0</v>
      </c>
      <c r="J81" s="56" t="n">
        <f aca="false">IF(AND(J$77&gt;=$D$4,J$77&lt;=$E$4),$B$27*J27,0)</f>
        <v>0</v>
      </c>
      <c r="K81" s="56" t="n">
        <f aca="false">IF(AND(K$77&gt;=$D$4,K$77&lt;=$E$4),$B$27*K27,0)</f>
        <v>0</v>
      </c>
      <c r="L81" s="56" t="n">
        <f aca="false">IF(AND(L$77&gt;=$D$4,L$77&lt;=$E$4),$B$27*L27,0)</f>
        <v>0</v>
      </c>
      <c r="M81" s="56" t="n">
        <f aca="false">IF(AND(M$77&gt;=$D$4,M$77&lt;=$E$4),$B$27*M27,0)</f>
        <v>0</v>
      </c>
      <c r="N81" s="56" t="n">
        <f aca="false">IF(AND(N$77&gt;=$D$4,N$77&lt;=$E$4),$B$27*N27,0)</f>
        <v>0</v>
      </c>
      <c r="O81" s="56" t="n">
        <f aca="false">IF(AND(O$77&gt;=$D$4,O$77&lt;=$E$4),$B$27*O27,0)</f>
        <v>0</v>
      </c>
      <c r="P81" s="56" t="n">
        <f aca="false">IF(AND(P$77&gt;=$D$4,P$77&lt;=$E$4),$B$27*P27,0)</f>
        <v>0</v>
      </c>
      <c r="Q81" s="56" t="n">
        <f aca="false">IF(AND(Q$77&gt;=$D$4,Q$77&lt;=$E$4),$B$27*Q27,0)</f>
        <v>0</v>
      </c>
      <c r="R81" s="56" t="n">
        <f aca="false">IF(AND(R$77&gt;=$D$4,R$77&lt;=$E$4),$B$27*R27,0)</f>
        <v>0</v>
      </c>
      <c r="S81" s="56" t="n">
        <f aca="false">IF(AND(S$77&gt;=$D$4,S$77&lt;=$E$4),$B$27*S27,0)</f>
        <v>0</v>
      </c>
      <c r="T81" s="56" t="n">
        <f aca="false">IF(AND(T$77&gt;=$D$4,T$77&lt;=$E$4),$B$27*T27,0)</f>
        <v>0</v>
      </c>
      <c r="U81" s="56" t="n">
        <f aca="false">IF(AND(U$77&gt;=$D$4,U$77&lt;=$E$4),$B$27*U27,0)</f>
        <v>0</v>
      </c>
      <c r="V81" s="56" t="n">
        <f aca="false">IF(AND(V$77&gt;=$D$4,V$77&lt;=$E$4),$B$27*V27,0)</f>
        <v>0</v>
      </c>
      <c r="W81" s="56" t="n">
        <f aca="false">IF(AND(W$77&gt;=$D$4,W$77&lt;=$E$4),$B$27*W27,0)</f>
        <v>0</v>
      </c>
      <c r="X81" s="56" t="n">
        <f aca="false">IF(AND(X$77&gt;=$D$4,X$77&lt;=$E$4),$B$27*X27,0)</f>
        <v>0</v>
      </c>
      <c r="Y81" s="56" t="n">
        <f aca="false">IF(AND(Y$77&gt;=$D$4,Y$77&lt;=$E$4),$B$27*Y27,0)</f>
        <v>0</v>
      </c>
      <c r="Z81" s="56" t="n">
        <f aca="false">IF(AND(Z$77&gt;=$D$4,Z$77&lt;=$E$4),$B$27*Z27,0)</f>
        <v>0</v>
      </c>
      <c r="AA81" s="57" t="n">
        <f aca="false">SUM(D81:Z81)</f>
        <v>51562.5</v>
      </c>
    </row>
    <row r="82" customFormat="false" ht="15" hidden="false" customHeight="false" outlineLevel="0" collapsed="false">
      <c r="A82" s="41" t="s">
        <v>18</v>
      </c>
      <c r="C82" s="41" t="n">
        <v>1</v>
      </c>
      <c r="D82" s="56" t="n">
        <f aca="false">IF(AND(D$77&gt;=$D$4,D$77&lt;=$E$4),$B$28*D28,0)</f>
        <v>7440</v>
      </c>
      <c r="E82" s="56" t="n">
        <f aca="false">IF(AND(E$77&gt;=$D$4,E$77&lt;=$E$4),$B$28*E28,0)</f>
        <v>7440</v>
      </c>
      <c r="F82" s="56" t="n">
        <f aca="false">IF(AND(F$77&gt;=$D$4,F$77&lt;=$E$4),$B$28*F28,0)</f>
        <v>7440</v>
      </c>
      <c r="G82" s="56" t="n">
        <f aca="false">IF(AND(G$77&gt;=$D$4,G$77&lt;=$E$4),$B$28*G28,0)</f>
        <v>7440</v>
      </c>
      <c r="H82" s="56" t="n">
        <f aca="false">IF(AND(H$77&gt;=$D$4,H$77&lt;=$E$4),$B$28*H28,0)</f>
        <v>7440</v>
      </c>
      <c r="I82" s="56" t="n">
        <f aca="false">IF(AND(I$77&gt;=$D$4,I$77&lt;=$E$4),$B$28*I28,0)</f>
        <v>0</v>
      </c>
      <c r="J82" s="56" t="n">
        <f aca="false">IF(AND(J$77&gt;=$D$4,J$77&lt;=$E$4),$B$28*J28,0)</f>
        <v>0</v>
      </c>
      <c r="K82" s="56" t="n">
        <f aca="false">IF(AND(K$77&gt;=$D$4,K$77&lt;=$E$4),$B$28*K28,0)</f>
        <v>0</v>
      </c>
      <c r="L82" s="56" t="n">
        <f aca="false">IF(AND(L$77&gt;=$D$4,L$77&lt;=$E$4),$B$28*L28,0)</f>
        <v>0</v>
      </c>
      <c r="M82" s="56" t="n">
        <f aca="false">IF(AND(M$77&gt;=$D$4,M$77&lt;=$E$4),$B$28*M28,0)</f>
        <v>0</v>
      </c>
      <c r="N82" s="56" t="n">
        <f aca="false">IF(AND(N$77&gt;=$D$4,N$77&lt;=$E$4),$B$28*N28,0)</f>
        <v>0</v>
      </c>
      <c r="O82" s="56" t="n">
        <f aca="false">IF(AND(O$77&gt;=$D$4,O$77&lt;=$E$4),$B$28*O28,0)</f>
        <v>0</v>
      </c>
      <c r="P82" s="56" t="n">
        <f aca="false">IF(AND(P$77&gt;=$D$4,P$77&lt;=$E$4),$B$28*P28,0)</f>
        <v>0</v>
      </c>
      <c r="Q82" s="56" t="n">
        <f aca="false">IF(AND(Q$77&gt;=$D$4,Q$77&lt;=$E$4),$B$28*Q28,0)</f>
        <v>0</v>
      </c>
      <c r="R82" s="56" t="n">
        <f aca="false">IF(AND(R$77&gt;=$D$4,R$77&lt;=$E$4),$B$28*R28,0)</f>
        <v>0</v>
      </c>
      <c r="S82" s="56" t="n">
        <f aca="false">IF(AND(S$77&gt;=$D$4,S$77&lt;=$E$4),$B$28*S28,0)</f>
        <v>0</v>
      </c>
      <c r="T82" s="56" t="n">
        <f aca="false">IF(AND(T$77&gt;=$D$4,T$77&lt;=$E$4),$B$28*T28,0)</f>
        <v>0</v>
      </c>
      <c r="U82" s="56" t="n">
        <f aca="false">IF(AND(U$77&gt;=$D$4,U$77&lt;=$E$4),$B$28*U28,0)</f>
        <v>0</v>
      </c>
      <c r="V82" s="56" t="n">
        <f aca="false">IF(AND(V$77&gt;=$D$4,V$77&lt;=$E$4),$B$28*V28,0)</f>
        <v>0</v>
      </c>
      <c r="W82" s="56" t="n">
        <f aca="false">IF(AND(W$77&gt;=$D$4,W$77&lt;=$E$4),$B$28*W28,0)</f>
        <v>0</v>
      </c>
      <c r="X82" s="56" t="n">
        <f aca="false">IF(AND(X$77&gt;=$D$4,X$77&lt;=$E$4),$B$28*X28,0)</f>
        <v>0</v>
      </c>
      <c r="Y82" s="56" t="n">
        <f aca="false">IF(AND(Y$77&gt;=$D$4,Y$77&lt;=$E$4),$B$28*Y28,0)</f>
        <v>0</v>
      </c>
      <c r="Z82" s="56" t="n">
        <f aca="false">IF(AND(Z$77&gt;=$D$4,Z$77&lt;=$E$4),$B$28*Z28,0)</f>
        <v>0</v>
      </c>
      <c r="AA82" s="57" t="n">
        <f aca="false">SUM(D82:Z82)</f>
        <v>37200</v>
      </c>
    </row>
    <row r="83" customFormat="false" ht="15" hidden="false" customHeight="false" outlineLevel="0" collapsed="false">
      <c r="A83" s="41" t="s">
        <v>19</v>
      </c>
      <c r="C83" s="41" t="n">
        <v>1</v>
      </c>
      <c r="D83" s="56" t="n">
        <f aca="false">IF(AND(D$77&gt;=$D$4,D$77&lt;=$E$4),$B$31*D31,0)</f>
        <v>4920</v>
      </c>
      <c r="E83" s="56" t="n">
        <f aca="false">IF(AND(E$77&gt;=$D$4,E$77&lt;=$E$4),$B$31*E31,0)</f>
        <v>4920</v>
      </c>
      <c r="F83" s="56" t="n">
        <f aca="false">IF(AND(F$77&gt;=$D$4,F$77&lt;=$E$4),$B$31*F31,0)</f>
        <v>4920</v>
      </c>
      <c r="G83" s="56" t="n">
        <f aca="false">IF(AND(G$77&gt;=$D$4,G$77&lt;=$E$4),$B$31*G31,0)</f>
        <v>4920</v>
      </c>
      <c r="H83" s="56" t="n">
        <f aca="false">IF(AND(H$77&gt;=$D$4,H$77&lt;=$E$4),$B$31*H31,0)</f>
        <v>4920</v>
      </c>
      <c r="I83" s="56" t="n">
        <f aca="false">IF(AND(I$77&gt;=$D$4,I$77&lt;=$E$4),$B$31*I31,0)</f>
        <v>0</v>
      </c>
      <c r="J83" s="56" t="n">
        <f aca="false">IF(AND(J$77&gt;=$D$4,J$77&lt;=$E$4),$B$31*J31,0)</f>
        <v>0</v>
      </c>
      <c r="K83" s="56" t="n">
        <f aca="false">IF(AND(K$77&gt;=$D$4,K$77&lt;=$E$4),$B$31*K31,0)</f>
        <v>0</v>
      </c>
      <c r="L83" s="56" t="n">
        <f aca="false">IF(AND(L$77&gt;=$D$4,L$77&lt;=$E$4),$B$31*L31,0)</f>
        <v>0</v>
      </c>
      <c r="M83" s="56" t="n">
        <f aca="false">IF(AND(M$77&gt;=$D$4,M$77&lt;=$E$4),$B$31*M31,0)</f>
        <v>0</v>
      </c>
      <c r="N83" s="56" t="n">
        <f aca="false">IF(AND(N$77&gt;=$D$4,N$77&lt;=$E$4),$B$31*N31,0)</f>
        <v>0</v>
      </c>
      <c r="O83" s="56" t="n">
        <f aca="false">IF(AND(O$77&gt;=$D$4,O$77&lt;=$E$4),$B$31*O31,0)</f>
        <v>0</v>
      </c>
      <c r="P83" s="56" t="n">
        <f aca="false">IF(AND(P$77&gt;=$D$4,P$77&lt;=$E$4),$B$31*P31,0)</f>
        <v>0</v>
      </c>
      <c r="Q83" s="56" t="n">
        <f aca="false">IF(AND(Q$77&gt;=$D$4,Q$77&lt;=$E$4),$B$31*Q31,0)</f>
        <v>0</v>
      </c>
      <c r="R83" s="56" t="n">
        <f aca="false">IF(AND(R$77&gt;=$D$4,R$77&lt;=$E$4),$B$31*R31,0)</f>
        <v>0</v>
      </c>
      <c r="S83" s="56" t="n">
        <f aca="false">IF(AND(S$77&gt;=$D$4,S$77&lt;=$E$4),$B$31*S31,0)</f>
        <v>0</v>
      </c>
      <c r="T83" s="56" t="n">
        <f aca="false">IF(AND(T$77&gt;=$D$4,T$77&lt;=$E$4),$B$31*T31,0)</f>
        <v>0</v>
      </c>
      <c r="U83" s="56" t="n">
        <f aca="false">IF(AND(U$77&gt;=$D$4,U$77&lt;=$E$4),$B$31*U31,0)</f>
        <v>0</v>
      </c>
      <c r="V83" s="56" t="n">
        <f aca="false">IF(AND(V$77&gt;=$D$4,V$77&lt;=$E$4),$B$31*V31,0)</f>
        <v>0</v>
      </c>
      <c r="W83" s="56" t="n">
        <f aca="false">IF(AND(W$77&gt;=$D$4,W$77&lt;=$E$4),$B$31*W31,0)</f>
        <v>0</v>
      </c>
      <c r="X83" s="56" t="n">
        <f aca="false">IF(AND(X$77&gt;=$D$4,X$77&lt;=$E$4),$B$31*X31,0)</f>
        <v>0</v>
      </c>
      <c r="Y83" s="56" t="n">
        <f aca="false">IF(AND(Y$77&gt;=$D$4,Y$77&lt;=$E$4),$B$31*Y31,0)</f>
        <v>0</v>
      </c>
      <c r="Z83" s="56" t="n">
        <f aca="false">IF(AND(Z$77&gt;=$D$4,Z$77&lt;=$E$4),$B$31*Z31,0)</f>
        <v>0</v>
      </c>
      <c r="AA83" s="57" t="n">
        <f aca="false">SUM(D83:Z83)</f>
        <v>24600</v>
      </c>
    </row>
    <row r="84" customFormat="false" ht="15" hidden="false" customHeight="false" outlineLevel="0" collapsed="false">
      <c r="A84" s="41" t="s">
        <v>20</v>
      </c>
      <c r="C84" s="41" t="n">
        <v>1</v>
      </c>
      <c r="D84" s="56" t="n">
        <f aca="false">IF(AND(D$77&gt;=$D$4,D$77&lt;=$E$4),$B$29*D29,0)</f>
        <v>20625</v>
      </c>
      <c r="E84" s="56" t="n">
        <f aca="false">IF(AND(E$77&gt;=$D$4,E$77&lt;=$E$4),$B$29*E29,0)</f>
        <v>20625</v>
      </c>
      <c r="F84" s="56" t="n">
        <f aca="false">IF(AND(F$77&gt;=$D$4,F$77&lt;=$E$4),$B$29*F29,0)</f>
        <v>20625</v>
      </c>
      <c r="G84" s="56" t="n">
        <f aca="false">IF(AND(G$77&gt;=$D$4,G$77&lt;=$E$4),$B$29*G29,0)</f>
        <v>20625</v>
      </c>
      <c r="H84" s="56" t="n">
        <f aca="false">IF(AND(H$77&gt;=$D$4,H$77&lt;=$E$4),$B$29*H29,0)</f>
        <v>20625</v>
      </c>
      <c r="I84" s="56" t="n">
        <f aca="false">IF(AND(I$77&gt;=$D$4,I$77&lt;=$E$4),$B$29*I29,0)</f>
        <v>0</v>
      </c>
      <c r="J84" s="56" t="n">
        <f aca="false">IF(AND(J$77&gt;=$D$4,J$77&lt;=$E$4),$B$29*J29,0)</f>
        <v>0</v>
      </c>
      <c r="K84" s="56" t="n">
        <f aca="false">IF(AND(K$77&gt;=$D$4,K$77&lt;=$E$4),$B$29*K29,0)</f>
        <v>0</v>
      </c>
      <c r="L84" s="56" t="n">
        <f aca="false">IF(AND(L$77&gt;=$D$4,L$77&lt;=$E$4),$B$29*L29,0)</f>
        <v>0</v>
      </c>
      <c r="M84" s="56" t="n">
        <f aca="false">IF(AND(M$77&gt;=$D$4,M$77&lt;=$E$4),$B$29*M29,0)</f>
        <v>0</v>
      </c>
      <c r="N84" s="56" t="n">
        <f aca="false">IF(AND(N$77&gt;=$D$4,N$77&lt;=$E$4),$B$29*N29,0)</f>
        <v>0</v>
      </c>
      <c r="O84" s="56" t="n">
        <f aca="false">IF(AND(O$77&gt;=$D$4,O$77&lt;=$E$4),$B$29*O29,0)</f>
        <v>0</v>
      </c>
      <c r="P84" s="56" t="n">
        <f aca="false">IF(AND(P$77&gt;=$D$4,P$77&lt;=$E$4),$B$29*P29,0)</f>
        <v>0</v>
      </c>
      <c r="Q84" s="56" t="n">
        <f aca="false">IF(AND(Q$77&gt;=$D$4,Q$77&lt;=$E$4),$B$29*Q29,0)</f>
        <v>0</v>
      </c>
      <c r="R84" s="56" t="n">
        <f aca="false">IF(AND(R$77&gt;=$D$4,R$77&lt;=$E$4),$B$29*R29,0)</f>
        <v>0</v>
      </c>
      <c r="S84" s="56" t="n">
        <f aca="false">IF(AND(S$77&gt;=$D$4,S$77&lt;=$E$4),$B$29*S29,0)</f>
        <v>0</v>
      </c>
      <c r="T84" s="56" t="n">
        <f aca="false">IF(AND(T$77&gt;=$D$4,T$77&lt;=$E$4),$B$29*T29,0)</f>
        <v>0</v>
      </c>
      <c r="U84" s="56" t="n">
        <f aca="false">IF(AND(U$77&gt;=$D$4,U$77&lt;=$E$4),$B$29*U29,0)</f>
        <v>0</v>
      </c>
      <c r="V84" s="56" t="n">
        <f aca="false">IF(AND(V$77&gt;=$D$4,V$77&lt;=$E$4),$B$29*V29,0)</f>
        <v>0</v>
      </c>
      <c r="W84" s="56" t="n">
        <f aca="false">IF(AND(W$77&gt;=$D$4,W$77&lt;=$E$4),$B$29*W29,0)</f>
        <v>0</v>
      </c>
      <c r="X84" s="56" t="n">
        <f aca="false">IF(AND(X$77&gt;=$D$4,X$77&lt;=$E$4),$B$29*X29,0)</f>
        <v>0</v>
      </c>
      <c r="Y84" s="56" t="n">
        <f aca="false">IF(AND(Y$77&gt;=$D$4,Y$77&lt;=$E$4),$B$29*Y29,0)</f>
        <v>0</v>
      </c>
      <c r="Z84" s="56" t="n">
        <f aca="false">IF(AND(Z$77&gt;=$D$4,Z$77&lt;=$E$4),$B$29*Z29,0)</f>
        <v>0</v>
      </c>
      <c r="AA84" s="57" t="n">
        <f aca="false">SUM(D84:Z84)</f>
        <v>103125</v>
      </c>
    </row>
    <row r="85" customFormat="false" ht="15" hidden="false" customHeight="false" outlineLevel="0" collapsed="false">
      <c r="A85" s="41" t="s">
        <v>21</v>
      </c>
      <c r="C85" s="41" t="n">
        <v>1</v>
      </c>
      <c r="D85" s="56" t="n">
        <f aca="false">IF(AND(D$77&gt;=$D$4,D$77&lt;=$E$4),$B$32*D32,0)</f>
        <v>569.02</v>
      </c>
      <c r="E85" s="56" t="n">
        <f aca="false">IF(AND(E$77&gt;=$D$4,E$77&lt;=$E$4),$B$32*E32,0)</f>
        <v>569.02</v>
      </c>
      <c r="F85" s="56" t="n">
        <f aca="false">IF(AND(F$77&gt;=$D$4,F$77&lt;=$E$4),$B$32*F32,0)</f>
        <v>569.02</v>
      </c>
      <c r="G85" s="56" t="n">
        <f aca="false">IF(AND(G$77&gt;=$D$4,G$77&lt;=$E$4),$B$32*G32,0)</f>
        <v>569.02</v>
      </c>
      <c r="H85" s="56" t="n">
        <f aca="false">IF(AND(H$77&gt;=$D$4,H$77&lt;=$E$4),$B$32*H32,0)</f>
        <v>569.02</v>
      </c>
      <c r="I85" s="56" t="n">
        <f aca="false">IF(AND(I$77&gt;=$D$4,I$77&lt;=$E$4),$B$32*I32,0)</f>
        <v>0</v>
      </c>
      <c r="J85" s="56" t="n">
        <f aca="false">IF(AND(J$77&gt;=$D$4,J$77&lt;=$E$4),$B$32*J32,0)</f>
        <v>0</v>
      </c>
      <c r="K85" s="56" t="n">
        <f aca="false">IF(AND(K$77&gt;=$D$4,K$77&lt;=$E$4),$B$32*K32,0)</f>
        <v>0</v>
      </c>
      <c r="L85" s="56" t="n">
        <f aca="false">IF(AND(L$77&gt;=$D$4,L$77&lt;=$E$4),$B$32*L32,0)</f>
        <v>0</v>
      </c>
      <c r="M85" s="56" t="n">
        <f aca="false">IF(AND(M$77&gt;=$D$4,M$77&lt;=$E$4),$B$32*M32,0)</f>
        <v>0</v>
      </c>
      <c r="N85" s="56" t="n">
        <f aca="false">IF(AND(N$77&gt;=$D$4,N$77&lt;=$E$4),$B$32*N32,0)</f>
        <v>0</v>
      </c>
      <c r="O85" s="56" t="n">
        <f aca="false">IF(AND(O$77&gt;=$D$4,O$77&lt;=$E$4),$B$32*O32,0)</f>
        <v>0</v>
      </c>
      <c r="P85" s="56" t="n">
        <f aca="false">IF(AND(P$77&gt;=$D$4,P$77&lt;=$E$4),$B$32*P32,0)</f>
        <v>0</v>
      </c>
      <c r="Q85" s="56" t="n">
        <f aca="false">IF(AND(Q$77&gt;=$D$4,Q$77&lt;=$E$4),$B$32*Q32,0)</f>
        <v>0</v>
      </c>
      <c r="R85" s="56" t="n">
        <f aca="false">IF(AND(R$77&gt;=$D$4,R$77&lt;=$E$4),$B$32*R32,0)</f>
        <v>0</v>
      </c>
      <c r="S85" s="56" t="n">
        <f aca="false">IF(AND(S$77&gt;=$D$4,S$77&lt;=$E$4),$B$32*S32,0)</f>
        <v>0</v>
      </c>
      <c r="T85" s="56" t="n">
        <f aca="false">IF(AND(T$77&gt;=$D$4,T$77&lt;=$E$4),$B$32*T32,0)</f>
        <v>0</v>
      </c>
      <c r="U85" s="56" t="n">
        <f aca="false">IF(AND(U$77&gt;=$D$4,U$77&lt;=$E$4),$B$32*U32,0)</f>
        <v>0</v>
      </c>
      <c r="V85" s="56" t="n">
        <f aca="false">IF(AND(V$77&gt;=$D$4,V$77&lt;=$E$4),$B$32*V32,0)</f>
        <v>0</v>
      </c>
      <c r="W85" s="56" t="n">
        <f aca="false">IF(AND(W$77&gt;=$D$4,W$77&lt;=$E$4),$B$32*W32,0)</f>
        <v>0</v>
      </c>
      <c r="X85" s="56" t="n">
        <f aca="false">IF(AND(X$77&gt;=$D$4,X$77&lt;=$E$4),$B$32*X32,0)</f>
        <v>0</v>
      </c>
      <c r="Y85" s="56" t="n">
        <f aca="false">IF(AND(Y$77&gt;=$D$4,Y$77&lt;=$E$4),$B$32*Y32,0)</f>
        <v>0</v>
      </c>
      <c r="Z85" s="56" t="n">
        <f aca="false">IF(AND(Z$77&gt;=$D$4,Z$77&lt;=$E$4),$B$32*Z32,0)</f>
        <v>0</v>
      </c>
      <c r="AA85" s="57" t="n">
        <f aca="false">SUM(D85:Z85)</f>
        <v>2845.1</v>
      </c>
    </row>
    <row r="86" customFormat="false" ht="15" hidden="false" customHeight="false" outlineLevel="0" collapsed="false">
      <c r="A86" s="41" t="s">
        <v>22</v>
      </c>
      <c r="C86" s="41" t="n">
        <v>1</v>
      </c>
      <c r="D86" s="56" t="n">
        <f aca="false">IF(AND(D$77&gt;=$D$4,D$77&lt;=$E$4),$B$30*D30,0)</f>
        <v>19750</v>
      </c>
      <c r="E86" s="56" t="n">
        <f aca="false">IF(AND(E$77&gt;=$D$4,E$77&lt;=$E$4),$B$30*E30,0)</f>
        <v>19750</v>
      </c>
      <c r="F86" s="56" t="n">
        <f aca="false">IF(AND(F$77&gt;=$D$4,F$77&lt;=$E$4),$B$30*F30,0)</f>
        <v>19750</v>
      </c>
      <c r="G86" s="56" t="n">
        <f aca="false">IF(AND(G$77&gt;=$D$4,G$77&lt;=$E$4),$B$30*G30,0)</f>
        <v>19750</v>
      </c>
      <c r="H86" s="56" t="n">
        <f aca="false">IF(AND(H$77&gt;=$D$4,H$77&lt;=$E$4),$B$30*H30,0)</f>
        <v>19750</v>
      </c>
      <c r="I86" s="56" t="n">
        <f aca="false">IF(AND(I$77&gt;=$D$4,I$77&lt;=$E$4),$B$30*I30,0)</f>
        <v>0</v>
      </c>
      <c r="J86" s="56" t="n">
        <f aca="false">IF(AND(J$77&gt;=$D$4,J$77&lt;=$E$4),$B$30*J30,0)</f>
        <v>0</v>
      </c>
      <c r="K86" s="56" t="n">
        <f aca="false">IF(AND(K$77&gt;=$D$4,K$77&lt;=$E$4),$B$30*K30,0)</f>
        <v>0</v>
      </c>
      <c r="L86" s="56" t="n">
        <f aca="false">IF(AND(L$77&gt;=$D$4,L$77&lt;=$E$4),$B$30*L30,0)</f>
        <v>0</v>
      </c>
      <c r="M86" s="56" t="n">
        <f aca="false">IF(AND(M$77&gt;=$D$4,M$77&lt;=$E$4),$B$30*M30,0)</f>
        <v>0</v>
      </c>
      <c r="N86" s="56" t="n">
        <f aca="false">IF(AND(N$77&gt;=$D$4,N$77&lt;=$E$4),$B$30*N30,0)</f>
        <v>0</v>
      </c>
      <c r="O86" s="56" t="n">
        <f aca="false">IF(AND(O$77&gt;=$D$4,O$77&lt;=$E$4),$B$30*O30,0)</f>
        <v>0</v>
      </c>
      <c r="P86" s="56" t="n">
        <f aca="false">IF(AND(P$77&gt;=$D$4,P$77&lt;=$E$4),$B$30*P30,0)</f>
        <v>0</v>
      </c>
      <c r="Q86" s="56" t="n">
        <f aca="false">IF(AND(Q$77&gt;=$D$4,Q$77&lt;=$E$4),$B$30*Q30,0)</f>
        <v>0</v>
      </c>
      <c r="R86" s="56" t="n">
        <f aca="false">IF(AND(R$77&gt;=$D$4,R$77&lt;=$E$4),$B$30*R30,0)</f>
        <v>0</v>
      </c>
      <c r="S86" s="56" t="n">
        <f aca="false">IF(AND(S$77&gt;=$D$4,S$77&lt;=$E$4),$B$30*S30,0)</f>
        <v>0</v>
      </c>
      <c r="T86" s="56" t="n">
        <f aca="false">IF(AND(T$77&gt;=$D$4,T$77&lt;=$E$4),$B$30*T30,0)</f>
        <v>0</v>
      </c>
      <c r="U86" s="56" t="n">
        <f aca="false">IF(AND(U$77&gt;=$D$4,U$77&lt;=$E$4),$B$30*U30,0)</f>
        <v>0</v>
      </c>
      <c r="V86" s="56" t="n">
        <f aca="false">IF(AND(V$77&gt;=$D$4,V$77&lt;=$E$4),$B$30*V30,0)</f>
        <v>0</v>
      </c>
      <c r="W86" s="56" t="n">
        <f aca="false">IF(AND(W$77&gt;=$D$4,W$77&lt;=$E$4),$B$30*W30,0)</f>
        <v>0</v>
      </c>
      <c r="X86" s="56" t="n">
        <f aca="false">IF(AND(X$77&gt;=$D$4,X$77&lt;=$E$4),$B$30*X30,0)</f>
        <v>0</v>
      </c>
      <c r="Y86" s="56" t="n">
        <f aca="false">IF(AND(Y$77&gt;=$D$4,Y$77&lt;=$E$4),$B$30*Y30,0)</f>
        <v>0</v>
      </c>
      <c r="Z86" s="56" t="n">
        <f aca="false">IF(AND(Z$77&gt;=$D$4,Z$77&lt;=$E$4),$B$30*Z30,0)</f>
        <v>0</v>
      </c>
      <c r="AA86" s="57" t="n">
        <f aca="false">SUM(D86:Z86)</f>
        <v>98750</v>
      </c>
    </row>
    <row r="87" customFormat="false" ht="15" hidden="false" customHeight="false" outlineLevel="0" collapsed="false">
      <c r="A87" s="41" t="s">
        <v>24</v>
      </c>
      <c r="C87" s="41" t="n">
        <v>2</v>
      </c>
      <c r="D87" s="56" t="n">
        <f aca="false">IF(AND(D$77&gt;=$D$5,D$77&lt;=$E$5),$B$24*D24,0)</f>
        <v>0</v>
      </c>
      <c r="E87" s="56" t="n">
        <f aca="false">IF(AND(E$77&gt;=$D$5,E$77&lt;=$E$5),$B$24*E24,0)</f>
        <v>0</v>
      </c>
      <c r="F87" s="56" t="n">
        <f aca="false">IF(AND(F$77&gt;=$D$5,F$77&lt;=$E$5),$B$24*F24,0)</f>
        <v>0</v>
      </c>
      <c r="G87" s="56" t="n">
        <f aca="false">IF(AND(G$77&gt;=$D$5,G$77&lt;=$E$5),$B$24*G24,0)</f>
        <v>0</v>
      </c>
      <c r="H87" s="56" t="n">
        <f aca="false">IF(AND(H$77&gt;=$D$5,H$77&lt;=$E$5),$B$24*H24,0)</f>
        <v>0</v>
      </c>
      <c r="I87" s="56" t="n">
        <f aca="false">IF(AND(I$77&gt;=$D$5,I$77&lt;=$E$5),$B$24*I24,0)</f>
        <v>55400</v>
      </c>
      <c r="J87" s="56" t="n">
        <f aca="false">IF(AND(J$77&gt;=$D$5,J$77&lt;=$E$5),$B$24*J24,0)</f>
        <v>55400</v>
      </c>
      <c r="K87" s="56" t="n">
        <f aca="false">IF(AND(K$77&gt;=$D$5,K$77&lt;=$E$5),$B$24*K24,0)</f>
        <v>55400</v>
      </c>
      <c r="L87" s="56" t="n">
        <f aca="false">IF(AND(L$77&gt;=$D$5,L$77&lt;=$E$5),$B$24*L24,0)</f>
        <v>55400</v>
      </c>
      <c r="M87" s="56" t="n">
        <f aca="false">IF(AND(M$77&gt;=$D$5,M$77&lt;=$E$5),$B$24*M24,0)</f>
        <v>55400</v>
      </c>
      <c r="N87" s="56" t="n">
        <f aca="false">IF(AND(N$77&gt;=$D$5,N$77&lt;=$E$5),$B$24*N24,0)</f>
        <v>55400</v>
      </c>
      <c r="O87" s="56" t="n">
        <f aca="false">IF(AND(O$77&gt;=$D$5,O$77&lt;=$E$5),$B$24*O24,0)</f>
        <v>0</v>
      </c>
      <c r="P87" s="56" t="n">
        <f aca="false">IF(AND(P$77&gt;=$D$5,P$77&lt;=$E$5),$B$24*P24,0)</f>
        <v>0</v>
      </c>
      <c r="Q87" s="56" t="n">
        <f aca="false">IF(AND(Q$77&gt;=$D$5,Q$77&lt;=$E$5),$B$24*Q24,0)</f>
        <v>0</v>
      </c>
      <c r="R87" s="56" t="n">
        <f aca="false">IF(AND(R$77&gt;=$D$5,R$77&lt;=$E$5),$B$24*R24,0)</f>
        <v>0</v>
      </c>
      <c r="S87" s="56" t="n">
        <f aca="false">IF(AND(S$77&gt;=$D$5,S$77&lt;=$E$5),$B$24*S24,0)</f>
        <v>0</v>
      </c>
      <c r="T87" s="56" t="n">
        <f aca="false">IF(AND(T$77&gt;=$D$5,T$77&lt;=$E$5),$B$24*T24,0)</f>
        <v>0</v>
      </c>
      <c r="U87" s="56" t="n">
        <f aca="false">IF(AND(U$77&gt;=$D$5,U$77&lt;=$E$5),$B$24*U24,0)</f>
        <v>0</v>
      </c>
      <c r="V87" s="56" t="n">
        <f aca="false">IF(AND(V$77&gt;=$D$5,V$77&lt;=$E$5),$B$24*V24,0)</f>
        <v>0</v>
      </c>
      <c r="W87" s="56" t="n">
        <f aca="false">IF(AND(W$77&gt;=$D$5,W$77&lt;=$E$5),$B$24*W24,0)</f>
        <v>0</v>
      </c>
      <c r="X87" s="56" t="n">
        <f aca="false">IF(AND(X$77&gt;=$D$5,X$77&lt;=$E$5),$B$24*X24,0)</f>
        <v>0</v>
      </c>
      <c r="Y87" s="56" t="n">
        <f aca="false">IF(AND(Y$77&gt;=$D$5,Y$77&lt;=$E$5),$B$24*Y24,0)</f>
        <v>0</v>
      </c>
      <c r="Z87" s="56" t="n">
        <f aca="false">IF(AND(Z$77&gt;=$D$5,Z$77&lt;=$E$5),$B$24*Z24,0)</f>
        <v>0</v>
      </c>
      <c r="AA87" s="57" t="n">
        <f aca="false">SUM(D87:Z87)</f>
        <v>332400</v>
      </c>
    </row>
    <row r="88" customFormat="false" ht="15" hidden="false" customHeight="false" outlineLevel="0" collapsed="false">
      <c r="A88" s="41" t="s">
        <v>25</v>
      </c>
      <c r="C88" s="41" t="n">
        <v>2</v>
      </c>
      <c r="D88" s="56" t="n">
        <f aca="false">IF(AND(D$77&gt;=$D$5,D$77&lt;=$E$5),$B$25*D25,0)</f>
        <v>0</v>
      </c>
      <c r="E88" s="56" t="n">
        <f aca="false">IF(AND(E$77&gt;=$D$5,E$77&lt;=$E$5),$B$25*E25,0)</f>
        <v>0</v>
      </c>
      <c r="F88" s="56" t="n">
        <f aca="false">IF(AND(F$77&gt;=$D$5,F$77&lt;=$E$5),$B$25*F25,0)</f>
        <v>0</v>
      </c>
      <c r="G88" s="56" t="n">
        <f aca="false">IF(AND(G$77&gt;=$D$5,G$77&lt;=$E$5),$B$25*G25,0)</f>
        <v>0</v>
      </c>
      <c r="H88" s="56" t="n">
        <f aca="false">IF(AND(H$77&gt;=$D$5,H$77&lt;=$E$5),$B$25*H25,0)</f>
        <v>0</v>
      </c>
      <c r="I88" s="56" t="n">
        <f aca="false">IF(AND(I$77&gt;=$D$5,I$77&lt;=$E$5),$B$25*I25,0)</f>
        <v>18860</v>
      </c>
      <c r="J88" s="56" t="n">
        <f aca="false">IF(AND(J$77&gt;=$D$5,J$77&lt;=$E$5),$B$25*J25,0)</f>
        <v>18860</v>
      </c>
      <c r="K88" s="56" t="n">
        <f aca="false">IF(AND(K$77&gt;=$D$5,K$77&lt;=$E$5),$B$25*K25,0)</f>
        <v>18860</v>
      </c>
      <c r="L88" s="56" t="n">
        <f aca="false">IF(AND(L$77&gt;=$D$5,L$77&lt;=$E$5),$B$25*L25,0)</f>
        <v>18860</v>
      </c>
      <c r="M88" s="56" t="n">
        <f aca="false">IF(AND(M$77&gt;=$D$5,M$77&lt;=$E$5),$B$25*M25,0)</f>
        <v>18860</v>
      </c>
      <c r="N88" s="56" t="n">
        <f aca="false">IF(AND(N$77&gt;=$D$5,N$77&lt;=$E$5),$B$25*N25,0)</f>
        <v>18860</v>
      </c>
      <c r="O88" s="56" t="n">
        <f aca="false">IF(AND(O$77&gt;=$D$5,O$77&lt;=$E$5),$B$25*O25,0)</f>
        <v>0</v>
      </c>
      <c r="P88" s="56" t="n">
        <f aca="false">IF(AND(P$77&gt;=$D$5,P$77&lt;=$E$5),$B$25*P25,0)</f>
        <v>0</v>
      </c>
      <c r="Q88" s="56" t="n">
        <f aca="false">IF(AND(Q$77&gt;=$D$5,Q$77&lt;=$E$5),$B$25*Q25,0)</f>
        <v>0</v>
      </c>
      <c r="R88" s="56" t="n">
        <f aca="false">IF(AND(R$77&gt;=$D$5,R$77&lt;=$E$5),$B$25*R25,0)</f>
        <v>0</v>
      </c>
      <c r="S88" s="56" t="n">
        <f aca="false">IF(AND(S$77&gt;=$D$5,S$77&lt;=$E$5),$B$25*S25,0)</f>
        <v>0</v>
      </c>
      <c r="T88" s="56" t="n">
        <f aca="false">IF(AND(T$77&gt;=$D$5,T$77&lt;=$E$5),$B$25*T25,0)</f>
        <v>0</v>
      </c>
      <c r="U88" s="56" t="n">
        <f aca="false">IF(AND(U$77&gt;=$D$5,U$77&lt;=$E$5),$B$25*U25,0)</f>
        <v>0</v>
      </c>
      <c r="V88" s="56" t="n">
        <f aca="false">IF(AND(V$77&gt;=$D$5,V$77&lt;=$E$5),$B$25*V25,0)</f>
        <v>0</v>
      </c>
      <c r="W88" s="56" t="n">
        <f aca="false">IF(AND(W$77&gt;=$D$5,W$77&lt;=$E$5),$B$25*W25,0)</f>
        <v>0</v>
      </c>
      <c r="X88" s="56" t="n">
        <f aca="false">IF(AND(X$77&gt;=$D$5,X$77&lt;=$E$5),$B$25*X25,0)</f>
        <v>0</v>
      </c>
      <c r="Y88" s="56" t="n">
        <f aca="false">IF(AND(Y$77&gt;=$D$5,Y$77&lt;=$E$5),$B$25*Y25,0)</f>
        <v>0</v>
      </c>
      <c r="Z88" s="56" t="n">
        <f aca="false">IF(AND(Z$77&gt;=$D$5,Z$77&lt;=$E$5),$B$25*Z25,0)</f>
        <v>0</v>
      </c>
      <c r="AA88" s="57" t="n">
        <f aca="false">SUM(D88:Z88)</f>
        <v>113160</v>
      </c>
    </row>
    <row r="89" customFormat="false" ht="15" hidden="false" customHeight="false" outlineLevel="0" collapsed="false">
      <c r="A89" s="41" t="s">
        <v>26</v>
      </c>
      <c r="C89" s="41" t="n">
        <v>2</v>
      </c>
      <c r="D89" s="56" t="n">
        <f aca="false">IF(AND(D$77&gt;=$D$5,D$77&lt;=$E$5),$B$26*D26,0)</f>
        <v>0</v>
      </c>
      <c r="E89" s="56" t="n">
        <f aca="false">IF(AND(E$77&gt;=$D$5,E$77&lt;=$E$5),$B$26*E26,0)</f>
        <v>0</v>
      </c>
      <c r="F89" s="56" t="n">
        <f aca="false">IF(AND(F$77&gt;=$D$5,F$77&lt;=$E$5),$B$26*F26,0)</f>
        <v>0</v>
      </c>
      <c r="G89" s="56" t="n">
        <f aca="false">IF(AND(G$77&gt;=$D$5,G$77&lt;=$E$5),$B$26*G26,0)</f>
        <v>0</v>
      </c>
      <c r="H89" s="56" t="n">
        <f aca="false">IF(AND(H$77&gt;=$D$5,H$77&lt;=$E$5),$B$26*H26,0)</f>
        <v>0</v>
      </c>
      <c r="I89" s="56" t="n">
        <f aca="false">IF(AND(I$77&gt;=$D$5,I$77&lt;=$E$5),$B$26*I26,0)</f>
        <v>20332.5</v>
      </c>
      <c r="J89" s="56" t="n">
        <f aca="false">IF(AND(J$77&gt;=$D$5,J$77&lt;=$E$5),$B$26*J26,0)</f>
        <v>20332.5</v>
      </c>
      <c r="K89" s="56" t="n">
        <f aca="false">IF(AND(K$77&gt;=$D$5,K$77&lt;=$E$5),$B$26*K26,0)</f>
        <v>20332.5</v>
      </c>
      <c r="L89" s="56" t="n">
        <f aca="false">IF(AND(L$77&gt;=$D$5,L$77&lt;=$E$5),$B$26*L26,0)</f>
        <v>20332.5</v>
      </c>
      <c r="M89" s="56" t="n">
        <f aca="false">IF(AND(M$77&gt;=$D$5,M$77&lt;=$E$5),$B$26*M26,0)</f>
        <v>20332.5</v>
      </c>
      <c r="N89" s="56" t="n">
        <f aca="false">IF(AND(N$77&gt;=$D$5,N$77&lt;=$E$5),$B$26*N26,0)</f>
        <v>20332.5</v>
      </c>
      <c r="O89" s="56" t="n">
        <f aca="false">IF(AND(O$77&gt;=$D$5,O$77&lt;=$E$5),$B$26*O26,0)</f>
        <v>0</v>
      </c>
      <c r="P89" s="56" t="n">
        <f aca="false">IF(AND(P$77&gt;=$D$5,P$77&lt;=$E$5),$B$26*P26,0)</f>
        <v>0</v>
      </c>
      <c r="Q89" s="56" t="n">
        <f aca="false">IF(AND(Q$77&gt;=$D$5,Q$77&lt;=$E$5),$B$26*Q26,0)</f>
        <v>0</v>
      </c>
      <c r="R89" s="56" t="n">
        <f aca="false">IF(AND(R$77&gt;=$D$5,R$77&lt;=$E$5),$B$26*R26,0)</f>
        <v>0</v>
      </c>
      <c r="S89" s="56" t="n">
        <f aca="false">IF(AND(S$77&gt;=$D$5,S$77&lt;=$E$5),$B$26*S26,0)</f>
        <v>0</v>
      </c>
      <c r="T89" s="56" t="n">
        <f aca="false">IF(AND(T$77&gt;=$D$5,T$77&lt;=$E$5),$B$26*T26,0)</f>
        <v>0</v>
      </c>
      <c r="U89" s="56" t="n">
        <f aca="false">IF(AND(U$77&gt;=$D$5,U$77&lt;=$E$5),$B$26*U26,0)</f>
        <v>0</v>
      </c>
      <c r="V89" s="56" t="n">
        <f aca="false">IF(AND(V$77&gt;=$D$5,V$77&lt;=$E$5),$B$26*V26,0)</f>
        <v>0</v>
      </c>
      <c r="W89" s="56" t="n">
        <f aca="false">IF(AND(W$77&gt;=$D$5,W$77&lt;=$E$5),$B$26*W26,0)</f>
        <v>0</v>
      </c>
      <c r="X89" s="56" t="n">
        <f aca="false">IF(AND(X$77&gt;=$D$5,X$77&lt;=$E$5),$B$26*X26,0)</f>
        <v>0</v>
      </c>
      <c r="Y89" s="56" t="n">
        <f aca="false">IF(AND(Y$77&gt;=$D$5,Y$77&lt;=$E$5),$B$26*Y26,0)</f>
        <v>0</v>
      </c>
      <c r="Z89" s="56" t="n">
        <f aca="false">IF(AND(Z$77&gt;=$D$5,Z$77&lt;=$E$5),$B$26*Z26,0)</f>
        <v>0</v>
      </c>
      <c r="AA89" s="57" t="n">
        <f aca="false">SUM(D89:Z89)</f>
        <v>121995</v>
      </c>
    </row>
    <row r="90" customFormat="false" ht="15" hidden="false" customHeight="false" outlineLevel="0" collapsed="false">
      <c r="A90" s="41" t="s">
        <v>27</v>
      </c>
      <c r="C90" s="41" t="n">
        <v>2</v>
      </c>
      <c r="D90" s="56" t="n">
        <f aca="false">IF(AND(D$77&gt;=$D$5,D$77&lt;=$E$5),$B$27*D27,0)</f>
        <v>0</v>
      </c>
      <c r="E90" s="56" t="n">
        <f aca="false">IF(AND(E$77&gt;=$D$5,E$77&lt;=$E$5),$B$27*E27,0)</f>
        <v>0</v>
      </c>
      <c r="F90" s="56" t="n">
        <f aca="false">IF(AND(F$77&gt;=$D$5,F$77&lt;=$E$5),$B$27*F27,0)</f>
        <v>0</v>
      </c>
      <c r="G90" s="56" t="n">
        <f aca="false">IF(AND(G$77&gt;=$D$5,G$77&lt;=$E$5),$B$27*G27,0)</f>
        <v>0</v>
      </c>
      <c r="H90" s="56" t="n">
        <f aca="false">IF(AND(H$77&gt;=$D$5,H$77&lt;=$E$5),$B$27*H27,0)</f>
        <v>0</v>
      </c>
      <c r="I90" s="56" t="n">
        <f aca="false">IF(AND(I$77&gt;=$D$5,I$77&lt;=$E$5),$B$27*I27,0)</f>
        <v>20625</v>
      </c>
      <c r="J90" s="56" t="n">
        <f aca="false">IF(AND(J$77&gt;=$D$5,J$77&lt;=$E$5),$B$27*J27,0)</f>
        <v>20625</v>
      </c>
      <c r="K90" s="56" t="n">
        <f aca="false">IF(AND(K$77&gt;=$D$5,K$77&lt;=$E$5),$B$27*K27,0)</f>
        <v>20625</v>
      </c>
      <c r="L90" s="56" t="n">
        <f aca="false">IF(AND(L$77&gt;=$D$5,L$77&lt;=$E$5),$B$27*L27,0)</f>
        <v>20625</v>
      </c>
      <c r="M90" s="56" t="n">
        <f aca="false">IF(AND(M$77&gt;=$D$5,M$77&lt;=$E$5),$B$27*M27,0)</f>
        <v>20625</v>
      </c>
      <c r="N90" s="56" t="n">
        <f aca="false">IF(AND(N$77&gt;=$D$5,N$77&lt;=$E$5),$B$27*N27,0)</f>
        <v>20625</v>
      </c>
      <c r="O90" s="56" t="n">
        <f aca="false">IF(AND(O$77&gt;=$D$5,O$77&lt;=$E$5),$B$27*O27,0)</f>
        <v>0</v>
      </c>
      <c r="P90" s="56" t="n">
        <f aca="false">IF(AND(P$77&gt;=$D$5,P$77&lt;=$E$5),$B$27*P27,0)</f>
        <v>0</v>
      </c>
      <c r="Q90" s="56" t="n">
        <f aca="false">IF(AND(Q$77&gt;=$D$5,Q$77&lt;=$E$5),$B$27*Q27,0)</f>
        <v>0</v>
      </c>
      <c r="R90" s="56" t="n">
        <f aca="false">IF(AND(R$77&gt;=$D$5,R$77&lt;=$E$5),$B$27*R27,0)</f>
        <v>0</v>
      </c>
      <c r="S90" s="56" t="n">
        <f aca="false">IF(AND(S$77&gt;=$D$5,S$77&lt;=$E$5),$B$27*S27,0)</f>
        <v>0</v>
      </c>
      <c r="T90" s="56" t="n">
        <f aca="false">IF(AND(T$77&gt;=$D$5,T$77&lt;=$E$5),$B$27*T27,0)</f>
        <v>0</v>
      </c>
      <c r="U90" s="56" t="n">
        <f aca="false">IF(AND(U$77&gt;=$D$5,U$77&lt;=$E$5),$B$27*U27,0)</f>
        <v>0</v>
      </c>
      <c r="V90" s="56" t="n">
        <f aca="false">IF(AND(V$77&gt;=$D$5,V$77&lt;=$E$5),$B$27*V27,0)</f>
        <v>0</v>
      </c>
      <c r="W90" s="56" t="n">
        <f aca="false">IF(AND(W$77&gt;=$D$5,W$77&lt;=$E$5),$B$27*W27,0)</f>
        <v>0</v>
      </c>
      <c r="X90" s="56" t="n">
        <f aca="false">IF(AND(X$77&gt;=$D$5,X$77&lt;=$E$5),$B$27*X27,0)</f>
        <v>0</v>
      </c>
      <c r="Y90" s="56" t="n">
        <f aca="false">IF(AND(Y$77&gt;=$D$5,Y$77&lt;=$E$5),$B$27*Y27,0)</f>
        <v>0</v>
      </c>
      <c r="Z90" s="56" t="n">
        <f aca="false">IF(AND(Z$77&gt;=$D$5,Z$77&lt;=$E$5),$B$27*Z27,0)</f>
        <v>0</v>
      </c>
      <c r="AA90" s="57" t="n">
        <f aca="false">SUM(D90:Z90)</f>
        <v>123750</v>
      </c>
    </row>
    <row r="91" customFormat="false" ht="15" hidden="false" customHeight="false" outlineLevel="0" collapsed="false">
      <c r="A91" s="41" t="s">
        <v>28</v>
      </c>
      <c r="C91" s="41" t="n">
        <v>2</v>
      </c>
      <c r="D91" s="56" t="n">
        <f aca="false">IF(AND(D$77&gt;=$D$5,D$77&lt;=$E$5),$B$28*D28,0)</f>
        <v>0</v>
      </c>
      <c r="E91" s="56" t="n">
        <f aca="false">IF(AND(E$77&gt;=$D$5,E$77&lt;=$E$5),$B$28*E28,0)</f>
        <v>0</v>
      </c>
      <c r="F91" s="56" t="n">
        <f aca="false">IF(AND(F$77&gt;=$D$5,F$77&lt;=$E$5),$B$28*F28,0)</f>
        <v>0</v>
      </c>
      <c r="G91" s="56" t="n">
        <f aca="false">IF(AND(G$77&gt;=$D$5,G$77&lt;=$E$5),$B$28*G28,0)</f>
        <v>0</v>
      </c>
      <c r="H91" s="56" t="n">
        <f aca="false">IF(AND(H$77&gt;=$D$5,H$77&lt;=$E$5),$B$28*H28,0)</f>
        <v>0</v>
      </c>
      <c r="I91" s="56" t="n">
        <f aca="false">IF(AND(I$77&gt;=$D$5,I$77&lt;=$E$5),$B$28*I28,0)</f>
        <v>7440</v>
      </c>
      <c r="J91" s="56" t="n">
        <f aca="false">IF(AND(J$77&gt;=$D$5,J$77&lt;=$E$5),$B$28*J28,0)</f>
        <v>7440</v>
      </c>
      <c r="K91" s="56" t="n">
        <f aca="false">IF(AND(K$77&gt;=$D$5,K$77&lt;=$E$5),$B$28*K28,0)</f>
        <v>7440</v>
      </c>
      <c r="L91" s="56" t="n">
        <f aca="false">IF(AND(L$77&gt;=$D$5,L$77&lt;=$E$5),$B$28*L28,0)</f>
        <v>7440</v>
      </c>
      <c r="M91" s="56" t="n">
        <f aca="false">IF(AND(M$77&gt;=$D$5,M$77&lt;=$E$5),$B$28*M28,0)</f>
        <v>7440</v>
      </c>
      <c r="N91" s="56" t="n">
        <f aca="false">IF(AND(N$77&gt;=$D$5,N$77&lt;=$E$5),$B$28*N28,0)</f>
        <v>7440</v>
      </c>
      <c r="O91" s="56" t="n">
        <f aca="false">IF(AND(O$77&gt;=$D$5,O$77&lt;=$E$5),$B$28*O28,0)</f>
        <v>0</v>
      </c>
      <c r="P91" s="56" t="n">
        <f aca="false">IF(AND(P$77&gt;=$D$5,P$77&lt;=$E$5),$B$28*P28,0)</f>
        <v>0</v>
      </c>
      <c r="Q91" s="56" t="n">
        <f aca="false">IF(AND(Q$77&gt;=$D$5,Q$77&lt;=$E$5),$B$28*Q28,0)</f>
        <v>0</v>
      </c>
      <c r="R91" s="56" t="n">
        <f aca="false">IF(AND(R$77&gt;=$D$5,R$77&lt;=$E$5),$B$28*R28,0)</f>
        <v>0</v>
      </c>
      <c r="S91" s="56" t="n">
        <f aca="false">IF(AND(S$77&gt;=$D$5,S$77&lt;=$E$5),$B$28*S28,0)</f>
        <v>0</v>
      </c>
      <c r="T91" s="56" t="n">
        <f aca="false">IF(AND(T$77&gt;=$D$5,T$77&lt;=$E$5),$B$28*T28,0)</f>
        <v>0</v>
      </c>
      <c r="U91" s="56" t="n">
        <f aca="false">IF(AND(U$77&gt;=$D$5,U$77&lt;=$E$5),$B$28*U28,0)</f>
        <v>0</v>
      </c>
      <c r="V91" s="56" t="n">
        <f aca="false">IF(AND(V$77&gt;=$D$5,V$77&lt;=$E$5),$B$28*V28,0)</f>
        <v>0</v>
      </c>
      <c r="W91" s="56" t="n">
        <f aca="false">IF(AND(W$77&gt;=$D$5,W$77&lt;=$E$5),$B$28*W28,0)</f>
        <v>0</v>
      </c>
      <c r="X91" s="56" t="n">
        <f aca="false">IF(AND(X$77&gt;=$D$5,X$77&lt;=$E$5),$B$28*X28,0)</f>
        <v>0</v>
      </c>
      <c r="Y91" s="56" t="n">
        <f aca="false">IF(AND(Y$77&gt;=$D$5,Y$77&lt;=$E$5),$B$28*Y28,0)</f>
        <v>0</v>
      </c>
      <c r="Z91" s="56" t="n">
        <f aca="false">IF(AND(Z$77&gt;=$D$5,Z$77&lt;=$E$5),$B$28*Z28,0)</f>
        <v>0</v>
      </c>
      <c r="AA91" s="57" t="n">
        <f aca="false">SUM(D91:Z91)</f>
        <v>44640</v>
      </c>
    </row>
    <row r="92" customFormat="false" ht="15" hidden="false" customHeight="false" outlineLevel="0" collapsed="false">
      <c r="A92" s="41" t="s">
        <v>29</v>
      </c>
      <c r="C92" s="41" t="n">
        <v>2</v>
      </c>
      <c r="D92" s="56" t="n">
        <f aca="false">IF(AND(D$77&gt;=$D$5,D$77&lt;=$E$5),$B$29*D29,0)</f>
        <v>0</v>
      </c>
      <c r="E92" s="56" t="n">
        <f aca="false">IF(AND(E$77&gt;=$D$5,E$77&lt;=$E$5),$B$29*E29,0)</f>
        <v>0</v>
      </c>
      <c r="F92" s="56" t="n">
        <f aca="false">IF(AND(F$77&gt;=$D$5,F$77&lt;=$E$5),$B$29*F29,0)</f>
        <v>0</v>
      </c>
      <c r="G92" s="56" t="n">
        <f aca="false">IF(AND(G$77&gt;=$D$5,G$77&lt;=$E$5),$B$29*G29,0)</f>
        <v>0</v>
      </c>
      <c r="H92" s="56" t="n">
        <f aca="false">IF(AND(H$77&gt;=$D$5,H$77&lt;=$E$5),$B$29*H29,0)</f>
        <v>0</v>
      </c>
      <c r="I92" s="56" t="n">
        <f aca="false">IF(AND(I$77&gt;=$D$5,I$77&lt;=$E$5),$B$29*I29,0)</f>
        <v>20625</v>
      </c>
      <c r="J92" s="56" t="n">
        <f aca="false">IF(AND(J$77&gt;=$D$5,J$77&lt;=$E$5),$B$29*J29,0)</f>
        <v>20625</v>
      </c>
      <c r="K92" s="56" t="n">
        <f aca="false">IF(AND(K$77&gt;=$D$5,K$77&lt;=$E$5),$B$29*K29,0)</f>
        <v>20625</v>
      </c>
      <c r="L92" s="56" t="n">
        <f aca="false">IF(AND(L$77&gt;=$D$5,L$77&lt;=$E$5),$B$29*L29,0)</f>
        <v>20625</v>
      </c>
      <c r="M92" s="56" t="n">
        <f aca="false">IF(AND(M$77&gt;=$D$5,M$77&lt;=$E$5),$B$29*M29,0)</f>
        <v>20625</v>
      </c>
      <c r="N92" s="56" t="n">
        <f aca="false">IF(AND(N$77&gt;=$D$5,N$77&lt;=$E$5),$B$29*N29,0)</f>
        <v>20625</v>
      </c>
      <c r="O92" s="56" t="n">
        <f aca="false">IF(AND(O$77&gt;=$D$5,O$77&lt;=$E$5),$B$29*O29,0)</f>
        <v>0</v>
      </c>
      <c r="P92" s="56" t="n">
        <f aca="false">IF(AND(P$77&gt;=$D$5,P$77&lt;=$E$5),$B$29*P29,0)</f>
        <v>0</v>
      </c>
      <c r="Q92" s="56" t="n">
        <f aca="false">IF(AND(Q$77&gt;=$D$5,Q$77&lt;=$E$5),$B$29*Q29,0)</f>
        <v>0</v>
      </c>
      <c r="R92" s="56" t="n">
        <f aca="false">IF(AND(R$77&gt;=$D$5,R$77&lt;=$E$5),$B$29*R29,0)</f>
        <v>0</v>
      </c>
      <c r="S92" s="56" t="n">
        <f aca="false">IF(AND(S$77&gt;=$D$5,S$77&lt;=$E$5),$B$29*S29,0)</f>
        <v>0</v>
      </c>
      <c r="T92" s="56" t="n">
        <f aca="false">IF(AND(T$77&gt;=$D$5,T$77&lt;=$E$5),$B$29*T29,0)</f>
        <v>0</v>
      </c>
      <c r="U92" s="56" t="n">
        <f aca="false">IF(AND(U$77&gt;=$D$5,U$77&lt;=$E$5),$B$29*U29,0)</f>
        <v>0</v>
      </c>
      <c r="V92" s="56" t="n">
        <f aca="false">IF(AND(V$77&gt;=$D$5,V$77&lt;=$E$5),$B$29*V29,0)</f>
        <v>0</v>
      </c>
      <c r="W92" s="56" t="n">
        <f aca="false">IF(AND(W$77&gt;=$D$5,W$77&lt;=$E$5),$B$29*W29,0)</f>
        <v>0</v>
      </c>
      <c r="X92" s="56" t="n">
        <f aca="false">IF(AND(X$77&gt;=$D$5,X$77&lt;=$E$5),$B$29*X29,0)</f>
        <v>0</v>
      </c>
      <c r="Y92" s="56" t="n">
        <f aca="false">IF(AND(Y$77&gt;=$D$5,Y$77&lt;=$E$5),$B$29*Y29,0)</f>
        <v>0</v>
      </c>
      <c r="Z92" s="56" t="n">
        <f aca="false">IF(AND(Z$77&gt;=$D$5,Z$77&lt;=$E$5),$B$29*Z29,0)</f>
        <v>0</v>
      </c>
      <c r="AA92" s="57" t="n">
        <f aca="false">SUM(D92:Z92)</f>
        <v>123750</v>
      </c>
    </row>
    <row r="93" customFormat="false" ht="15" hidden="false" customHeight="false" outlineLevel="0" collapsed="false">
      <c r="A93" s="41" t="s">
        <v>30</v>
      </c>
      <c r="C93" s="41" t="n">
        <v>2</v>
      </c>
      <c r="D93" s="56" t="n">
        <f aca="false">IF(AND(D$77&gt;=$D$5,D$77&lt;=$E$5),$B$31*D31,0)</f>
        <v>0</v>
      </c>
      <c r="E93" s="56" t="n">
        <f aca="false">IF(AND(E$77&gt;=$D$5,E$77&lt;=$E$5),$B$31*E31,0)</f>
        <v>0</v>
      </c>
      <c r="F93" s="56" t="n">
        <f aca="false">IF(AND(F$77&gt;=$D$5,F$77&lt;=$E$5),$B$31*F31,0)</f>
        <v>0</v>
      </c>
      <c r="G93" s="56" t="n">
        <f aca="false">IF(AND(G$77&gt;=$D$5,G$77&lt;=$E$5),$B$31*G31,0)</f>
        <v>0</v>
      </c>
      <c r="H93" s="56" t="n">
        <f aca="false">IF(AND(H$77&gt;=$D$5,H$77&lt;=$E$5),$B$31*H31,0)</f>
        <v>0</v>
      </c>
      <c r="I93" s="56" t="n">
        <f aca="false">IF(AND(I$77&gt;=$D$5,I$77&lt;=$E$5),$B$31*I31,0)</f>
        <v>4920</v>
      </c>
      <c r="J93" s="56" t="n">
        <f aca="false">IF(AND(J$77&gt;=$D$5,J$77&lt;=$E$5),$B$31*J31,0)</f>
        <v>4920</v>
      </c>
      <c r="K93" s="56" t="n">
        <f aca="false">IF(AND(K$77&gt;=$D$5,K$77&lt;=$E$5),$B$31*K31,0)</f>
        <v>4920</v>
      </c>
      <c r="L93" s="56" t="n">
        <f aca="false">IF(AND(L$77&gt;=$D$5,L$77&lt;=$E$5),$B$31*L31,0)</f>
        <v>4920</v>
      </c>
      <c r="M93" s="56" t="n">
        <f aca="false">IF(AND(M$77&gt;=$D$5,M$77&lt;=$E$5),$B$31*M31,0)</f>
        <v>4920</v>
      </c>
      <c r="N93" s="56" t="n">
        <f aca="false">IF(AND(N$77&gt;=$D$5,N$77&lt;=$E$5),$B$31*N31,0)</f>
        <v>4920</v>
      </c>
      <c r="O93" s="56" t="n">
        <f aca="false">IF(AND(O$77&gt;=$D$5,O$77&lt;=$E$5),$B$31*O31,0)</f>
        <v>0</v>
      </c>
      <c r="P93" s="56" t="n">
        <f aca="false">IF(AND(P$77&gt;=$D$5,P$77&lt;=$E$5),$B$31*P31,0)</f>
        <v>0</v>
      </c>
      <c r="Q93" s="56" t="n">
        <f aca="false">IF(AND(Q$77&gt;=$D$5,Q$77&lt;=$E$5),$B$31*Q31,0)</f>
        <v>0</v>
      </c>
      <c r="R93" s="56" t="n">
        <f aca="false">IF(AND(R$77&gt;=$D$5,R$77&lt;=$E$5),$B$31*R31,0)</f>
        <v>0</v>
      </c>
      <c r="S93" s="56" t="n">
        <f aca="false">IF(AND(S$77&gt;=$D$5,S$77&lt;=$E$5),$B$31*S31,0)</f>
        <v>0</v>
      </c>
      <c r="T93" s="56" t="n">
        <f aca="false">IF(AND(T$77&gt;=$D$5,T$77&lt;=$E$5),$B$31*T31,0)</f>
        <v>0</v>
      </c>
      <c r="U93" s="56" t="n">
        <f aca="false">IF(AND(U$77&gt;=$D$5,U$77&lt;=$E$5),$B$31*U31,0)</f>
        <v>0</v>
      </c>
      <c r="V93" s="56" t="n">
        <f aca="false">IF(AND(V$77&gt;=$D$5,V$77&lt;=$E$5),$B$31*V31,0)</f>
        <v>0</v>
      </c>
      <c r="W93" s="56" t="n">
        <f aca="false">IF(AND(W$77&gt;=$D$5,W$77&lt;=$E$5),$B$31*W31,0)</f>
        <v>0</v>
      </c>
      <c r="X93" s="56" t="n">
        <f aca="false">IF(AND(X$77&gt;=$D$5,X$77&lt;=$E$5),$B$31*X31,0)</f>
        <v>0</v>
      </c>
      <c r="Y93" s="56" t="n">
        <f aca="false">IF(AND(Y$77&gt;=$D$5,Y$77&lt;=$E$5),$B$31*Y31,0)</f>
        <v>0</v>
      </c>
      <c r="Z93" s="56" t="n">
        <f aca="false">IF(AND(Z$77&gt;=$D$5,Z$77&lt;=$E$5),$B$31*Z31,0)</f>
        <v>0</v>
      </c>
      <c r="AA93" s="57" t="n">
        <f aca="false">SUM(D93:Z93)</f>
        <v>29520</v>
      </c>
    </row>
    <row r="94" customFormat="false" ht="15" hidden="false" customHeight="false" outlineLevel="0" collapsed="false">
      <c r="A94" s="41" t="s">
        <v>31</v>
      </c>
      <c r="C94" s="41" t="n">
        <v>2</v>
      </c>
      <c r="D94" s="56" t="n">
        <v>0</v>
      </c>
      <c r="E94" s="56" t="n">
        <v>0</v>
      </c>
      <c r="F94" s="56" t="n">
        <v>0</v>
      </c>
      <c r="G94" s="56" t="n">
        <v>0</v>
      </c>
      <c r="H94" s="56" t="n">
        <v>0</v>
      </c>
      <c r="I94" s="56" t="n">
        <v>0</v>
      </c>
      <c r="J94" s="56" t="n">
        <v>0</v>
      </c>
      <c r="K94" s="56" t="n">
        <v>0</v>
      </c>
      <c r="L94" s="56" t="n">
        <v>0</v>
      </c>
      <c r="M94" s="56" t="n">
        <v>0</v>
      </c>
      <c r="N94" s="56" t="n">
        <v>0</v>
      </c>
      <c r="O94" s="56" t="n">
        <v>0</v>
      </c>
      <c r="P94" s="56" t="n">
        <v>0</v>
      </c>
      <c r="Q94" s="56" t="n">
        <v>0</v>
      </c>
      <c r="R94" s="56" t="n">
        <v>0</v>
      </c>
      <c r="S94" s="56" t="n">
        <v>0</v>
      </c>
      <c r="T94" s="56" t="n">
        <v>0</v>
      </c>
      <c r="U94" s="56" t="n">
        <v>0</v>
      </c>
      <c r="V94" s="56" t="n">
        <v>0</v>
      </c>
      <c r="W94" s="56" t="n">
        <v>0</v>
      </c>
      <c r="X94" s="56" t="n">
        <v>0</v>
      </c>
      <c r="Y94" s="56" t="n">
        <v>0</v>
      </c>
      <c r="Z94" s="56" t="n">
        <v>0</v>
      </c>
      <c r="AA94" s="57" t="n">
        <f aca="false">SUM(D94:Z94)</f>
        <v>0</v>
      </c>
    </row>
    <row r="95" customFormat="false" ht="15" hidden="false" customHeight="false" outlineLevel="0" collapsed="false">
      <c r="A95" s="41" t="s">
        <v>32</v>
      </c>
      <c r="C95" s="41" t="n">
        <v>2</v>
      </c>
      <c r="D95" s="56" t="n">
        <f aca="false">IF(AND(D$77&gt;=$D$5,D$77&lt;=$E$5),$B$32*D32,0)</f>
        <v>0</v>
      </c>
      <c r="E95" s="56" t="n">
        <f aca="false">IF(AND(E$77&gt;=$D$5,E$77&lt;=$E$5),$B$32*E32,0)</f>
        <v>0</v>
      </c>
      <c r="F95" s="56" t="n">
        <f aca="false">IF(AND(F$77&gt;=$D$5,F$77&lt;=$E$5),$B$32*F32,0)</f>
        <v>0</v>
      </c>
      <c r="G95" s="56" t="n">
        <f aca="false">IF(AND(G$77&gt;=$D$5,G$77&lt;=$E$5),$B$32*G32,0)</f>
        <v>0</v>
      </c>
      <c r="H95" s="56" t="n">
        <f aca="false">IF(AND(H$77&gt;=$D$5,H$77&lt;=$E$5),$B$32*H32,0)</f>
        <v>0</v>
      </c>
      <c r="I95" s="56" t="n">
        <f aca="false">IF(AND(I$77&gt;=$D$5,I$77&lt;=$E$5),$B$32*I32,0)</f>
        <v>569.02</v>
      </c>
      <c r="J95" s="56" t="n">
        <f aca="false">IF(AND(J$77&gt;=$D$5,J$77&lt;=$E$5),$B$32*J32,0)</f>
        <v>569.02</v>
      </c>
      <c r="K95" s="56" t="n">
        <f aca="false">IF(AND(K$77&gt;=$D$5,K$77&lt;=$E$5),$B$32*K32,0)</f>
        <v>569.02</v>
      </c>
      <c r="L95" s="56" t="n">
        <f aca="false">IF(AND(L$77&gt;=$D$5,L$77&lt;=$E$5),$B$32*L32,0)</f>
        <v>569.02</v>
      </c>
      <c r="M95" s="56" t="n">
        <f aca="false">IF(AND(M$77&gt;=$D$5,M$77&lt;=$E$5),$B$32*M32,0)</f>
        <v>569.02</v>
      </c>
      <c r="N95" s="56" t="n">
        <f aca="false">IF(AND(N$77&gt;=$D$5,N$77&lt;=$E$5),$B$32*N32,0)</f>
        <v>569.02</v>
      </c>
      <c r="O95" s="56" t="n">
        <f aca="false">IF(AND(O$77&gt;=$D$5,O$77&lt;=$E$5),$B$32*O32,0)</f>
        <v>0</v>
      </c>
      <c r="P95" s="56" t="n">
        <f aca="false">IF(AND(P$77&gt;=$D$5,P$77&lt;=$E$5),$B$32*P32,0)</f>
        <v>0</v>
      </c>
      <c r="Q95" s="56" t="n">
        <f aca="false">IF(AND(Q$77&gt;=$D$5,Q$77&lt;=$E$5),$B$32*Q32,0)</f>
        <v>0</v>
      </c>
      <c r="R95" s="56" t="n">
        <f aca="false">IF(AND(R$77&gt;=$D$5,R$77&lt;=$E$5),$B$32*R32,0)</f>
        <v>0</v>
      </c>
      <c r="S95" s="56" t="n">
        <f aca="false">IF(AND(S$77&gt;=$D$5,S$77&lt;=$E$5),$B$32*S32,0)</f>
        <v>0</v>
      </c>
      <c r="T95" s="56" t="n">
        <f aca="false">IF(AND(T$77&gt;=$D$5,T$77&lt;=$E$5),$B$32*T32,0)</f>
        <v>0</v>
      </c>
      <c r="U95" s="56" t="n">
        <f aca="false">IF(AND(U$77&gt;=$D$5,U$77&lt;=$E$5),$B$32*U32,0)</f>
        <v>0</v>
      </c>
      <c r="V95" s="56" t="n">
        <f aca="false">IF(AND(V$77&gt;=$D$5,V$77&lt;=$E$5),$B$32*V32,0)</f>
        <v>0</v>
      </c>
      <c r="W95" s="56" t="n">
        <f aca="false">IF(AND(W$77&gt;=$D$5,W$77&lt;=$E$5),$B$32*W32,0)</f>
        <v>0</v>
      </c>
      <c r="X95" s="56" t="n">
        <f aca="false">IF(AND(X$77&gt;=$D$5,X$77&lt;=$E$5),$B$32*X32,0)</f>
        <v>0</v>
      </c>
      <c r="Y95" s="56" t="n">
        <f aca="false">IF(AND(Y$77&gt;=$D$5,Y$77&lt;=$E$5),$B$32*Y32,0)</f>
        <v>0</v>
      </c>
      <c r="Z95" s="56" t="n">
        <f aca="false">IF(AND(Z$77&gt;=$D$5,Z$77&lt;=$E$5),$B$32*Z32,0)</f>
        <v>0</v>
      </c>
      <c r="AA95" s="57" t="n">
        <f aca="false">SUM(D95:Z95)</f>
        <v>3414.12</v>
      </c>
    </row>
    <row r="96" customFormat="false" ht="15" hidden="false" customHeight="false" outlineLevel="0" collapsed="false">
      <c r="A96" s="41" t="s">
        <v>33</v>
      </c>
      <c r="C96" s="41" t="n">
        <v>2</v>
      </c>
      <c r="D96" s="56" t="n">
        <f aca="false">IF(AND(D$77&gt;=$D$5,D$77&lt;=$E$5),$B$30*D30,0)</f>
        <v>0</v>
      </c>
      <c r="E96" s="56" t="n">
        <f aca="false">IF(AND(E$77&gt;=$D$5,E$77&lt;=$E$5),$B$30*E30,0)</f>
        <v>0</v>
      </c>
      <c r="F96" s="56" t="n">
        <f aca="false">IF(AND(F$77&gt;=$D$5,F$77&lt;=$E$5),$B$30*F30,0)</f>
        <v>0</v>
      </c>
      <c r="G96" s="56" t="n">
        <f aca="false">IF(AND(G$77&gt;=$D$5,G$77&lt;=$E$5),$B$30*G30,0)</f>
        <v>0</v>
      </c>
      <c r="H96" s="56" t="n">
        <f aca="false">IF(AND(H$77&gt;=$D$5,H$77&lt;=$E$5),$B$30*H30,0)</f>
        <v>0</v>
      </c>
      <c r="I96" s="56" t="n">
        <f aca="false">IF(AND(I$77&gt;=$D$5,I$77&lt;=$E$5),$B$30*I30,0)</f>
        <v>19750</v>
      </c>
      <c r="J96" s="56" t="n">
        <f aca="false">IF(AND(J$77&gt;=$D$5,J$77&lt;=$E$5),$B$30*J30,0)</f>
        <v>19750</v>
      </c>
      <c r="K96" s="56" t="n">
        <f aca="false">IF(AND(K$77&gt;=$D$5,K$77&lt;=$E$5),$B$30*K30,0)</f>
        <v>19750</v>
      </c>
      <c r="L96" s="56" t="n">
        <f aca="false">IF(AND(L$77&gt;=$D$5,L$77&lt;=$E$5),$B$30*L30,0)</f>
        <v>19750</v>
      </c>
      <c r="M96" s="56" t="n">
        <f aca="false">IF(AND(M$77&gt;=$D$5,M$77&lt;=$E$5),$B$30*M30,0)</f>
        <v>19750</v>
      </c>
      <c r="N96" s="56" t="n">
        <f aca="false">IF(AND(N$77&gt;=$D$5,N$77&lt;=$E$5),$B$30*N30,0)</f>
        <v>19750</v>
      </c>
      <c r="O96" s="56" t="n">
        <f aca="false">IF(AND(O$77&gt;=$D$5,O$77&lt;=$E$5),$B$30*O30,0)</f>
        <v>0</v>
      </c>
      <c r="P96" s="56" t="n">
        <f aca="false">IF(AND(P$77&gt;=$D$5,P$77&lt;=$E$5),$B$30*P30,0)</f>
        <v>0</v>
      </c>
      <c r="Q96" s="56" t="n">
        <f aca="false">IF(AND(Q$77&gt;=$D$5,Q$77&lt;=$E$5),$B$30*Q30,0)</f>
        <v>0</v>
      </c>
      <c r="R96" s="56" t="n">
        <f aca="false">IF(AND(R$77&gt;=$D$5,R$77&lt;=$E$5),$B$30*R30,0)</f>
        <v>0</v>
      </c>
      <c r="S96" s="56" t="n">
        <f aca="false">IF(AND(S$77&gt;=$D$5,S$77&lt;=$E$5),$B$30*S30,0)</f>
        <v>0</v>
      </c>
      <c r="T96" s="56" t="n">
        <f aca="false">IF(AND(T$77&gt;=$D$5,T$77&lt;=$E$5),$B$30*T30,0)</f>
        <v>0</v>
      </c>
      <c r="U96" s="56" t="n">
        <f aca="false">IF(AND(U$77&gt;=$D$5,U$77&lt;=$E$5),$B$30*U30,0)</f>
        <v>0</v>
      </c>
      <c r="V96" s="56" t="n">
        <f aca="false">IF(AND(V$77&gt;=$D$5,V$77&lt;=$E$5),$B$30*V30,0)</f>
        <v>0</v>
      </c>
      <c r="W96" s="56" t="n">
        <f aca="false">IF(AND(W$77&gt;=$D$5,W$77&lt;=$E$5),$B$30*W30,0)</f>
        <v>0</v>
      </c>
      <c r="X96" s="56" t="n">
        <f aca="false">IF(AND(X$77&gt;=$D$5,X$77&lt;=$E$5),$B$30*X30,0)</f>
        <v>0</v>
      </c>
      <c r="Y96" s="56" t="n">
        <f aca="false">IF(AND(Y$77&gt;=$D$5,Y$77&lt;=$E$5),$B$30*Y30,0)</f>
        <v>0</v>
      </c>
      <c r="Z96" s="56" t="n">
        <f aca="false">IF(AND(Z$77&gt;=$D$5,Z$77&lt;=$E$5),$B$30*Z30,0)</f>
        <v>0</v>
      </c>
      <c r="AA96" s="57" t="n">
        <f aca="false">SUM(D96:Z96)</f>
        <v>118500</v>
      </c>
    </row>
    <row r="97" customFormat="false" ht="15" hidden="false" customHeight="false" outlineLevel="0" collapsed="false">
      <c r="A97" s="41" t="s">
        <v>35</v>
      </c>
      <c r="C97" s="41" t="n">
        <v>3</v>
      </c>
      <c r="D97" s="56" t="n">
        <f aca="false">IF(AND(D$77&gt;=$D$6,D$77&lt;=$E$6),$B$24*D24,0)</f>
        <v>0</v>
      </c>
      <c r="E97" s="56" t="n">
        <f aca="false">IF(AND(E$77&gt;=$D$6,E$77&lt;=$E$6),$B$24*E24,0)</f>
        <v>0</v>
      </c>
      <c r="F97" s="56" t="n">
        <f aca="false">IF(AND(F$77&gt;=$D$6,F$77&lt;=$E$6),$B$24*F24,0)</f>
        <v>0</v>
      </c>
      <c r="G97" s="56" t="n">
        <f aca="false">IF(AND(G$77&gt;=$D$6,G$77&lt;=$E$6),$B$24*G24,0)</f>
        <v>0</v>
      </c>
      <c r="H97" s="56" t="n">
        <f aca="false">IF(AND(H$77&gt;=$D$6,H$77&lt;=$E$6),$B$24*H24,0)</f>
        <v>0</v>
      </c>
      <c r="I97" s="56" t="n">
        <f aca="false">IF(AND(I$77&gt;=$D$6,I$77&lt;=$E$6),$B$24*I24,0)</f>
        <v>0</v>
      </c>
      <c r="J97" s="56" t="n">
        <f aca="false">IF(AND(J$77&gt;=$D$6,J$77&lt;=$E$6),$B$24*J24,0)</f>
        <v>0</v>
      </c>
      <c r="K97" s="56" t="n">
        <f aca="false">IF(AND(K$77&gt;=$D$6,K$77&lt;=$E$6),$B$24*K24,0)</f>
        <v>0</v>
      </c>
      <c r="L97" s="56" t="n">
        <f aca="false">IF(AND(L$77&gt;=$D$6,L$77&lt;=$E$6),$B$24*L24,0)</f>
        <v>0</v>
      </c>
      <c r="M97" s="56" t="n">
        <f aca="false">IF(AND(M$77&gt;=$D$6,M$77&lt;=$E$6),$B$24*M24,0)</f>
        <v>0</v>
      </c>
      <c r="N97" s="56" t="n">
        <f aca="false">IF(AND(N$77&gt;=$D$6,N$77&lt;=$E$6),$B$24*N24,0)</f>
        <v>0</v>
      </c>
      <c r="O97" s="56" t="n">
        <f aca="false">IF(AND(O$77&gt;=$D$6,O$77&lt;=$E$6),$B$24*O24,0)</f>
        <v>55400</v>
      </c>
      <c r="P97" s="56" t="n">
        <f aca="false">IF(AND(P$77&gt;=$D$6,P$77&lt;=$E$6),$B$24*P24,0)</f>
        <v>55400</v>
      </c>
      <c r="Q97" s="56" t="n">
        <f aca="false">IF(AND(Q$77&gt;=$D$6,Q$77&lt;=$E$6),$B$24*Q24,0)</f>
        <v>55400</v>
      </c>
      <c r="R97" s="56" t="n">
        <f aca="false">IF(AND(R$77&gt;=$D$6,R$77&lt;=$E$6),$B$24*R24,0)</f>
        <v>55400</v>
      </c>
      <c r="S97" s="56" t="n">
        <f aca="false">IF(AND(S$77&gt;=$D$6,S$77&lt;=$E$6),$B$24*S24,0)</f>
        <v>55400</v>
      </c>
      <c r="T97" s="56" t="n">
        <f aca="false">IF(AND(T$77&gt;=$D$6,T$77&lt;=$E$6),$B$24*T24,0)</f>
        <v>55400</v>
      </c>
      <c r="U97" s="56" t="n">
        <f aca="false">IF(AND(U$77&gt;=$D$6,U$77&lt;=$E$6),$B$24*U24,0)</f>
        <v>55400</v>
      </c>
      <c r="V97" s="56" t="n">
        <f aca="false">IF(AND(V$77&gt;=$D$6,V$77&lt;=$E$6),$B$24*V24,0)</f>
        <v>55400</v>
      </c>
      <c r="W97" s="56" t="n">
        <f aca="false">IF(AND(W$77&gt;=$D$6,W$77&lt;=$E$6),$B$24*W24,0)</f>
        <v>0</v>
      </c>
      <c r="X97" s="56" t="n">
        <f aca="false">IF(AND(X$77&gt;=$D$6,X$77&lt;=$E$6),$B$24*X24,0)</f>
        <v>0</v>
      </c>
      <c r="Y97" s="56" t="n">
        <f aca="false">IF(AND(Y$77&gt;=$D$6,Y$77&lt;=$E$6),$B$24*Y24,0)</f>
        <v>0</v>
      </c>
      <c r="Z97" s="56" t="n">
        <f aca="false">IF(AND(Z$77&gt;=$D$6,Z$77&lt;=$E$6),$B$24*Z24,0)</f>
        <v>0</v>
      </c>
      <c r="AA97" s="57" t="n">
        <f aca="false">SUM(D97:Z97)</f>
        <v>443200</v>
      </c>
    </row>
    <row r="98" customFormat="false" ht="15" hidden="false" customHeight="false" outlineLevel="0" collapsed="false">
      <c r="A98" s="41" t="s">
        <v>36</v>
      </c>
      <c r="C98" s="41" t="n">
        <v>3</v>
      </c>
      <c r="D98" s="56" t="n">
        <f aca="false">IF(AND(D$77&gt;=$D$6,D$77&lt;=$E$6),$B$25*D25,0)</f>
        <v>0</v>
      </c>
      <c r="E98" s="56" t="n">
        <f aca="false">IF(AND(E$77&gt;=$D$6,E$77&lt;=$E$6),$B$25*E25,0)</f>
        <v>0</v>
      </c>
      <c r="F98" s="56" t="n">
        <f aca="false">IF(AND(F$77&gt;=$D$6,F$77&lt;=$E$6),$B$25*F25,0)</f>
        <v>0</v>
      </c>
      <c r="G98" s="56" t="n">
        <f aca="false">IF(AND(G$77&gt;=$D$6,G$77&lt;=$E$6),$B$25*G25,0)</f>
        <v>0</v>
      </c>
      <c r="H98" s="56" t="n">
        <f aca="false">IF(AND(H$77&gt;=$D$6,H$77&lt;=$E$6),$B$25*H25,0)</f>
        <v>0</v>
      </c>
      <c r="I98" s="56" t="n">
        <f aca="false">IF(AND(I$77&gt;=$D$6,I$77&lt;=$E$6),$B$25*I25,0)</f>
        <v>0</v>
      </c>
      <c r="J98" s="56" t="n">
        <f aca="false">IF(AND(J$77&gt;=$D$6,J$77&lt;=$E$6),$B$25*J25,0)</f>
        <v>0</v>
      </c>
      <c r="K98" s="56" t="n">
        <f aca="false">IF(AND(K$77&gt;=$D$6,K$77&lt;=$E$6),$B$25*K25,0)</f>
        <v>0</v>
      </c>
      <c r="L98" s="56" t="n">
        <f aca="false">IF(AND(L$77&gt;=$D$6,L$77&lt;=$E$6),$B$25*L25,0)</f>
        <v>0</v>
      </c>
      <c r="M98" s="56" t="n">
        <f aca="false">IF(AND(M$77&gt;=$D$6,M$77&lt;=$E$6),$B$25*M25,0)</f>
        <v>0</v>
      </c>
      <c r="N98" s="56" t="n">
        <f aca="false">IF(AND(N$77&gt;=$D$6,N$77&lt;=$E$6),$B$25*N25,0)</f>
        <v>0</v>
      </c>
      <c r="O98" s="56" t="n">
        <f aca="false">IF(AND(O$77&gt;=$D$6,O$77&lt;=$E$6),$B$25*O25,0)</f>
        <v>18860</v>
      </c>
      <c r="P98" s="56" t="n">
        <f aca="false">IF(AND(P$77&gt;=$D$6,P$77&lt;=$E$6),$B$25*P25,0)</f>
        <v>18860</v>
      </c>
      <c r="Q98" s="56" t="n">
        <f aca="false">IF(AND(Q$77&gt;=$D$6,Q$77&lt;=$E$6),$B$25*Q25,0)</f>
        <v>18860</v>
      </c>
      <c r="R98" s="56" t="n">
        <f aca="false">IF(AND(R$77&gt;=$D$6,R$77&lt;=$E$6),$B$25*R25,0)</f>
        <v>18860</v>
      </c>
      <c r="S98" s="56" t="n">
        <f aca="false">IF(AND(S$77&gt;=$D$6,S$77&lt;=$E$6),$B$25*S25,0)</f>
        <v>18860</v>
      </c>
      <c r="T98" s="56" t="n">
        <f aca="false">IF(AND(T$77&gt;=$D$6,T$77&lt;=$E$6),$B$25*T25,0)</f>
        <v>18860</v>
      </c>
      <c r="U98" s="56" t="n">
        <f aca="false">IF(AND(U$77&gt;=$D$6,U$77&lt;=$E$6),$B$25*U25,0)</f>
        <v>18860</v>
      </c>
      <c r="V98" s="56" t="n">
        <f aca="false">IF(AND(V$77&gt;=$D$6,V$77&lt;=$E$6),$B$25*V25,0)</f>
        <v>18860</v>
      </c>
      <c r="W98" s="56" t="n">
        <f aca="false">IF(AND(W$77&gt;=$D$6,W$77&lt;=$E$6),$B$25*W25,0)</f>
        <v>0</v>
      </c>
      <c r="X98" s="56" t="n">
        <f aca="false">IF(AND(X$77&gt;=$D$6,X$77&lt;=$E$6),$B$25*X25,0)</f>
        <v>0</v>
      </c>
      <c r="Y98" s="56" t="n">
        <f aca="false">IF(AND(Y$77&gt;=$D$6,Y$77&lt;=$E$6),$B$25*Y25,0)</f>
        <v>0</v>
      </c>
      <c r="Z98" s="56" t="n">
        <f aca="false">IF(AND(Z$77&gt;=$D$6,Z$77&lt;=$E$6),$B$25*Z25,0)</f>
        <v>0</v>
      </c>
      <c r="AA98" s="57" t="n">
        <f aca="false">SUM(D98:Z98)</f>
        <v>150880</v>
      </c>
    </row>
    <row r="99" customFormat="false" ht="15" hidden="false" customHeight="false" outlineLevel="0" collapsed="false">
      <c r="A99" s="41" t="s">
        <v>37</v>
      </c>
      <c r="C99" s="41" t="n">
        <v>3</v>
      </c>
      <c r="D99" s="56" t="n">
        <f aca="false">IF(AND(D$77&gt;=$D$6,D$77&lt;=$E$6),$B$26*D26,0)</f>
        <v>0</v>
      </c>
      <c r="E99" s="56" t="n">
        <f aca="false">IF(AND(E$77&gt;=$D$6,E$77&lt;=$E$6),$B$26*E26,0)</f>
        <v>0</v>
      </c>
      <c r="F99" s="56" t="n">
        <f aca="false">IF(AND(F$77&gt;=$D$6,F$77&lt;=$E$6),$B$26*F26,0)</f>
        <v>0</v>
      </c>
      <c r="G99" s="56" t="n">
        <f aca="false">IF(AND(G$77&gt;=$D$6,G$77&lt;=$E$6),$B$26*G26,0)</f>
        <v>0</v>
      </c>
      <c r="H99" s="56" t="n">
        <f aca="false">IF(AND(H$77&gt;=$D$6,H$77&lt;=$E$6),$B$26*H26,0)</f>
        <v>0</v>
      </c>
      <c r="I99" s="56" t="n">
        <f aca="false">IF(AND(I$77&gt;=$D$6,I$77&lt;=$E$6),$B$26*I26,0)</f>
        <v>0</v>
      </c>
      <c r="J99" s="56" t="n">
        <f aca="false">IF(AND(J$77&gt;=$D$6,J$77&lt;=$E$6),$B$26*J26,0)</f>
        <v>0</v>
      </c>
      <c r="K99" s="56" t="n">
        <f aca="false">IF(AND(K$77&gt;=$D$6,K$77&lt;=$E$6),$B$26*K26,0)</f>
        <v>0</v>
      </c>
      <c r="L99" s="56" t="n">
        <f aca="false">IF(AND(L$77&gt;=$D$6,L$77&lt;=$E$6),$B$26*L26,0)</f>
        <v>0</v>
      </c>
      <c r="M99" s="56" t="n">
        <f aca="false">IF(AND(M$77&gt;=$D$6,M$77&lt;=$E$6),$B$26*M26,0)</f>
        <v>0</v>
      </c>
      <c r="N99" s="56" t="n">
        <f aca="false">IF(AND(N$77&gt;=$D$6,N$77&lt;=$E$6),$B$26*N26,0)</f>
        <v>0</v>
      </c>
      <c r="O99" s="56" t="n">
        <f aca="false">IF(AND(O$77&gt;=$D$6,O$77&lt;=$E$6),$B$26*O26,0)</f>
        <v>20332.5</v>
      </c>
      <c r="P99" s="56" t="n">
        <f aca="false">IF(AND(P$77&gt;=$D$6,P$77&lt;=$E$6),$B$26*P26,0)</f>
        <v>20332.5</v>
      </c>
      <c r="Q99" s="56" t="n">
        <f aca="false">IF(AND(Q$77&gt;=$D$6,Q$77&lt;=$E$6),$B$26*Q26,0)</f>
        <v>27110</v>
      </c>
      <c r="R99" s="56" t="n">
        <f aca="false">IF(AND(R$77&gt;=$D$6,R$77&lt;=$E$6),$B$26*R26,0)</f>
        <v>27110</v>
      </c>
      <c r="S99" s="56" t="n">
        <f aca="false">IF(AND(S$77&gt;=$D$6,S$77&lt;=$E$6),$B$26*S26,0)</f>
        <v>27110</v>
      </c>
      <c r="T99" s="56" t="n">
        <f aca="false">IF(AND(T$77&gt;=$D$6,T$77&lt;=$E$6),$B$26*T26,0)</f>
        <v>27110</v>
      </c>
      <c r="U99" s="56" t="n">
        <f aca="false">IF(AND(U$77&gt;=$D$6,U$77&lt;=$E$6),$B$26*U26,0)</f>
        <v>27110</v>
      </c>
      <c r="V99" s="56" t="n">
        <f aca="false">IF(AND(V$77&gt;=$D$6,V$77&lt;=$E$6),$B$26*V26,0)</f>
        <v>27110</v>
      </c>
      <c r="W99" s="56" t="n">
        <f aca="false">IF(AND(W$77&gt;=$D$6,W$77&lt;=$E$6),$B$26*W26,0)</f>
        <v>0</v>
      </c>
      <c r="X99" s="56" t="n">
        <f aca="false">IF(AND(X$77&gt;=$D$6,X$77&lt;=$E$6),$B$26*X26,0)</f>
        <v>0</v>
      </c>
      <c r="Y99" s="56" t="n">
        <f aca="false">IF(AND(Y$77&gt;=$D$6,Y$77&lt;=$E$6),$B$26*Y26,0)</f>
        <v>0</v>
      </c>
      <c r="Z99" s="56" t="n">
        <f aca="false">IF(AND(Z$77&gt;=$D$6,Z$77&lt;=$E$6),$B$26*Z26,0)</f>
        <v>0</v>
      </c>
      <c r="AA99" s="57" t="n">
        <f aca="false">SUM(D99:Z99)</f>
        <v>203325</v>
      </c>
    </row>
    <row r="100" customFormat="false" ht="15" hidden="false" customHeight="false" outlineLevel="0" collapsed="false">
      <c r="A100" s="41" t="s">
        <v>38</v>
      </c>
      <c r="C100" s="41" t="n">
        <v>3</v>
      </c>
      <c r="D100" s="56" t="n">
        <f aca="false">IF(AND(D$77&gt;=$D$6,D$77&lt;=$E$6),$B$27*D27,0)</f>
        <v>0</v>
      </c>
      <c r="E100" s="56" t="n">
        <f aca="false">IF(AND(E$77&gt;=$D$6,E$77&lt;=$E$6),$B$27*E27,0)</f>
        <v>0</v>
      </c>
      <c r="F100" s="56" t="n">
        <f aca="false">IF(AND(F$77&gt;=$D$6,F$77&lt;=$E$6),$B$27*F27,0)</f>
        <v>0</v>
      </c>
      <c r="G100" s="56" t="n">
        <f aca="false">IF(AND(G$77&gt;=$D$6,G$77&lt;=$E$6),$B$27*G27,0)</f>
        <v>0</v>
      </c>
      <c r="H100" s="56" t="n">
        <f aca="false">IF(AND(H$77&gt;=$D$6,H$77&lt;=$E$6),$B$27*H27,0)</f>
        <v>0</v>
      </c>
      <c r="I100" s="56" t="n">
        <f aca="false">IF(AND(I$77&gt;=$D$6,I$77&lt;=$E$6),$B$27*I27,0)</f>
        <v>0</v>
      </c>
      <c r="J100" s="56" t="n">
        <f aca="false">IF(AND(J$77&gt;=$D$6,J$77&lt;=$E$6),$B$27*J27,0)</f>
        <v>0</v>
      </c>
      <c r="K100" s="56" t="n">
        <f aca="false">IF(AND(K$77&gt;=$D$6,K$77&lt;=$E$6),$B$27*K27,0)</f>
        <v>0</v>
      </c>
      <c r="L100" s="56" t="n">
        <f aca="false">IF(AND(L$77&gt;=$D$6,L$77&lt;=$E$6),$B$27*L27,0)</f>
        <v>0</v>
      </c>
      <c r="M100" s="56" t="n">
        <f aca="false">IF(AND(M$77&gt;=$D$6,M$77&lt;=$E$6),$B$27*M27,0)</f>
        <v>0</v>
      </c>
      <c r="N100" s="56" t="n">
        <f aca="false">IF(AND(N$77&gt;=$D$6,N$77&lt;=$E$6),$B$27*N27,0)</f>
        <v>0</v>
      </c>
      <c r="O100" s="56" t="n">
        <f aca="false">IF(AND(O$77&gt;=$D$6,O$77&lt;=$E$6),$B$27*O27,0)</f>
        <v>20625</v>
      </c>
      <c r="P100" s="56" t="n">
        <f aca="false">IF(AND(P$77&gt;=$D$6,P$77&lt;=$E$6),$B$27*P27,0)</f>
        <v>20625</v>
      </c>
      <c r="Q100" s="56" t="n">
        <f aca="false">IF(AND(Q$77&gt;=$D$6,Q$77&lt;=$E$6),$B$27*Q27,0)</f>
        <v>20625</v>
      </c>
      <c r="R100" s="56" t="n">
        <f aca="false">IF(AND(R$77&gt;=$D$6,R$77&lt;=$E$6),$B$27*R27,0)</f>
        <v>20625</v>
      </c>
      <c r="S100" s="56" t="n">
        <f aca="false">IF(AND(S$77&gt;=$D$6,S$77&lt;=$E$6),$B$27*S27,0)</f>
        <v>20625</v>
      </c>
      <c r="T100" s="56" t="n">
        <f aca="false">IF(AND(T$77&gt;=$D$6,T$77&lt;=$E$6),$B$27*T27,0)</f>
        <v>20625</v>
      </c>
      <c r="U100" s="56" t="n">
        <f aca="false">IF(AND(U$77&gt;=$D$6,U$77&lt;=$E$6),$B$27*U27,0)</f>
        <v>20625</v>
      </c>
      <c r="V100" s="56" t="n">
        <f aca="false">IF(AND(V$77&gt;=$D$6,V$77&lt;=$E$6),$B$27*V27,0)</f>
        <v>20625</v>
      </c>
      <c r="W100" s="56" t="n">
        <f aca="false">IF(AND(W$77&gt;=$D$6,W$77&lt;=$E$6),$B$27*W27,0)</f>
        <v>0</v>
      </c>
      <c r="X100" s="56" t="n">
        <f aca="false">IF(AND(X$77&gt;=$D$6,X$77&lt;=$E$6),$B$27*X27,0)</f>
        <v>0</v>
      </c>
      <c r="Y100" s="56" t="n">
        <f aca="false">IF(AND(Y$77&gt;=$D$6,Y$77&lt;=$E$6),$B$27*Y27,0)</f>
        <v>0</v>
      </c>
      <c r="Z100" s="56" t="n">
        <f aca="false">IF(AND(Z$77&gt;=$D$6,Z$77&lt;=$E$6),$B$27*Z27,0)</f>
        <v>0</v>
      </c>
      <c r="AA100" s="57" t="n">
        <f aca="false">SUM(D100:Z100)</f>
        <v>165000</v>
      </c>
    </row>
    <row r="101" customFormat="false" ht="15" hidden="false" customHeight="false" outlineLevel="0" collapsed="false">
      <c r="A101" s="41" t="s">
        <v>39</v>
      </c>
      <c r="C101" s="41" t="n">
        <v>3</v>
      </c>
      <c r="D101" s="56" t="n">
        <f aca="false">IF(AND(D$77&gt;=$D$6,D$77&lt;=$E$6),$B$28*D28,0)</f>
        <v>0</v>
      </c>
      <c r="E101" s="56" t="n">
        <f aca="false">IF(AND(E$77&gt;=$D$6,E$77&lt;=$E$6),$B$28*E28,0)</f>
        <v>0</v>
      </c>
      <c r="F101" s="56" t="n">
        <f aca="false">IF(AND(F$77&gt;=$D$6,F$77&lt;=$E$6),$B$28*F28,0)</f>
        <v>0</v>
      </c>
      <c r="G101" s="56" t="n">
        <f aca="false">IF(AND(G$77&gt;=$D$6,G$77&lt;=$E$6),$B$28*G28,0)</f>
        <v>0</v>
      </c>
      <c r="H101" s="56" t="n">
        <f aca="false">IF(AND(H$77&gt;=$D$6,H$77&lt;=$E$6),$B$28*H28,0)</f>
        <v>0</v>
      </c>
      <c r="I101" s="56" t="n">
        <f aca="false">IF(AND(I$77&gt;=$D$6,I$77&lt;=$E$6),$B$28*I28,0)</f>
        <v>0</v>
      </c>
      <c r="J101" s="56" t="n">
        <f aca="false">IF(AND(J$77&gt;=$D$6,J$77&lt;=$E$6),$B$28*J28,0)</f>
        <v>0</v>
      </c>
      <c r="K101" s="56" t="n">
        <f aca="false">IF(AND(K$77&gt;=$D$6,K$77&lt;=$E$6),$B$28*K28,0)</f>
        <v>0</v>
      </c>
      <c r="L101" s="56" t="n">
        <f aca="false">IF(AND(L$77&gt;=$D$6,L$77&lt;=$E$6),$B$28*L28,0)</f>
        <v>0</v>
      </c>
      <c r="M101" s="56" t="n">
        <f aca="false">IF(AND(M$77&gt;=$D$6,M$77&lt;=$E$6),$B$28*M28,0)</f>
        <v>0</v>
      </c>
      <c r="N101" s="56" t="n">
        <f aca="false">IF(AND(N$77&gt;=$D$6,N$77&lt;=$E$6),$B$28*N28,0)</f>
        <v>0</v>
      </c>
      <c r="O101" s="56" t="n">
        <f aca="false">IF(AND(O$77&gt;=$D$6,O$77&lt;=$E$6),$B$28*O28,0)</f>
        <v>7440</v>
      </c>
      <c r="P101" s="56" t="n">
        <f aca="false">IF(AND(P$77&gt;=$D$6,P$77&lt;=$E$6),$B$28*P28,0)</f>
        <v>7440</v>
      </c>
      <c r="Q101" s="56" t="n">
        <f aca="false">IF(AND(Q$77&gt;=$D$6,Q$77&lt;=$E$6),$B$28*Q28,0)</f>
        <v>7440</v>
      </c>
      <c r="R101" s="56" t="n">
        <f aca="false">IF(AND(R$77&gt;=$D$6,R$77&lt;=$E$6),$B$28*R28,0)</f>
        <v>7440</v>
      </c>
      <c r="S101" s="56" t="n">
        <f aca="false">IF(AND(S$77&gt;=$D$6,S$77&lt;=$E$6),$B$28*S28,0)</f>
        <v>7440</v>
      </c>
      <c r="T101" s="56" t="n">
        <f aca="false">IF(AND(T$77&gt;=$D$6,T$77&lt;=$E$6),$B$28*T28,0)</f>
        <v>7440</v>
      </c>
      <c r="U101" s="56" t="n">
        <f aca="false">IF(AND(U$77&gt;=$D$6,U$77&lt;=$E$6),$B$28*U28,0)</f>
        <v>7440</v>
      </c>
      <c r="V101" s="56" t="n">
        <f aca="false">IF(AND(V$77&gt;=$D$6,V$77&lt;=$E$6),$B$28*V28,0)</f>
        <v>7440</v>
      </c>
      <c r="W101" s="56" t="n">
        <f aca="false">IF(AND(W$77&gt;=$D$6,W$77&lt;=$E$6),$B$28*W28,0)</f>
        <v>0</v>
      </c>
      <c r="X101" s="56" t="n">
        <f aca="false">IF(AND(X$77&gt;=$D$6,X$77&lt;=$E$6),$B$28*X28,0)</f>
        <v>0</v>
      </c>
      <c r="Y101" s="56" t="n">
        <f aca="false">IF(AND(Y$77&gt;=$D$6,Y$77&lt;=$E$6),$B$28*Y28,0)</f>
        <v>0</v>
      </c>
      <c r="Z101" s="56" t="n">
        <f aca="false">IF(AND(Z$77&gt;=$D$6,Z$77&lt;=$E$6),$B$28*Z28,0)</f>
        <v>0</v>
      </c>
      <c r="AA101" s="57" t="n">
        <f aca="false">SUM(D101:Z101)</f>
        <v>59520</v>
      </c>
    </row>
    <row r="102" customFormat="false" ht="15" hidden="false" customHeight="false" outlineLevel="0" collapsed="false">
      <c r="A102" s="41" t="s">
        <v>40</v>
      </c>
      <c r="C102" s="41" t="n">
        <v>3</v>
      </c>
      <c r="D102" s="56" t="n">
        <f aca="false">IF(AND(D$77&gt;=$D$6,D$77&lt;=$E$6),$B$29*D29,0)</f>
        <v>0</v>
      </c>
      <c r="E102" s="56" t="n">
        <f aca="false">IF(AND(E$77&gt;=$D$6,E$77&lt;=$E$6),$B$29*E29,0)</f>
        <v>0</v>
      </c>
      <c r="F102" s="56" t="n">
        <f aca="false">IF(AND(F$77&gt;=$D$6,F$77&lt;=$E$6),$B$29*F29,0)</f>
        <v>0</v>
      </c>
      <c r="G102" s="56" t="n">
        <f aca="false">IF(AND(G$77&gt;=$D$6,G$77&lt;=$E$6),$B$29*G29,0)</f>
        <v>0</v>
      </c>
      <c r="H102" s="56" t="n">
        <f aca="false">IF(AND(H$77&gt;=$D$6,H$77&lt;=$E$6),$B$29*H29,0)</f>
        <v>0</v>
      </c>
      <c r="I102" s="56" t="n">
        <f aca="false">IF(AND(I$77&gt;=$D$6,I$77&lt;=$E$6),$B$29*I29,0)</f>
        <v>0</v>
      </c>
      <c r="J102" s="56" t="n">
        <f aca="false">IF(AND(J$77&gt;=$D$6,J$77&lt;=$E$6),$B$29*J29,0)</f>
        <v>0</v>
      </c>
      <c r="K102" s="56" t="n">
        <f aca="false">IF(AND(K$77&gt;=$D$6,K$77&lt;=$E$6),$B$29*K29,0)</f>
        <v>0</v>
      </c>
      <c r="L102" s="56" t="n">
        <f aca="false">IF(AND(L$77&gt;=$D$6,L$77&lt;=$E$6),$B$29*L29,0)</f>
        <v>0</v>
      </c>
      <c r="M102" s="56" t="n">
        <f aca="false">IF(AND(M$77&gt;=$D$6,M$77&lt;=$E$6),$B$29*M29,0)</f>
        <v>0</v>
      </c>
      <c r="N102" s="56" t="n">
        <f aca="false">IF(AND(N$77&gt;=$D$6,N$77&lt;=$E$6),$B$29*N29,0)</f>
        <v>0</v>
      </c>
      <c r="O102" s="56" t="n">
        <f aca="false">IF(AND(O$77&gt;=$D$6,O$77&lt;=$E$6),$B$29*O29,0)</f>
        <v>20625</v>
      </c>
      <c r="P102" s="56" t="n">
        <f aca="false">IF(AND(P$77&gt;=$D$6,P$77&lt;=$E$6),$B$29*P29,0)</f>
        <v>20625</v>
      </c>
      <c r="Q102" s="56" t="n">
        <f aca="false">IF(AND(Q$77&gt;=$D$6,Q$77&lt;=$E$6),$B$29*Q29,0)</f>
        <v>20625</v>
      </c>
      <c r="R102" s="56" t="n">
        <f aca="false">IF(AND(R$77&gt;=$D$6,R$77&lt;=$E$6),$B$29*R29,0)</f>
        <v>20625</v>
      </c>
      <c r="S102" s="56" t="n">
        <f aca="false">IF(AND(S$77&gt;=$D$6,S$77&lt;=$E$6),$B$29*S29,0)</f>
        <v>20625</v>
      </c>
      <c r="T102" s="56" t="n">
        <f aca="false">IF(AND(T$77&gt;=$D$6,T$77&lt;=$E$6),$B$29*T29,0)</f>
        <v>20625</v>
      </c>
      <c r="U102" s="56" t="n">
        <f aca="false">IF(AND(U$77&gt;=$D$6,U$77&lt;=$E$6),$B$29*U29,0)</f>
        <v>20625</v>
      </c>
      <c r="V102" s="56" t="n">
        <f aca="false">IF(AND(V$77&gt;=$D$6,V$77&lt;=$E$6),$B$29*V29,0)</f>
        <v>20625</v>
      </c>
      <c r="W102" s="56" t="n">
        <f aca="false">IF(AND(W$77&gt;=$D$6,W$77&lt;=$E$6),$B$29*W29,0)</f>
        <v>0</v>
      </c>
      <c r="X102" s="56" t="n">
        <f aca="false">IF(AND(X$77&gt;=$D$6,X$77&lt;=$E$6),$B$29*X29,0)</f>
        <v>0</v>
      </c>
      <c r="Y102" s="56" t="n">
        <f aca="false">IF(AND(Y$77&gt;=$D$6,Y$77&lt;=$E$6),$B$29*Y29,0)</f>
        <v>0</v>
      </c>
      <c r="Z102" s="56" t="n">
        <f aca="false">IF(AND(Z$77&gt;=$D$6,Z$77&lt;=$E$6),$B$29*Z29,0)</f>
        <v>0</v>
      </c>
      <c r="AA102" s="57" t="n">
        <f aca="false">SUM(D102:Z102)</f>
        <v>165000</v>
      </c>
    </row>
    <row r="103" customFormat="false" ht="15" hidden="false" customHeight="false" outlineLevel="0" collapsed="false">
      <c r="A103" s="41" t="s">
        <v>41</v>
      </c>
      <c r="C103" s="41" t="n">
        <v>3</v>
      </c>
      <c r="D103" s="56" t="n">
        <f aca="false">IF(AND(D$77&gt;=$D$6,D$77&lt;=$E$6),$B$31*D31,0)</f>
        <v>0</v>
      </c>
      <c r="E103" s="56" t="n">
        <f aca="false">IF(AND(E$77&gt;=$D$6,E$77&lt;=$E$6),$B$31*E31,0)</f>
        <v>0</v>
      </c>
      <c r="F103" s="56" t="n">
        <f aca="false">IF(AND(F$77&gt;=$D$6,F$77&lt;=$E$6),$B$31*F31,0)</f>
        <v>0</v>
      </c>
      <c r="G103" s="56" t="n">
        <f aca="false">IF(AND(G$77&gt;=$D$6,G$77&lt;=$E$6),$B$31*G31,0)</f>
        <v>0</v>
      </c>
      <c r="H103" s="56" t="n">
        <f aca="false">IF(AND(H$77&gt;=$D$6,H$77&lt;=$E$6),$B$31*H31,0)</f>
        <v>0</v>
      </c>
      <c r="I103" s="56" t="n">
        <f aca="false">IF(AND(I$77&gt;=$D$6,I$77&lt;=$E$6),$B$31*I31,0)</f>
        <v>0</v>
      </c>
      <c r="J103" s="56" t="n">
        <f aca="false">IF(AND(J$77&gt;=$D$6,J$77&lt;=$E$6),$B$31*J31,0)</f>
        <v>0</v>
      </c>
      <c r="K103" s="56" t="n">
        <f aca="false">IF(AND(K$77&gt;=$D$6,K$77&lt;=$E$6),$B$31*K31,0)</f>
        <v>0</v>
      </c>
      <c r="L103" s="56" t="n">
        <f aca="false">IF(AND(L$77&gt;=$D$6,L$77&lt;=$E$6),$B$31*L31,0)</f>
        <v>0</v>
      </c>
      <c r="M103" s="56" t="n">
        <f aca="false">IF(AND(M$77&gt;=$D$6,M$77&lt;=$E$6),$B$31*M31,0)</f>
        <v>0</v>
      </c>
      <c r="N103" s="56" t="n">
        <f aca="false">IF(AND(N$77&gt;=$D$6,N$77&lt;=$E$6),$B$31*N31,0)</f>
        <v>0</v>
      </c>
      <c r="O103" s="56" t="n">
        <f aca="false">IF(AND(O$77&gt;=$D$6,O$77&lt;=$E$6),$B$31*O31,0)</f>
        <v>4920</v>
      </c>
      <c r="P103" s="56" t="n">
        <f aca="false">IF(AND(P$77&gt;=$D$6,P$77&lt;=$E$6),$B$31*P31,0)</f>
        <v>4920</v>
      </c>
      <c r="Q103" s="56" t="n">
        <f aca="false">IF(AND(Q$77&gt;=$D$6,Q$77&lt;=$E$6),$B$31*Q31,0)</f>
        <v>4920</v>
      </c>
      <c r="R103" s="56" t="n">
        <f aca="false">IF(AND(R$77&gt;=$D$6,R$77&lt;=$E$6),$B$31*R31,0)</f>
        <v>4920</v>
      </c>
      <c r="S103" s="56" t="n">
        <f aca="false">IF(AND(S$77&gt;=$D$6,S$77&lt;=$E$6),$B$31*S31,0)</f>
        <v>4920</v>
      </c>
      <c r="T103" s="56" t="n">
        <f aca="false">IF(AND(T$77&gt;=$D$6,T$77&lt;=$E$6),$B$31*T31,0)</f>
        <v>4920</v>
      </c>
      <c r="U103" s="56" t="n">
        <f aca="false">IF(AND(U$77&gt;=$D$6,U$77&lt;=$E$6),$B$31*U31,0)</f>
        <v>4920</v>
      </c>
      <c r="V103" s="56" t="n">
        <f aca="false">IF(AND(V$77&gt;=$D$6,V$77&lt;=$E$6),$B$31*V31,0)</f>
        <v>4920</v>
      </c>
      <c r="W103" s="56" t="n">
        <f aca="false">IF(AND(W$77&gt;=$D$6,W$77&lt;=$E$6),$B$31*W31,0)</f>
        <v>0</v>
      </c>
      <c r="X103" s="56" t="n">
        <f aca="false">IF(AND(X$77&gt;=$D$6,X$77&lt;=$E$6),$B$31*X31,0)</f>
        <v>0</v>
      </c>
      <c r="Y103" s="56" t="n">
        <f aca="false">IF(AND(Y$77&gt;=$D$6,Y$77&lt;=$E$6),$B$31*Y31,0)</f>
        <v>0</v>
      </c>
      <c r="Z103" s="56" t="n">
        <f aca="false">IF(AND(Z$77&gt;=$D$6,Z$77&lt;=$E$6),$B$31*Z31,0)</f>
        <v>0</v>
      </c>
      <c r="AA103" s="57" t="n">
        <f aca="false">SUM(D103:Z103)</f>
        <v>39360</v>
      </c>
    </row>
    <row r="104" customFormat="false" ht="15" hidden="false" customHeight="false" outlineLevel="0" collapsed="false">
      <c r="A104" s="41" t="s">
        <v>42</v>
      </c>
      <c r="C104" s="41" t="n">
        <v>3</v>
      </c>
      <c r="D104" s="56" t="n">
        <f aca="false">IF(AND(D$77&gt;=$D$6,D$77&lt;=$E$6),$B$32*D32,0)</f>
        <v>0</v>
      </c>
      <c r="E104" s="56" t="n">
        <f aca="false">IF(AND(E$77&gt;=$D$6,E$77&lt;=$E$6),$B$32*E32,0)</f>
        <v>0</v>
      </c>
      <c r="F104" s="56" t="n">
        <f aca="false">IF(AND(F$77&gt;=$D$6,F$77&lt;=$E$6),$B$32*F32,0)</f>
        <v>0</v>
      </c>
      <c r="G104" s="56" t="n">
        <f aca="false">IF(AND(G$77&gt;=$D$6,G$77&lt;=$E$6),$B$32*G32,0)</f>
        <v>0</v>
      </c>
      <c r="H104" s="56" t="n">
        <f aca="false">IF(AND(H$77&gt;=$D$6,H$77&lt;=$E$6),$B$32*H32,0)</f>
        <v>0</v>
      </c>
      <c r="I104" s="56" t="n">
        <f aca="false">IF(AND(I$77&gt;=$D$6,I$77&lt;=$E$6),$B$32*I32,0)</f>
        <v>0</v>
      </c>
      <c r="J104" s="56" t="n">
        <f aca="false">IF(AND(J$77&gt;=$D$6,J$77&lt;=$E$6),$B$32*J32,0)</f>
        <v>0</v>
      </c>
      <c r="K104" s="56" t="n">
        <f aca="false">IF(AND(K$77&gt;=$D$6,K$77&lt;=$E$6),$B$32*K32,0)</f>
        <v>0</v>
      </c>
      <c r="L104" s="56" t="n">
        <f aca="false">IF(AND(L$77&gt;=$D$6,L$77&lt;=$E$6),$B$32*L32,0)</f>
        <v>0</v>
      </c>
      <c r="M104" s="56" t="n">
        <f aca="false">IF(AND(M$77&gt;=$D$6,M$77&lt;=$E$6),$B$32*M32,0)</f>
        <v>0</v>
      </c>
      <c r="N104" s="56" t="n">
        <f aca="false">IF(AND(N$77&gt;=$D$6,N$77&lt;=$E$6),$B$32*N32,0)</f>
        <v>0</v>
      </c>
      <c r="O104" s="56" t="n">
        <f aca="false">IF(AND(O$77&gt;=$D$6,O$77&lt;=$E$6),$B$32*O32,0)</f>
        <v>569.02</v>
      </c>
      <c r="P104" s="56" t="n">
        <f aca="false">IF(AND(P$77&gt;=$D$6,P$77&lt;=$E$6),$B$32*P32,0)</f>
        <v>569.02</v>
      </c>
      <c r="Q104" s="56" t="n">
        <f aca="false">IF(AND(Q$77&gt;=$D$6,Q$77&lt;=$E$6),$B$32*Q32,0)</f>
        <v>569.02</v>
      </c>
      <c r="R104" s="56" t="n">
        <f aca="false">IF(AND(R$77&gt;=$D$6,R$77&lt;=$E$6),$B$32*R32,0)</f>
        <v>569.02</v>
      </c>
      <c r="S104" s="56" t="n">
        <f aca="false">IF(AND(S$77&gt;=$D$6,S$77&lt;=$E$6),$B$32*S32,0)</f>
        <v>569.02</v>
      </c>
      <c r="T104" s="56" t="n">
        <f aca="false">IF(AND(T$77&gt;=$D$6,T$77&lt;=$E$6),$B$32*T32,0)</f>
        <v>569.02</v>
      </c>
      <c r="U104" s="56" t="n">
        <f aca="false">IF(AND(U$77&gt;=$D$6,U$77&lt;=$E$6),$B$32*U32,0)</f>
        <v>569.02</v>
      </c>
      <c r="V104" s="56" t="n">
        <f aca="false">IF(AND(V$77&gt;=$D$6,V$77&lt;=$E$6),$B$32*V32,0)</f>
        <v>569.02</v>
      </c>
      <c r="W104" s="56" t="n">
        <f aca="false">IF(AND(W$77&gt;=$D$6,W$77&lt;=$E$6),$B$32*W32,0)</f>
        <v>0</v>
      </c>
      <c r="X104" s="56" t="n">
        <f aca="false">IF(AND(X$77&gt;=$D$6,X$77&lt;=$E$6),$B$32*X32,0)</f>
        <v>0</v>
      </c>
      <c r="Y104" s="56" t="n">
        <f aca="false">IF(AND(Y$77&gt;=$D$6,Y$77&lt;=$E$6),$B$32*Y32,0)</f>
        <v>0</v>
      </c>
      <c r="Z104" s="56" t="n">
        <f aca="false">IF(AND(Z$77&gt;=$D$6,Z$77&lt;=$E$6),$B$32*Z32,0)</f>
        <v>0</v>
      </c>
      <c r="AA104" s="57" t="n">
        <f aca="false">SUM(D104:Z104)</f>
        <v>4552.16</v>
      </c>
    </row>
    <row r="105" customFormat="false" ht="15" hidden="false" customHeight="false" outlineLevel="0" collapsed="false">
      <c r="A105" s="41" t="s">
        <v>43</v>
      </c>
      <c r="C105" s="41" t="n">
        <v>3</v>
      </c>
      <c r="D105" s="56" t="n">
        <f aca="false">IF(AND(D$77&gt;=$D$6,D$77&lt;=$E$6),$B$30*D30,0)</f>
        <v>0</v>
      </c>
      <c r="E105" s="56" t="n">
        <f aca="false">IF(AND(E$77&gt;=$D$6,E$77&lt;=$E$6),$B$30*E30,0)</f>
        <v>0</v>
      </c>
      <c r="F105" s="56" t="n">
        <f aca="false">IF(AND(F$77&gt;=$D$6,F$77&lt;=$E$6),$B$30*F30,0)</f>
        <v>0</v>
      </c>
      <c r="G105" s="56" t="n">
        <f aca="false">IF(AND(G$77&gt;=$D$6,G$77&lt;=$E$6),$B$30*G30,0)</f>
        <v>0</v>
      </c>
      <c r="H105" s="56" t="n">
        <f aca="false">IF(AND(H$77&gt;=$D$6,H$77&lt;=$E$6),$B$30*H30,0)</f>
        <v>0</v>
      </c>
      <c r="I105" s="56" t="n">
        <f aca="false">IF(AND(I$77&gt;=$D$6,I$77&lt;=$E$6),$B$30*I30,0)</f>
        <v>0</v>
      </c>
      <c r="J105" s="56" t="n">
        <f aca="false">IF(AND(J$77&gt;=$D$6,J$77&lt;=$E$6),$B$30*J30,0)</f>
        <v>0</v>
      </c>
      <c r="K105" s="56" t="n">
        <f aca="false">IF(AND(K$77&gt;=$D$6,K$77&lt;=$E$6),$B$30*K30,0)</f>
        <v>0</v>
      </c>
      <c r="L105" s="56" t="n">
        <f aca="false">IF(AND(L$77&gt;=$D$6,L$77&lt;=$E$6),$B$30*L30,0)</f>
        <v>0</v>
      </c>
      <c r="M105" s="56" t="n">
        <f aca="false">IF(AND(M$77&gt;=$D$6,M$77&lt;=$E$6),$B$30*M30,0)</f>
        <v>0</v>
      </c>
      <c r="N105" s="56" t="n">
        <f aca="false">IF(AND(N$77&gt;=$D$6,N$77&lt;=$E$6),$B$30*N30,0)</f>
        <v>0</v>
      </c>
      <c r="O105" s="56" t="n">
        <f aca="false">IF(AND(O$77&gt;=$D$6,O$77&lt;=$E$6),$B$30*O30,0)</f>
        <v>19750</v>
      </c>
      <c r="P105" s="56" t="n">
        <f aca="false">IF(AND(P$77&gt;=$D$6,P$77&lt;=$E$6),$B$30*P30,0)</f>
        <v>19750</v>
      </c>
      <c r="Q105" s="56" t="n">
        <f aca="false">IF(AND(Q$77&gt;=$D$6,Q$77&lt;=$E$6),$B$30*Q30,0)</f>
        <v>19750</v>
      </c>
      <c r="R105" s="56" t="n">
        <f aca="false">IF(AND(R$77&gt;=$D$6,R$77&lt;=$E$6),$B$30*R30,0)</f>
        <v>19750</v>
      </c>
      <c r="S105" s="56" t="n">
        <f aca="false">IF(AND(S$77&gt;=$D$6,S$77&lt;=$E$6),$B$30*S30,0)</f>
        <v>19750</v>
      </c>
      <c r="T105" s="56" t="n">
        <f aca="false">IF(AND(T$77&gt;=$D$6,T$77&lt;=$E$6),$B$30*T30,0)</f>
        <v>19750</v>
      </c>
      <c r="U105" s="56" t="n">
        <f aca="false">IF(AND(U$77&gt;=$D$6,U$77&lt;=$E$6),$B$30*U30,0)</f>
        <v>19750</v>
      </c>
      <c r="V105" s="56" t="n">
        <f aca="false">IF(AND(V$77&gt;=$D$6,V$77&lt;=$E$6),$B$30*V30,0)</f>
        <v>19750</v>
      </c>
      <c r="W105" s="56" t="n">
        <f aca="false">IF(AND(W$77&gt;=$D$6,W$77&lt;=$E$6),$B$30*W30,0)</f>
        <v>0</v>
      </c>
      <c r="X105" s="56" t="n">
        <f aca="false">IF(AND(X$77&gt;=$D$6,X$77&lt;=$E$6),$B$30*X30,0)</f>
        <v>0</v>
      </c>
      <c r="Y105" s="56" t="n">
        <f aca="false">IF(AND(Y$77&gt;=$D$6,Y$77&lt;=$E$6),$B$30*Y30,0)</f>
        <v>0</v>
      </c>
      <c r="Z105" s="56" t="n">
        <f aca="false">IF(AND(Z$77&gt;=$D$6,Z$77&lt;=$E$6),$B$30*Z30,0)</f>
        <v>0</v>
      </c>
      <c r="AA105" s="57" t="n">
        <f aca="false">SUM(D105:Z105)</f>
        <v>158000</v>
      </c>
    </row>
    <row r="106" customFormat="false" ht="15" hidden="false" customHeight="false" outlineLevel="0" collapsed="false">
      <c r="A106" s="41" t="s">
        <v>45</v>
      </c>
      <c r="C106" s="41" t="n">
        <v>4</v>
      </c>
      <c r="D106" s="56" t="n">
        <f aca="false">IF(AND(D$77&gt;=$D$7,D$77&lt;=$E$7),$B$24*D24,0)</f>
        <v>0</v>
      </c>
      <c r="E106" s="56" t="n">
        <f aca="false">IF(AND(E$77&gt;=$D$7,E$77&lt;=$E$7),$B$24*E24,0)</f>
        <v>0</v>
      </c>
      <c r="F106" s="56" t="n">
        <f aca="false">IF(AND(F$77&gt;=$D$7,F$77&lt;=$E$7),$B$24*F24,0)</f>
        <v>0</v>
      </c>
      <c r="G106" s="56" t="n">
        <f aca="false">IF(AND(G$77&gt;=$D$7,G$77&lt;=$E$7),$B$24*G24,0)</f>
        <v>0</v>
      </c>
      <c r="H106" s="56" t="n">
        <f aca="false">IF(AND(H$77&gt;=$D$7,H$77&lt;=$E$7),$B$24*H24,0)</f>
        <v>0</v>
      </c>
      <c r="I106" s="56" t="n">
        <f aca="false">IF(AND(I$77&gt;=$D$7,I$77&lt;=$E$7),$B$24*I24,0)</f>
        <v>0</v>
      </c>
      <c r="J106" s="56" t="n">
        <f aca="false">IF(AND(J$77&gt;=$D$7,J$77&lt;=$E$7),$B$24*J24,0)</f>
        <v>0</v>
      </c>
      <c r="K106" s="56" t="n">
        <f aca="false">IF(AND(K$77&gt;=$D$7,K$77&lt;=$E$7),$B$24*K24,0)</f>
        <v>0</v>
      </c>
      <c r="L106" s="56" t="n">
        <f aca="false">IF(AND(L$77&gt;=$D$7,L$77&lt;=$E$7),$B$24*L24,0)</f>
        <v>0</v>
      </c>
      <c r="M106" s="56" t="n">
        <f aca="false">IF(AND(M$77&gt;=$D$7,M$77&lt;=$E$7),$B$24*M24,0)</f>
        <v>0</v>
      </c>
      <c r="N106" s="56" t="n">
        <f aca="false">IF(AND(N$77&gt;=$D$7,N$77&lt;=$E$7),$B$24*N24,0)</f>
        <v>0</v>
      </c>
      <c r="O106" s="56" t="n">
        <f aca="false">IF(AND(O$77&gt;=$D$7,O$77&lt;=$E$7),$B$24*O24,0)</f>
        <v>0</v>
      </c>
      <c r="P106" s="56" t="n">
        <f aca="false">IF(AND(P$77&gt;=$D$7,P$77&lt;=$E$7),$B$24*P24,0)</f>
        <v>0</v>
      </c>
      <c r="Q106" s="56" t="n">
        <f aca="false">IF(AND(Q$77&gt;=$D$7,Q$77&lt;=$E$7),$B$24*Q24,0)</f>
        <v>0</v>
      </c>
      <c r="R106" s="56" t="n">
        <f aca="false">IF(AND(R$77&gt;=$D$7,R$77&lt;=$E$7),$B$24*R24,0)</f>
        <v>0</v>
      </c>
      <c r="S106" s="56" t="n">
        <f aca="false">IF(AND(S$77&gt;=$D$7,S$77&lt;=$E$7),$B$24*S24,0)</f>
        <v>0</v>
      </c>
      <c r="T106" s="56" t="n">
        <f aca="false">IF(AND(T$77&gt;=$D$7,T$77&lt;=$E$7),$B$24*T24,0)</f>
        <v>0</v>
      </c>
      <c r="U106" s="56" t="n">
        <f aca="false">IF(AND(U$77&gt;=$D$7,U$77&lt;=$E$7),$B$24*U24,0)</f>
        <v>0</v>
      </c>
      <c r="V106" s="56" t="n">
        <f aca="false">IF(AND(V$77&gt;=$D$7,V$77&lt;=$E$7),$B$24*V24,0)</f>
        <v>0</v>
      </c>
      <c r="W106" s="56" t="n">
        <f aca="false">IF(AND(W$77&gt;=$D$7,W$77&lt;=$E$7),$B$24*W24,0)</f>
        <v>55400</v>
      </c>
      <c r="X106" s="56" t="n">
        <f aca="false">IF(AND(X$77&gt;=$D$7,X$77&lt;=$E$7),$B$24*X24,0)</f>
        <v>55400</v>
      </c>
      <c r="Y106" s="56" t="n">
        <f aca="false">IF(AND(Y$77&gt;=$D$7,Y$77&lt;=$E$7),$B$24*Y24,0)</f>
        <v>55400</v>
      </c>
      <c r="Z106" s="56" t="n">
        <f aca="false">IF(AND(Z$77&gt;=$D$7,Z$77&lt;=$E$7),$B$24*Z24,0)</f>
        <v>55400</v>
      </c>
      <c r="AA106" s="57" t="n">
        <f aca="false">SUM(D106:Z106)</f>
        <v>221600</v>
      </c>
    </row>
    <row r="107" customFormat="false" ht="15" hidden="false" customHeight="false" outlineLevel="0" collapsed="false">
      <c r="A107" s="41" t="s">
        <v>46</v>
      </c>
      <c r="C107" s="41" t="n">
        <v>4</v>
      </c>
      <c r="D107" s="56" t="n">
        <f aca="false">IF(AND(D$77&gt;=$D$7,D$77&lt;=$E$7),$B$25*D25,0)</f>
        <v>0</v>
      </c>
      <c r="E107" s="56" t="n">
        <f aca="false">IF(AND(E$77&gt;=$D$7,E$77&lt;=$E$7),$B$25*E25,0)</f>
        <v>0</v>
      </c>
      <c r="F107" s="56" t="n">
        <f aca="false">IF(AND(F$77&gt;=$D$7,F$77&lt;=$E$7),$B$25*F25,0)</f>
        <v>0</v>
      </c>
      <c r="G107" s="56" t="n">
        <f aca="false">IF(AND(G$77&gt;=$D$7,G$77&lt;=$E$7),$B$25*G25,0)</f>
        <v>0</v>
      </c>
      <c r="H107" s="56" t="n">
        <f aca="false">IF(AND(H$77&gt;=$D$7,H$77&lt;=$E$7),$B$25*H25,0)</f>
        <v>0</v>
      </c>
      <c r="I107" s="56" t="n">
        <f aca="false">IF(AND(I$77&gt;=$D$7,I$77&lt;=$E$7),$B$25*I25,0)</f>
        <v>0</v>
      </c>
      <c r="J107" s="56" t="n">
        <f aca="false">IF(AND(J$77&gt;=$D$7,J$77&lt;=$E$7),$B$25*J25,0)</f>
        <v>0</v>
      </c>
      <c r="K107" s="56" t="n">
        <f aca="false">IF(AND(K$77&gt;=$D$7,K$77&lt;=$E$7),$B$25*K25,0)</f>
        <v>0</v>
      </c>
      <c r="L107" s="56" t="n">
        <f aca="false">IF(AND(L$77&gt;=$D$7,L$77&lt;=$E$7),$B$25*L25,0)</f>
        <v>0</v>
      </c>
      <c r="M107" s="56" t="n">
        <f aca="false">IF(AND(M$77&gt;=$D$7,M$77&lt;=$E$7),$B$25*M25,0)</f>
        <v>0</v>
      </c>
      <c r="N107" s="56" t="n">
        <f aca="false">IF(AND(N$77&gt;=$D$7,N$77&lt;=$E$7),$B$25*N25,0)</f>
        <v>0</v>
      </c>
      <c r="O107" s="56" t="n">
        <f aca="false">IF(AND(O$77&gt;=$D$7,O$77&lt;=$E$7),$B$25*O25,0)</f>
        <v>0</v>
      </c>
      <c r="P107" s="56" t="n">
        <f aca="false">IF(AND(P$77&gt;=$D$7,P$77&lt;=$E$7),$B$25*P25,0)</f>
        <v>0</v>
      </c>
      <c r="Q107" s="56" t="n">
        <f aca="false">IF(AND(Q$77&gt;=$D$7,Q$77&lt;=$E$7),$B$25*Q25,0)</f>
        <v>0</v>
      </c>
      <c r="R107" s="56" t="n">
        <f aca="false">IF(AND(R$77&gt;=$D$7,R$77&lt;=$E$7),$B$25*R25,0)</f>
        <v>0</v>
      </c>
      <c r="S107" s="56" t="n">
        <f aca="false">IF(AND(S$77&gt;=$D$7,S$77&lt;=$E$7),$B$25*S25,0)</f>
        <v>0</v>
      </c>
      <c r="T107" s="56" t="n">
        <f aca="false">IF(AND(T$77&gt;=$D$7,T$77&lt;=$E$7),$B$25*T25,0)</f>
        <v>0</v>
      </c>
      <c r="U107" s="56" t="n">
        <f aca="false">IF(AND(U$77&gt;=$D$7,U$77&lt;=$E$7),$B$25*U25,0)</f>
        <v>0</v>
      </c>
      <c r="V107" s="56" t="n">
        <f aca="false">IF(AND(V$77&gt;=$D$7,V$77&lt;=$E$7),$B$25*V25,0)</f>
        <v>0</v>
      </c>
      <c r="W107" s="56" t="n">
        <f aca="false">IF(AND(W$77&gt;=$D$7,W$77&lt;=$E$7),$B$25*W25,0)</f>
        <v>9430</v>
      </c>
      <c r="X107" s="56" t="n">
        <f aca="false">IF(AND(X$77&gt;=$D$7,X$77&lt;=$E$7),$B$25*X25,0)</f>
        <v>9430</v>
      </c>
      <c r="Y107" s="56" t="n">
        <f aca="false">IF(AND(Y$77&gt;=$D$7,Y$77&lt;=$E$7),$B$25*Y25,0)</f>
        <v>9430</v>
      </c>
      <c r="Z107" s="56" t="n">
        <f aca="false">IF(AND(Z$77&gt;=$D$7,Z$77&lt;=$E$7),$B$25*Z25,0)</f>
        <v>9430</v>
      </c>
      <c r="AA107" s="57" t="n">
        <f aca="false">SUM(D107:Z107)</f>
        <v>37720</v>
      </c>
    </row>
    <row r="108" customFormat="false" ht="15" hidden="false" customHeight="false" outlineLevel="0" collapsed="false">
      <c r="A108" s="41" t="s">
        <v>47</v>
      </c>
      <c r="C108" s="41" t="n">
        <v>4</v>
      </c>
      <c r="D108" s="56" t="n">
        <f aca="false">IF(AND(D$77&gt;=$D$7,D$77&lt;=$E$7),$B$26*D26,0)</f>
        <v>0</v>
      </c>
      <c r="E108" s="56" t="n">
        <f aca="false">IF(AND(E$77&gt;=$D$7,E$77&lt;=$E$7),$B$26*E26,0)</f>
        <v>0</v>
      </c>
      <c r="F108" s="56" t="n">
        <f aca="false">IF(AND(F$77&gt;=$D$7,F$77&lt;=$E$7),$B$26*F26,0)</f>
        <v>0</v>
      </c>
      <c r="G108" s="56" t="n">
        <f aca="false">IF(AND(G$77&gt;=$D$7,G$77&lt;=$E$7),$B$26*G26,0)</f>
        <v>0</v>
      </c>
      <c r="H108" s="56" t="n">
        <f aca="false">IF(AND(H$77&gt;=$D$7,H$77&lt;=$E$7),$B$26*H26,0)</f>
        <v>0</v>
      </c>
      <c r="I108" s="56" t="n">
        <f aca="false">IF(AND(I$77&gt;=$D$7,I$77&lt;=$E$7),$B$26*I26,0)</f>
        <v>0</v>
      </c>
      <c r="J108" s="56" t="n">
        <f aca="false">IF(AND(J$77&gt;=$D$7,J$77&lt;=$E$7),$B$26*J26,0)</f>
        <v>0</v>
      </c>
      <c r="K108" s="56" t="n">
        <f aca="false">IF(AND(K$77&gt;=$D$7,K$77&lt;=$E$7),$B$26*K26,0)</f>
        <v>0</v>
      </c>
      <c r="L108" s="56" t="n">
        <f aca="false">IF(AND(L$77&gt;=$D$7,L$77&lt;=$E$7),$B$26*L26,0)</f>
        <v>0</v>
      </c>
      <c r="M108" s="56" t="n">
        <f aca="false">IF(AND(M$77&gt;=$D$7,M$77&lt;=$E$7),$B$26*M26,0)</f>
        <v>0</v>
      </c>
      <c r="N108" s="56" t="n">
        <f aca="false">IF(AND(N$77&gt;=$D$7,N$77&lt;=$E$7),$B$26*N26,0)</f>
        <v>0</v>
      </c>
      <c r="O108" s="56" t="n">
        <f aca="false">IF(AND(O$77&gt;=$D$7,O$77&lt;=$E$7),$B$26*O26,0)</f>
        <v>0</v>
      </c>
      <c r="P108" s="56" t="n">
        <f aca="false">IF(AND(P$77&gt;=$D$7,P$77&lt;=$E$7),$B$26*P26,0)</f>
        <v>0</v>
      </c>
      <c r="Q108" s="56" t="n">
        <f aca="false">IF(AND(Q$77&gt;=$D$7,Q$77&lt;=$E$7),$B$26*Q26,0)</f>
        <v>0</v>
      </c>
      <c r="R108" s="56" t="n">
        <f aca="false">IF(AND(R$77&gt;=$D$7,R$77&lt;=$E$7),$B$26*R26,0)</f>
        <v>0</v>
      </c>
      <c r="S108" s="56" t="n">
        <f aca="false">IF(AND(S$77&gt;=$D$7,S$77&lt;=$E$7),$B$26*S26,0)</f>
        <v>0</v>
      </c>
      <c r="T108" s="56" t="n">
        <f aca="false">IF(AND(T$77&gt;=$D$7,T$77&lt;=$E$7),$B$26*T26,0)</f>
        <v>0</v>
      </c>
      <c r="U108" s="56" t="n">
        <f aca="false">IF(AND(U$77&gt;=$D$7,U$77&lt;=$E$7),$B$26*U26,0)</f>
        <v>0</v>
      </c>
      <c r="V108" s="56" t="n">
        <f aca="false">IF(AND(V$77&gt;=$D$7,V$77&lt;=$E$7),$B$26*V26,0)</f>
        <v>0</v>
      </c>
      <c r="W108" s="56" t="n">
        <f aca="false">IF(AND(W$77&gt;=$D$7,W$77&lt;=$E$7),$B$26*W26,0)</f>
        <v>27110</v>
      </c>
      <c r="X108" s="56" t="n">
        <f aca="false">IF(AND(X$77&gt;=$D$7,X$77&lt;=$E$7),$B$26*X26,0)</f>
        <v>27110</v>
      </c>
      <c r="Y108" s="56" t="n">
        <f aca="false">IF(AND(Y$77&gt;=$D$7,Y$77&lt;=$E$7),$B$26*Y26,0)</f>
        <v>27110</v>
      </c>
      <c r="Z108" s="56" t="n">
        <f aca="false">IF(AND(Z$77&gt;=$D$7,Z$77&lt;=$E$7),$B$26*Z26,0)</f>
        <v>27110</v>
      </c>
      <c r="AA108" s="57" t="n">
        <f aca="false">SUM(D108:Z108)</f>
        <v>108440</v>
      </c>
    </row>
    <row r="109" customFormat="false" ht="15" hidden="false" customHeight="false" outlineLevel="0" collapsed="false">
      <c r="A109" s="41" t="s">
        <v>48</v>
      </c>
      <c r="C109" s="41" t="n">
        <v>4</v>
      </c>
      <c r="D109" s="56" t="n">
        <f aca="false">IF(AND(D$77&gt;=$D$7,D$77&lt;=$E$7),$B$27*D27,0)</f>
        <v>0</v>
      </c>
      <c r="E109" s="56" t="n">
        <f aca="false">IF(AND(E$77&gt;=$D$7,E$77&lt;=$E$7),$B$27*E27,0)</f>
        <v>0</v>
      </c>
      <c r="F109" s="56" t="n">
        <f aca="false">IF(AND(F$77&gt;=$D$7,F$77&lt;=$E$7),$B$27*F27,0)</f>
        <v>0</v>
      </c>
      <c r="G109" s="56" t="n">
        <f aca="false">IF(AND(G$77&gt;=$D$7,G$77&lt;=$E$7),$B$27*G27,0)</f>
        <v>0</v>
      </c>
      <c r="H109" s="56" t="n">
        <f aca="false">IF(AND(H$77&gt;=$D$7,H$77&lt;=$E$7),$B$27*H27,0)</f>
        <v>0</v>
      </c>
      <c r="I109" s="56" t="n">
        <f aca="false">IF(AND(I$77&gt;=$D$7,I$77&lt;=$E$7),$B$27*I27,0)</f>
        <v>0</v>
      </c>
      <c r="J109" s="56" t="n">
        <f aca="false">IF(AND(J$77&gt;=$D$7,J$77&lt;=$E$7),$B$27*J27,0)</f>
        <v>0</v>
      </c>
      <c r="K109" s="56" t="n">
        <f aca="false">IF(AND(K$77&gt;=$D$7,K$77&lt;=$E$7),$B$27*K27,0)</f>
        <v>0</v>
      </c>
      <c r="L109" s="56" t="n">
        <f aca="false">IF(AND(L$77&gt;=$D$7,L$77&lt;=$E$7),$B$27*L27,0)</f>
        <v>0</v>
      </c>
      <c r="M109" s="56" t="n">
        <f aca="false">IF(AND(M$77&gt;=$D$7,M$77&lt;=$E$7),$B$27*M27,0)</f>
        <v>0</v>
      </c>
      <c r="N109" s="56" t="n">
        <f aca="false">IF(AND(N$77&gt;=$D$7,N$77&lt;=$E$7),$B$27*N27,0)</f>
        <v>0</v>
      </c>
      <c r="O109" s="56" t="n">
        <f aca="false">IF(AND(O$77&gt;=$D$7,O$77&lt;=$E$7),$B$27*O27,0)</f>
        <v>0</v>
      </c>
      <c r="P109" s="56" t="n">
        <f aca="false">IF(AND(P$77&gt;=$D$7,P$77&lt;=$E$7),$B$27*P27,0)</f>
        <v>0</v>
      </c>
      <c r="Q109" s="56" t="n">
        <f aca="false">IF(AND(Q$77&gt;=$D$7,Q$77&lt;=$E$7),$B$27*Q27,0)</f>
        <v>0</v>
      </c>
      <c r="R109" s="56" t="n">
        <f aca="false">IF(AND(R$77&gt;=$D$7,R$77&lt;=$E$7),$B$27*R27,0)</f>
        <v>0</v>
      </c>
      <c r="S109" s="56" t="n">
        <f aca="false">IF(AND(S$77&gt;=$D$7,S$77&lt;=$E$7),$B$27*S27,0)</f>
        <v>0</v>
      </c>
      <c r="T109" s="56" t="n">
        <f aca="false">IF(AND(T$77&gt;=$D$7,T$77&lt;=$E$7),$B$27*T27,0)</f>
        <v>0</v>
      </c>
      <c r="U109" s="56" t="n">
        <f aca="false">IF(AND(U$77&gt;=$D$7,U$77&lt;=$E$7),$B$27*U27,0)</f>
        <v>0</v>
      </c>
      <c r="V109" s="56" t="n">
        <f aca="false">IF(AND(V$77&gt;=$D$7,V$77&lt;=$E$7),$B$27*V27,0)</f>
        <v>0</v>
      </c>
      <c r="W109" s="56" t="n">
        <f aca="false">IF(AND(W$77&gt;=$D$7,W$77&lt;=$E$7),$B$27*W27,0)</f>
        <v>20625</v>
      </c>
      <c r="X109" s="56" t="n">
        <f aca="false">IF(AND(X$77&gt;=$D$7,X$77&lt;=$E$7),$B$27*X27,0)</f>
        <v>20625</v>
      </c>
      <c r="Y109" s="56" t="n">
        <f aca="false">IF(AND(Y$77&gt;=$D$7,Y$77&lt;=$E$7),$B$27*Y27,0)</f>
        <v>20625</v>
      </c>
      <c r="Z109" s="56" t="n">
        <f aca="false">IF(AND(Z$77&gt;=$D$7,Z$77&lt;=$E$7),$B$27*Z27,0)</f>
        <v>20625</v>
      </c>
      <c r="AA109" s="57" t="n">
        <f aca="false">SUM(D109:Z109)</f>
        <v>82500</v>
      </c>
    </row>
    <row r="110" customFormat="false" ht="15" hidden="false" customHeight="false" outlineLevel="0" collapsed="false">
      <c r="A110" s="41" t="s">
        <v>49</v>
      </c>
      <c r="C110" s="41" t="n">
        <v>4</v>
      </c>
      <c r="D110" s="56" t="n">
        <f aca="false">IF(AND(D$77&gt;=$D$7,D$77&lt;=$E$7),$B$28*D28,0)</f>
        <v>0</v>
      </c>
      <c r="E110" s="56" t="n">
        <f aca="false">IF(AND(E$77&gt;=$D$7,E$77&lt;=$E$7),$B$28*E28,0)</f>
        <v>0</v>
      </c>
      <c r="F110" s="56" t="n">
        <f aca="false">IF(AND(F$77&gt;=$D$7,F$77&lt;=$E$7),$B$28*F28,0)</f>
        <v>0</v>
      </c>
      <c r="G110" s="56" t="n">
        <f aca="false">IF(AND(G$77&gt;=$D$7,G$77&lt;=$E$7),$B$28*G28,0)</f>
        <v>0</v>
      </c>
      <c r="H110" s="56" t="n">
        <f aca="false">IF(AND(H$77&gt;=$D$7,H$77&lt;=$E$7),$B$28*H28,0)</f>
        <v>0</v>
      </c>
      <c r="I110" s="56" t="n">
        <f aca="false">IF(AND(I$77&gt;=$D$7,I$77&lt;=$E$7),$B$28*I28,0)</f>
        <v>0</v>
      </c>
      <c r="J110" s="56" t="n">
        <f aca="false">IF(AND(J$77&gt;=$D$7,J$77&lt;=$E$7),$B$28*J28,0)</f>
        <v>0</v>
      </c>
      <c r="K110" s="56" t="n">
        <f aca="false">IF(AND(K$77&gt;=$D$7,K$77&lt;=$E$7),$B$28*K28,0)</f>
        <v>0</v>
      </c>
      <c r="L110" s="56" t="n">
        <f aca="false">IF(AND(L$77&gt;=$D$7,L$77&lt;=$E$7),$B$28*L28,0)</f>
        <v>0</v>
      </c>
      <c r="M110" s="56" t="n">
        <f aca="false">IF(AND(M$77&gt;=$D$7,M$77&lt;=$E$7),$B$28*M28,0)</f>
        <v>0</v>
      </c>
      <c r="N110" s="56" t="n">
        <f aca="false">IF(AND(N$77&gt;=$D$7,N$77&lt;=$E$7),$B$28*N28,0)</f>
        <v>0</v>
      </c>
      <c r="O110" s="56" t="n">
        <f aca="false">IF(AND(O$77&gt;=$D$7,O$77&lt;=$E$7),$B$28*O28,0)</f>
        <v>0</v>
      </c>
      <c r="P110" s="56" t="n">
        <f aca="false">IF(AND(P$77&gt;=$D$7,P$77&lt;=$E$7),$B$28*P28,0)</f>
        <v>0</v>
      </c>
      <c r="Q110" s="56" t="n">
        <f aca="false">IF(AND(Q$77&gt;=$D$7,Q$77&lt;=$E$7),$B$28*Q28,0)</f>
        <v>0</v>
      </c>
      <c r="R110" s="56" t="n">
        <f aca="false">IF(AND(R$77&gt;=$D$7,R$77&lt;=$E$7),$B$28*R28,0)</f>
        <v>0</v>
      </c>
      <c r="S110" s="56" t="n">
        <f aca="false">IF(AND(S$77&gt;=$D$7,S$77&lt;=$E$7),$B$28*S28,0)</f>
        <v>0</v>
      </c>
      <c r="T110" s="56" t="n">
        <f aca="false">IF(AND(T$77&gt;=$D$7,T$77&lt;=$E$7),$B$28*T28,0)</f>
        <v>0</v>
      </c>
      <c r="U110" s="56" t="n">
        <f aca="false">IF(AND(U$77&gt;=$D$7,U$77&lt;=$E$7),$B$28*U28,0)</f>
        <v>0</v>
      </c>
      <c r="V110" s="56" t="n">
        <f aca="false">IF(AND(V$77&gt;=$D$7,V$77&lt;=$E$7),$B$28*V28,0)</f>
        <v>0</v>
      </c>
      <c r="W110" s="56" t="n">
        <f aca="false">IF(AND(W$77&gt;=$D$7,W$77&lt;=$E$7),$B$28*W28,0)</f>
        <v>7440</v>
      </c>
      <c r="X110" s="56" t="n">
        <f aca="false">IF(AND(X$77&gt;=$D$7,X$77&lt;=$E$7),$B$28*X28,0)</f>
        <v>7440</v>
      </c>
      <c r="Y110" s="56" t="n">
        <f aca="false">IF(AND(Y$77&gt;=$D$7,Y$77&lt;=$E$7),$B$28*Y28,0)</f>
        <v>7440</v>
      </c>
      <c r="Z110" s="56" t="n">
        <f aca="false">IF(AND(Z$77&gt;=$D$7,Z$77&lt;=$E$7),$B$28*Z28,0)</f>
        <v>7440</v>
      </c>
      <c r="AA110" s="57" t="n">
        <f aca="false">SUM(D110:Z110)</f>
        <v>29760</v>
      </c>
    </row>
    <row r="111" customFormat="false" ht="15" hidden="false" customHeight="false" outlineLevel="0" collapsed="false">
      <c r="A111" s="41" t="s">
        <v>50</v>
      </c>
      <c r="C111" s="41" t="n">
        <v>4</v>
      </c>
      <c r="D111" s="56" t="n">
        <f aca="false">IF(AND(D$77&gt;=$D$7,D$77&lt;=$E$7),$B$29*D29,0)</f>
        <v>0</v>
      </c>
      <c r="E111" s="56" t="n">
        <f aca="false">IF(AND(E$77&gt;=$D$7,E$77&lt;=$E$7),$B$29*E29,0)</f>
        <v>0</v>
      </c>
      <c r="F111" s="56" t="n">
        <f aca="false">IF(AND(F$77&gt;=$D$7,F$77&lt;=$E$7),$B$29*F29,0)</f>
        <v>0</v>
      </c>
      <c r="G111" s="56" t="n">
        <f aca="false">IF(AND(G$77&gt;=$D$7,G$77&lt;=$E$7),$B$29*G29,0)</f>
        <v>0</v>
      </c>
      <c r="H111" s="56" t="n">
        <f aca="false">IF(AND(H$77&gt;=$D$7,H$77&lt;=$E$7),$B$29*H29,0)</f>
        <v>0</v>
      </c>
      <c r="I111" s="56" t="n">
        <f aca="false">IF(AND(I$77&gt;=$D$7,I$77&lt;=$E$7),$B$29*I29,0)</f>
        <v>0</v>
      </c>
      <c r="J111" s="56" t="n">
        <f aca="false">IF(AND(J$77&gt;=$D$7,J$77&lt;=$E$7),$B$29*J29,0)</f>
        <v>0</v>
      </c>
      <c r="K111" s="56" t="n">
        <f aca="false">IF(AND(K$77&gt;=$D$7,K$77&lt;=$E$7),$B$29*K29,0)</f>
        <v>0</v>
      </c>
      <c r="L111" s="56" t="n">
        <f aca="false">IF(AND(L$77&gt;=$D$7,L$77&lt;=$E$7),$B$29*L29,0)</f>
        <v>0</v>
      </c>
      <c r="M111" s="56" t="n">
        <f aca="false">IF(AND(M$77&gt;=$D$7,M$77&lt;=$E$7),$B$29*M29,0)</f>
        <v>0</v>
      </c>
      <c r="N111" s="56" t="n">
        <f aca="false">IF(AND(N$77&gt;=$D$7,N$77&lt;=$E$7),$B$29*N29,0)</f>
        <v>0</v>
      </c>
      <c r="O111" s="56" t="n">
        <f aca="false">IF(AND(O$77&gt;=$D$7,O$77&lt;=$E$7),$B$29*O29,0)</f>
        <v>0</v>
      </c>
      <c r="P111" s="56" t="n">
        <f aca="false">IF(AND(P$77&gt;=$D$7,P$77&lt;=$E$7),$B$29*P29,0)</f>
        <v>0</v>
      </c>
      <c r="Q111" s="56" t="n">
        <f aca="false">IF(AND(Q$77&gt;=$D$7,Q$77&lt;=$E$7),$B$29*Q29,0)</f>
        <v>0</v>
      </c>
      <c r="R111" s="56" t="n">
        <f aca="false">IF(AND(R$77&gt;=$D$7,R$77&lt;=$E$7),$B$29*R29,0)</f>
        <v>0</v>
      </c>
      <c r="S111" s="56" t="n">
        <f aca="false">IF(AND(S$77&gt;=$D$7,S$77&lt;=$E$7),$B$29*S29,0)</f>
        <v>0</v>
      </c>
      <c r="T111" s="56" t="n">
        <f aca="false">IF(AND(T$77&gt;=$D$7,T$77&lt;=$E$7),$B$29*T29,0)</f>
        <v>0</v>
      </c>
      <c r="U111" s="56" t="n">
        <f aca="false">IF(AND(U$77&gt;=$D$7,U$77&lt;=$E$7),$B$29*U29,0)</f>
        <v>0</v>
      </c>
      <c r="V111" s="56" t="n">
        <f aca="false">IF(AND(V$77&gt;=$D$7,V$77&lt;=$E$7),$B$29*V29,0)</f>
        <v>0</v>
      </c>
      <c r="W111" s="56" t="n">
        <f aca="false">IF(AND(W$77&gt;=$D$7,W$77&lt;=$E$7),$B$29*W29,0)</f>
        <v>20625</v>
      </c>
      <c r="X111" s="56" t="n">
        <f aca="false">IF(AND(X$77&gt;=$D$7,X$77&lt;=$E$7),$B$29*X29,0)</f>
        <v>20625</v>
      </c>
      <c r="Y111" s="56" t="n">
        <f aca="false">IF(AND(Y$77&gt;=$D$7,Y$77&lt;=$E$7),$B$29*Y29,0)</f>
        <v>20625</v>
      </c>
      <c r="Z111" s="56" t="n">
        <f aca="false">IF(AND(Z$77&gt;=$D$7,Z$77&lt;=$E$7),$B$29*Z29,0)</f>
        <v>20625</v>
      </c>
      <c r="AA111" s="57" t="n">
        <f aca="false">SUM(D111:Z111)</f>
        <v>82500</v>
      </c>
    </row>
    <row r="112" customFormat="false" ht="15" hidden="false" customHeight="false" outlineLevel="0" collapsed="false">
      <c r="A112" s="41" t="s">
        <v>51</v>
      </c>
      <c r="C112" s="41" t="n">
        <v>4</v>
      </c>
      <c r="D112" s="56" t="n">
        <f aca="false">IF(AND(D$77&gt;=$D$7,D$77&lt;=$E$7),$B$32*D32,0)</f>
        <v>0</v>
      </c>
      <c r="E112" s="56" t="n">
        <f aca="false">IF(AND(E$77&gt;=$D$7,E$77&lt;=$E$7),$B$32*E32,0)</f>
        <v>0</v>
      </c>
      <c r="F112" s="56" t="n">
        <f aca="false">IF(AND(F$77&gt;=$D$7,F$77&lt;=$E$7),$B$32*F32,0)</f>
        <v>0</v>
      </c>
      <c r="G112" s="56" t="n">
        <f aca="false">IF(AND(G$77&gt;=$D$7,G$77&lt;=$E$7),$B$32*G32,0)</f>
        <v>0</v>
      </c>
      <c r="H112" s="56" t="n">
        <f aca="false">IF(AND(H$77&gt;=$D$7,H$77&lt;=$E$7),$B$32*H32,0)</f>
        <v>0</v>
      </c>
      <c r="I112" s="56" t="n">
        <f aca="false">IF(AND(I$77&gt;=$D$7,I$77&lt;=$E$7),$B$32*I32,0)</f>
        <v>0</v>
      </c>
      <c r="J112" s="56" t="n">
        <f aca="false">IF(AND(J$77&gt;=$D$7,J$77&lt;=$E$7),$B$32*J32,0)</f>
        <v>0</v>
      </c>
      <c r="K112" s="56" t="n">
        <f aca="false">IF(AND(K$77&gt;=$D$7,K$77&lt;=$E$7),$B$32*K32,0)</f>
        <v>0</v>
      </c>
      <c r="L112" s="56" t="n">
        <f aca="false">IF(AND(L$77&gt;=$D$7,L$77&lt;=$E$7),$B$32*L32,0)</f>
        <v>0</v>
      </c>
      <c r="M112" s="56" t="n">
        <f aca="false">IF(AND(M$77&gt;=$D$7,M$77&lt;=$E$7),$B$32*M32,0)</f>
        <v>0</v>
      </c>
      <c r="N112" s="56" t="n">
        <f aca="false">IF(AND(N$77&gt;=$D$7,N$77&lt;=$E$7),$B$32*N32,0)</f>
        <v>0</v>
      </c>
      <c r="O112" s="56" t="n">
        <f aca="false">IF(AND(O$77&gt;=$D$7,O$77&lt;=$E$7),$B$32*O32,0)</f>
        <v>0</v>
      </c>
      <c r="P112" s="56" t="n">
        <f aca="false">IF(AND(P$77&gt;=$D$7,P$77&lt;=$E$7),$B$32*P32,0)</f>
        <v>0</v>
      </c>
      <c r="Q112" s="56" t="n">
        <f aca="false">IF(AND(Q$77&gt;=$D$7,Q$77&lt;=$E$7),$B$32*Q32,0)</f>
        <v>0</v>
      </c>
      <c r="R112" s="56" t="n">
        <f aca="false">IF(AND(R$77&gt;=$D$7,R$77&lt;=$E$7),$B$32*R32,0)</f>
        <v>0</v>
      </c>
      <c r="S112" s="56" t="n">
        <f aca="false">IF(AND(S$77&gt;=$D$7,S$77&lt;=$E$7),$B$32*S32,0)</f>
        <v>0</v>
      </c>
      <c r="T112" s="56" t="n">
        <f aca="false">IF(AND(T$77&gt;=$D$7,T$77&lt;=$E$7),$B$32*T32,0)</f>
        <v>0</v>
      </c>
      <c r="U112" s="56" t="n">
        <f aca="false">IF(AND(U$77&gt;=$D$7,U$77&lt;=$E$7),$B$32*U32,0)</f>
        <v>0</v>
      </c>
      <c r="V112" s="56" t="n">
        <f aca="false">IF(AND(V$77&gt;=$D$7,V$77&lt;=$E$7),$B$32*V32,0)</f>
        <v>0</v>
      </c>
      <c r="W112" s="56" t="n">
        <f aca="false">IF(AND(W$77&gt;=$D$7,W$77&lt;=$E$7),$B$32*W32,0)</f>
        <v>569.02</v>
      </c>
      <c r="X112" s="56" t="n">
        <f aca="false">IF(AND(X$77&gt;=$D$7,X$77&lt;=$E$7),$B$32*X32,0)</f>
        <v>569.02</v>
      </c>
      <c r="Y112" s="56" t="n">
        <f aca="false">IF(AND(Y$77&gt;=$D$7,Y$77&lt;=$E$7),$B$32*Y32,0)</f>
        <v>569.02</v>
      </c>
      <c r="Z112" s="56" t="n">
        <f aca="false">IF(AND(Z$77&gt;=$D$7,Z$77&lt;=$E$7),$B$32*Z32,0)</f>
        <v>569.02</v>
      </c>
      <c r="AA112" s="57" t="n">
        <f aca="false">SUM(D112:Z112)</f>
        <v>2276.08</v>
      </c>
    </row>
    <row r="113" customFormat="false" ht="15" hidden="false" customHeight="false" outlineLevel="0" collapsed="false">
      <c r="A113" s="41" t="s">
        <v>52</v>
      </c>
      <c r="C113" s="41" t="n">
        <v>4</v>
      </c>
      <c r="D113" s="56" t="n">
        <f aca="false">IF(AND(D$77&gt;=$D$7,D$77&lt;=$E$7),$B$30*D30,0)</f>
        <v>0</v>
      </c>
      <c r="E113" s="56" t="n">
        <f aca="false">IF(AND(E$77&gt;=$D$7,E$77&lt;=$E$7),$B$30*E30,0)</f>
        <v>0</v>
      </c>
      <c r="F113" s="56" t="n">
        <f aca="false">IF(AND(F$77&gt;=$D$7,F$77&lt;=$E$7),$B$30*F30,0)</f>
        <v>0</v>
      </c>
      <c r="G113" s="56" t="n">
        <f aca="false">IF(AND(G$77&gt;=$D$7,G$77&lt;=$E$7),$B$30*G30,0)</f>
        <v>0</v>
      </c>
      <c r="H113" s="56" t="n">
        <f aca="false">IF(AND(H$77&gt;=$D$7,H$77&lt;=$E$7),$B$30*H30,0)</f>
        <v>0</v>
      </c>
      <c r="I113" s="56" t="n">
        <f aca="false">IF(AND(I$77&gt;=$D$7,I$77&lt;=$E$7),$B$30*I30,0)</f>
        <v>0</v>
      </c>
      <c r="J113" s="56" t="n">
        <f aca="false">IF(AND(J$77&gt;=$D$7,J$77&lt;=$E$7),$B$30*J30,0)</f>
        <v>0</v>
      </c>
      <c r="K113" s="56" t="n">
        <f aca="false">IF(AND(K$77&gt;=$D$7,K$77&lt;=$E$7),$B$30*K30,0)</f>
        <v>0</v>
      </c>
      <c r="L113" s="56" t="n">
        <f aca="false">IF(AND(L$77&gt;=$D$7,L$77&lt;=$E$7),$B$30*L30,0)</f>
        <v>0</v>
      </c>
      <c r="M113" s="56" t="n">
        <f aca="false">IF(AND(M$77&gt;=$D$7,M$77&lt;=$E$7),$B$30*M30,0)</f>
        <v>0</v>
      </c>
      <c r="N113" s="56" t="n">
        <f aca="false">IF(AND(N$77&gt;=$D$7,N$77&lt;=$E$7),$B$30*N30,0)</f>
        <v>0</v>
      </c>
      <c r="O113" s="56" t="n">
        <f aca="false">IF(AND(O$77&gt;=$D$7,O$77&lt;=$E$7),$B$30*O30,0)</f>
        <v>0</v>
      </c>
      <c r="P113" s="56" t="n">
        <f aca="false">IF(AND(P$77&gt;=$D$7,P$77&lt;=$E$7),$B$30*P30,0)</f>
        <v>0</v>
      </c>
      <c r="Q113" s="56" t="n">
        <f aca="false">IF(AND(Q$77&gt;=$D$7,Q$77&lt;=$E$7),$B$30*Q30,0)</f>
        <v>0</v>
      </c>
      <c r="R113" s="56" t="n">
        <f aca="false">IF(AND(R$77&gt;=$D$7,R$77&lt;=$E$7),$B$30*R30,0)</f>
        <v>0</v>
      </c>
      <c r="S113" s="56" t="n">
        <f aca="false">IF(AND(S$77&gt;=$D$7,S$77&lt;=$E$7),$B$30*S30,0)</f>
        <v>0</v>
      </c>
      <c r="T113" s="56" t="n">
        <f aca="false">IF(AND(T$77&gt;=$D$7,T$77&lt;=$E$7),$B$30*T30,0)</f>
        <v>0</v>
      </c>
      <c r="U113" s="56" t="n">
        <f aca="false">IF(AND(U$77&gt;=$D$7,U$77&lt;=$E$7),$B$30*U30,0)</f>
        <v>0</v>
      </c>
      <c r="V113" s="56" t="n">
        <f aca="false">IF(AND(V$77&gt;=$D$7,V$77&lt;=$E$7),$B$30*V30,0)</f>
        <v>0</v>
      </c>
      <c r="W113" s="56" t="n">
        <f aca="false">IF(AND(W$77&gt;=$D$7,W$77&lt;=$E$7),$B$30*W30,0)</f>
        <v>19750</v>
      </c>
      <c r="X113" s="56" t="n">
        <f aca="false">IF(AND(X$77&gt;=$D$7,X$77&lt;=$E$7),$B$30*X30,0)</f>
        <v>19750</v>
      </c>
      <c r="Y113" s="56" t="n">
        <f aca="false">IF(AND(Y$77&gt;=$D$7,Y$77&lt;=$E$7),$B$30*Y30,0)</f>
        <v>19750</v>
      </c>
      <c r="Z113" s="56" t="n">
        <f aca="false">IF(AND(Z$77&gt;=$D$7,Z$77&lt;=$E$7),$B$30*Z30,0)</f>
        <v>19750</v>
      </c>
      <c r="AA113" s="57" t="n">
        <f aca="false">SUM(D113:Z113)</f>
        <v>79000</v>
      </c>
    </row>
    <row r="114" customFormat="false" ht="15" hidden="false" customHeight="false" outlineLevel="0" collapsed="false">
      <c r="A114" s="41" t="s">
        <v>53</v>
      </c>
      <c r="C114" s="41" t="n">
        <v>4</v>
      </c>
      <c r="D114" s="56" t="n">
        <f aca="false">IF(AND(D$77&gt;=$D$7,D$77&lt;=$E$7),$B$31*D31,0)</f>
        <v>0</v>
      </c>
      <c r="E114" s="56" t="n">
        <f aca="false">IF(AND(E$77&gt;=$D$7,E$77&lt;=$E$7),$B$31*E31,0)</f>
        <v>0</v>
      </c>
      <c r="F114" s="56" t="n">
        <f aca="false">IF(AND(F$77&gt;=$D$7,F$77&lt;=$E$7),$B$31*F31,0)</f>
        <v>0</v>
      </c>
      <c r="G114" s="56" t="n">
        <f aca="false">IF(AND(G$77&gt;=$D$7,G$77&lt;=$E$7),$B$31*G31,0)</f>
        <v>0</v>
      </c>
      <c r="H114" s="56" t="n">
        <f aca="false">IF(AND(H$77&gt;=$D$7,H$77&lt;=$E$7),$B$31*H31,0)</f>
        <v>0</v>
      </c>
      <c r="I114" s="56" t="n">
        <f aca="false">IF(AND(I$77&gt;=$D$7,I$77&lt;=$E$7),$B$31*I31,0)</f>
        <v>0</v>
      </c>
      <c r="J114" s="56" t="n">
        <f aca="false">IF(AND(J$77&gt;=$D$7,J$77&lt;=$E$7),$B$31*J31,0)</f>
        <v>0</v>
      </c>
      <c r="K114" s="56" t="n">
        <f aca="false">IF(AND(K$77&gt;=$D$7,K$77&lt;=$E$7),$B$31*K31,0)</f>
        <v>0</v>
      </c>
      <c r="L114" s="56" t="n">
        <f aca="false">IF(AND(L$77&gt;=$D$7,L$77&lt;=$E$7),$B$31*L31,0)</f>
        <v>0</v>
      </c>
      <c r="M114" s="56" t="n">
        <f aca="false">IF(AND(M$77&gt;=$D$7,M$77&lt;=$E$7),$B$31*M31,0)</f>
        <v>0</v>
      </c>
      <c r="N114" s="56" t="n">
        <f aca="false">IF(AND(N$77&gt;=$D$7,N$77&lt;=$E$7),$B$31*N31,0)</f>
        <v>0</v>
      </c>
      <c r="O114" s="56" t="n">
        <f aca="false">IF(AND(O$77&gt;=$D$7,O$77&lt;=$E$7),$B$31*O31,0)</f>
        <v>0</v>
      </c>
      <c r="P114" s="56" t="n">
        <f aca="false">IF(AND(P$77&gt;=$D$7,P$77&lt;=$E$7),$B$31*P31,0)</f>
        <v>0</v>
      </c>
      <c r="Q114" s="56" t="n">
        <f aca="false">IF(AND(Q$77&gt;=$D$7,Q$77&lt;=$E$7),$B$31*Q31,0)</f>
        <v>0</v>
      </c>
      <c r="R114" s="56" t="n">
        <f aca="false">IF(AND(R$77&gt;=$D$7,R$77&lt;=$E$7),$B$31*R31,0)</f>
        <v>0</v>
      </c>
      <c r="S114" s="56" t="n">
        <f aca="false">IF(AND(S$77&gt;=$D$7,S$77&lt;=$E$7),$B$31*S31,0)</f>
        <v>0</v>
      </c>
      <c r="T114" s="56" t="n">
        <f aca="false">IF(AND(T$77&gt;=$D$7,T$77&lt;=$E$7),$B$31*T31,0)</f>
        <v>0</v>
      </c>
      <c r="U114" s="56" t="n">
        <f aca="false">IF(AND(U$77&gt;=$D$7,U$77&lt;=$E$7),$B$31*U31,0)</f>
        <v>0</v>
      </c>
      <c r="V114" s="56" t="n">
        <f aca="false">IF(AND(V$77&gt;=$D$7,V$77&lt;=$E$7),$B$31*V31,0)</f>
        <v>0</v>
      </c>
      <c r="W114" s="56" t="n">
        <f aca="false">IF(AND(W$77&gt;=$D$7,W$77&lt;=$E$7),$B$31*W31,0)</f>
        <v>4920</v>
      </c>
      <c r="X114" s="56" t="n">
        <f aca="false">IF(AND(X$77&gt;=$D$7,X$77&lt;=$E$7),$B$31*X31,0)</f>
        <v>4920</v>
      </c>
      <c r="Y114" s="56" t="n">
        <f aca="false">IF(AND(Y$77&gt;=$D$7,Y$77&lt;=$E$7),$B$31*Y31,0)</f>
        <v>4920</v>
      </c>
      <c r="Z114" s="56" t="n">
        <f aca="false">IF(AND(Z$77&gt;=$D$7,Z$77&lt;=$E$7),$B$31*Z31,0)</f>
        <v>4920</v>
      </c>
      <c r="AA114" s="57" t="n">
        <f aca="false">SUM(D114:Z114)</f>
        <v>19680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26" min="4" style="0" width="12"/>
  </cols>
  <sheetData>
    <row r="1" customFormat="false" ht="15" hidden="false" customHeight="false" outlineLevel="0" collapsed="false">
      <c r="A1" s="39" t="s">
        <v>223</v>
      </c>
    </row>
    <row r="2" customFormat="false" ht="15" hidden="false" customHeight="false" outlineLevel="0" collapsed="false">
      <c r="A2" s="51" t="s">
        <v>224</v>
      </c>
    </row>
    <row r="3" customFormat="false" ht="15" hidden="false" customHeight="false" outlineLevel="0" collapsed="false">
      <c r="A3" s="58" t="s">
        <v>225</v>
      </c>
      <c r="B3" s="59"/>
      <c r="C3" s="59"/>
      <c r="D3" s="59" t="str">
        <f aca="false">IF(D$4&lt;='plan etatów'!$E$5,"wykonanie","prognoza")</f>
        <v>wykonanie</v>
      </c>
      <c r="E3" s="59" t="str">
        <f aca="false">IF(E$4&lt;='plan etatów'!$E$5,"wykonanie","prognoza")</f>
        <v>wykonanie</v>
      </c>
      <c r="F3" s="59" t="str">
        <f aca="false">IF(F$4&lt;='plan etatów'!$E$5,"wykonanie","prognoza")</f>
        <v>wykonanie</v>
      </c>
      <c r="G3" s="59" t="str">
        <f aca="false">IF(G$4&lt;='plan etatów'!$E$5,"wykonanie","prognoza")</f>
        <v>wykonanie</v>
      </c>
      <c r="H3" s="59" t="str">
        <f aca="false">IF(H$4&lt;='plan etatów'!$E$5,"wykonanie","prognoza")</f>
        <v>wykonanie</v>
      </c>
      <c r="I3" s="59" t="str">
        <f aca="false">IF(I$4&lt;='plan etatów'!$E$5,"wykonanie","prognoza")</f>
        <v>wykonanie</v>
      </c>
      <c r="J3" s="59" t="str">
        <f aca="false">IF(J$4&lt;='plan etatów'!$E$5,"wykonanie","prognoza")</f>
        <v>wykonanie</v>
      </c>
      <c r="K3" s="59" t="str">
        <f aca="false">IF(K$4&lt;='plan etatów'!$E$5,"wykonanie","prognoza")</f>
        <v>wykonanie</v>
      </c>
      <c r="L3" s="59" t="str">
        <f aca="false">IF(L$4&lt;='plan etatów'!$E$5,"wykonanie","prognoza")</f>
        <v>wykonanie</v>
      </c>
      <c r="M3" s="59" t="str">
        <f aca="false">IF(M$4&lt;='plan etatów'!$E$5,"wykonanie","prognoza")</f>
        <v>wykonanie</v>
      </c>
      <c r="N3" s="59" t="str">
        <f aca="false">IF(N$4&lt;='plan etatów'!$E$5,"wykonanie","prognoza")</f>
        <v>wykonanie</v>
      </c>
      <c r="O3" s="59" t="str">
        <f aca="false">IF(O$4&lt;='plan etatów'!$E$5,"wykonanie","prognoza")</f>
        <v>prognoza</v>
      </c>
      <c r="P3" s="59" t="str">
        <f aca="false">IF(P$4&lt;='plan etatów'!$E$5,"wykonanie","prognoza")</f>
        <v>prognoza</v>
      </c>
      <c r="Q3" s="59" t="str">
        <f aca="false">IF(Q$4&lt;='plan etatów'!$E$5,"wykonanie","prognoza")</f>
        <v>prognoza</v>
      </c>
      <c r="R3" s="59" t="str">
        <f aca="false">IF(R$4&lt;='plan etatów'!$E$5,"wykonanie","prognoza")</f>
        <v>prognoza</v>
      </c>
      <c r="S3" s="59" t="str">
        <f aca="false">IF(S$4&lt;='plan etatów'!$E$5,"wykonanie","prognoza")</f>
        <v>prognoza</v>
      </c>
      <c r="T3" s="59" t="str">
        <f aca="false">IF(T$4&lt;='plan etatów'!$E$5,"wykonanie","prognoza")</f>
        <v>prognoza</v>
      </c>
      <c r="U3" s="59" t="str">
        <f aca="false">IF(U$4&lt;='plan etatów'!$E$5,"wykonanie","prognoza")</f>
        <v>prognoza</v>
      </c>
      <c r="V3" s="59" t="str">
        <f aca="false">IF(V$4&lt;='plan etatów'!$E$5,"wykonanie","prognoza")</f>
        <v>prognoza</v>
      </c>
      <c r="W3" s="59" t="str">
        <f aca="false">IF(W$4&lt;='plan etatów'!$E$5,"wykonanie","prognoza")</f>
        <v>prognoza</v>
      </c>
      <c r="X3" s="59" t="str">
        <f aca="false">IF(X$4&lt;='plan etatów'!$E$5,"wykonanie","prognoza")</f>
        <v>prognoza</v>
      </c>
      <c r="Y3" s="59" t="str">
        <f aca="false">IF(Y$4&lt;='plan etatów'!$E$5,"wykonanie","prognoza")</f>
        <v>prognoza</v>
      </c>
      <c r="Z3" s="59" t="str">
        <f aca="false">IF(Z$4&lt;='plan etatów'!$E$5,"wykonanie","prognoza")</f>
        <v>prognoza</v>
      </c>
    </row>
    <row r="4" customFormat="false" ht="15" hidden="false" customHeight="false" outlineLevel="0" collapsed="false">
      <c r="A4" s="58" t="s">
        <v>226</v>
      </c>
      <c r="B4" s="59" t="s">
        <v>211</v>
      </c>
      <c r="C4" s="59" t="s">
        <v>227</v>
      </c>
      <c r="D4" s="59" t="n">
        <v>1</v>
      </c>
      <c r="E4" s="59" t="n">
        <v>2</v>
      </c>
      <c r="F4" s="59" t="n">
        <v>3</v>
      </c>
      <c r="G4" s="59" t="n">
        <v>4</v>
      </c>
      <c r="H4" s="59" t="n">
        <v>5</v>
      </c>
      <c r="I4" s="59" t="n">
        <v>6</v>
      </c>
      <c r="J4" s="59" t="n">
        <v>7</v>
      </c>
      <c r="K4" s="59" t="n">
        <v>8</v>
      </c>
      <c r="L4" s="59" t="n">
        <v>9</v>
      </c>
      <c r="M4" s="59" t="n">
        <v>10</v>
      </c>
      <c r="N4" s="59" t="n">
        <v>11</v>
      </c>
      <c r="O4" s="59" t="n">
        <v>12</v>
      </c>
      <c r="P4" s="59" t="n">
        <v>13</v>
      </c>
      <c r="Q4" s="59" t="n">
        <v>14</v>
      </c>
      <c r="R4" s="59" t="n">
        <v>15</v>
      </c>
      <c r="S4" s="59" t="n">
        <v>16</v>
      </c>
      <c r="T4" s="59" t="n">
        <v>17</v>
      </c>
      <c r="U4" s="59" t="n">
        <v>18</v>
      </c>
      <c r="V4" s="59" t="n">
        <v>19</v>
      </c>
      <c r="W4" s="59" t="n">
        <v>20</v>
      </c>
      <c r="X4" s="59" t="n">
        <v>21</v>
      </c>
      <c r="Y4" s="59" t="n">
        <v>22</v>
      </c>
      <c r="Z4" s="59" t="n">
        <v>23</v>
      </c>
    </row>
    <row r="5" customFormat="false" ht="15" hidden="false" customHeight="false" outlineLevel="0" collapsed="false">
      <c r="A5" s="58" t="s">
        <v>228</v>
      </c>
      <c r="B5" s="59"/>
      <c r="C5" s="59"/>
      <c r="D5" s="59" t="str">
        <f aca="false">IF(D$4&lt;='plan etatów'!$E$4,"Z1",IF(D$4&lt;='plan etatów'!$E$5,"Z2",IF(D$4&lt;='plan etatów'!$E$6,"Z3","Z4")))</f>
        <v>Z1</v>
      </c>
      <c r="E5" s="59" t="str">
        <f aca="false">IF(E$4&lt;='plan etatów'!$E$4,"Z1",IF(E$4&lt;='plan etatów'!$E$5,"Z2",IF(E$4&lt;='plan etatów'!$E$6,"Z3","Z4")))</f>
        <v>Z1</v>
      </c>
      <c r="F5" s="59" t="str">
        <f aca="false">IF(F$4&lt;='plan etatów'!$E$4,"Z1",IF(F$4&lt;='plan etatów'!$E$5,"Z2",IF(F$4&lt;='plan etatów'!$E$6,"Z3","Z4")))</f>
        <v>Z1</v>
      </c>
      <c r="G5" s="59" t="str">
        <f aca="false">IF(G$4&lt;='plan etatów'!$E$4,"Z1",IF(G$4&lt;='plan etatów'!$E$5,"Z2",IF(G$4&lt;='plan etatów'!$E$6,"Z3","Z4")))</f>
        <v>Z1</v>
      </c>
      <c r="H5" s="59" t="str">
        <f aca="false">IF(H$4&lt;='plan etatów'!$E$4,"Z1",IF(H$4&lt;='plan etatów'!$E$5,"Z2",IF(H$4&lt;='plan etatów'!$E$6,"Z3","Z4")))</f>
        <v>Z1</v>
      </c>
      <c r="I5" s="59" t="str">
        <f aca="false">IF(I$4&lt;='plan etatów'!$E$4,"Z1",IF(I$4&lt;='plan etatów'!$E$5,"Z2",IF(I$4&lt;='plan etatów'!$E$6,"Z3","Z4")))</f>
        <v>Z2</v>
      </c>
      <c r="J5" s="59" t="str">
        <f aca="false">IF(J$4&lt;='plan etatów'!$E$4,"Z1",IF(J$4&lt;='plan etatów'!$E$5,"Z2",IF(J$4&lt;='plan etatów'!$E$6,"Z3","Z4")))</f>
        <v>Z2</v>
      </c>
      <c r="K5" s="59" t="str">
        <f aca="false">IF(K$4&lt;='plan etatów'!$E$4,"Z1",IF(K$4&lt;='plan etatów'!$E$5,"Z2",IF(K$4&lt;='plan etatów'!$E$6,"Z3","Z4")))</f>
        <v>Z2</v>
      </c>
      <c r="L5" s="59" t="str">
        <f aca="false">IF(L$4&lt;='plan etatów'!$E$4,"Z1",IF(L$4&lt;='plan etatów'!$E$5,"Z2",IF(L$4&lt;='plan etatów'!$E$6,"Z3","Z4")))</f>
        <v>Z2</v>
      </c>
      <c r="M5" s="59" t="str">
        <f aca="false">IF(M$4&lt;='plan etatów'!$E$4,"Z1",IF(M$4&lt;='plan etatów'!$E$5,"Z2",IF(M$4&lt;='plan etatów'!$E$6,"Z3","Z4")))</f>
        <v>Z2</v>
      </c>
      <c r="N5" s="59" t="str">
        <f aca="false">IF(N$4&lt;='plan etatów'!$E$4,"Z1",IF(N$4&lt;='plan etatów'!$E$5,"Z2",IF(N$4&lt;='plan etatów'!$E$6,"Z3","Z4")))</f>
        <v>Z2</v>
      </c>
      <c r="O5" s="59" t="str">
        <f aca="false">IF(O$4&lt;='plan etatów'!$E$4,"Z1",IF(O$4&lt;='plan etatów'!$E$5,"Z2",IF(O$4&lt;='plan etatów'!$E$6,"Z3","Z4")))</f>
        <v>Z3</v>
      </c>
      <c r="P5" s="59" t="str">
        <f aca="false">IF(P$4&lt;='plan etatów'!$E$4,"Z1",IF(P$4&lt;='plan etatów'!$E$5,"Z2",IF(P$4&lt;='plan etatów'!$E$6,"Z3","Z4")))</f>
        <v>Z3</v>
      </c>
      <c r="Q5" s="59" t="str">
        <f aca="false">IF(Q$4&lt;='plan etatów'!$E$4,"Z1",IF(Q$4&lt;='plan etatów'!$E$5,"Z2",IF(Q$4&lt;='plan etatów'!$E$6,"Z3","Z4")))</f>
        <v>Z3</v>
      </c>
      <c r="R5" s="59" t="str">
        <f aca="false">IF(R$4&lt;='plan etatów'!$E$4,"Z1",IF(R$4&lt;='plan etatów'!$E$5,"Z2",IF(R$4&lt;='plan etatów'!$E$6,"Z3","Z4")))</f>
        <v>Z3</v>
      </c>
      <c r="S5" s="59" t="str">
        <f aca="false">IF(S$4&lt;='plan etatów'!$E$4,"Z1",IF(S$4&lt;='plan etatów'!$E$5,"Z2",IF(S$4&lt;='plan etatów'!$E$6,"Z3","Z4")))</f>
        <v>Z3</v>
      </c>
      <c r="T5" s="59" t="str">
        <f aca="false">IF(T$4&lt;='plan etatów'!$E$4,"Z1",IF(T$4&lt;='plan etatów'!$E$5,"Z2",IF(T$4&lt;='plan etatów'!$E$6,"Z3","Z4")))</f>
        <v>Z3</v>
      </c>
      <c r="U5" s="59" t="str">
        <f aca="false">IF(U$4&lt;='plan etatów'!$E$4,"Z1",IF(U$4&lt;='plan etatów'!$E$5,"Z2",IF(U$4&lt;='plan etatów'!$E$6,"Z3","Z4")))</f>
        <v>Z3</v>
      </c>
      <c r="V5" s="59" t="str">
        <f aca="false">IF(V$4&lt;='plan etatów'!$E$4,"Z1",IF(V$4&lt;='plan etatów'!$E$5,"Z2",IF(V$4&lt;='plan etatów'!$E$6,"Z3","Z4")))</f>
        <v>Z3</v>
      </c>
      <c r="W5" s="59" t="str">
        <f aca="false">IF(W$4&lt;='plan etatów'!$E$4,"Z1",IF(W$4&lt;='plan etatów'!$E$5,"Z2",IF(W$4&lt;='plan etatów'!$E$6,"Z3","Z4")))</f>
        <v>Z4</v>
      </c>
      <c r="X5" s="59" t="str">
        <f aca="false">IF(X$4&lt;='plan etatów'!$E$4,"Z1",IF(X$4&lt;='plan etatów'!$E$5,"Z2",IF(X$4&lt;='plan etatów'!$E$6,"Z3","Z4")))</f>
        <v>Z4</v>
      </c>
      <c r="Y5" s="59" t="str">
        <f aca="false">IF(Y$4&lt;='plan etatów'!$E$4,"Z1",IF(Y$4&lt;='plan etatów'!$E$5,"Z2",IF(Y$4&lt;='plan etatów'!$E$6,"Z3","Z4")))</f>
        <v>Z4</v>
      </c>
      <c r="Z5" s="59" t="str">
        <f aca="false">IF(Z$4&lt;='plan etatów'!$E$4,"Z1",IF(Z$4&lt;='plan etatów'!$E$5,"Z2",IF(Z$4&lt;='plan etatów'!$E$6,"Z3","Z4")))</f>
        <v>Z4</v>
      </c>
    </row>
    <row r="6" customFormat="false" ht="15" hidden="false" customHeight="false" outlineLevel="0" collapsed="false">
      <c r="A6" s="58" t="s">
        <v>229</v>
      </c>
      <c r="B6" s="59"/>
      <c r="C6" s="59"/>
      <c r="D6" s="59" t="str">
        <f aca="false">IF(D$4&lt;='plan etatów'!$C$4,"Z1",IF(D$4&lt;='plan etatów'!$C$5,"Z2",IF(D$4&lt;='plan etatów'!$C$6,"Z3",IF(D$4&lt;='plan etatów'!$C$7,"Z4","–"))))</f>
        <v>Z1</v>
      </c>
      <c r="E6" s="59" t="str">
        <f aca="false">IF(E$4&lt;='plan etatów'!$C$4,"Z1",IF(E$4&lt;='plan etatów'!$C$5,"Z2",IF(E$4&lt;='plan etatów'!$C$6,"Z3",IF(E$4&lt;='plan etatów'!$C$7,"Z4","–"))))</f>
        <v>Z1</v>
      </c>
      <c r="F6" s="59" t="str">
        <f aca="false">IF(F$4&lt;='plan etatów'!$C$4,"Z1",IF(F$4&lt;='plan etatów'!$C$5,"Z2",IF(F$4&lt;='plan etatów'!$C$6,"Z3",IF(F$4&lt;='plan etatów'!$C$7,"Z4","–"))))</f>
        <v>Z1</v>
      </c>
      <c r="G6" s="59" t="str">
        <f aca="false">IF(G$4&lt;='plan etatów'!$C$4,"Z1",IF(G$4&lt;='plan etatów'!$C$5,"Z2",IF(G$4&lt;='plan etatów'!$C$6,"Z3",IF(G$4&lt;='plan etatów'!$C$7,"Z4","–"))))</f>
        <v>Z1</v>
      </c>
      <c r="H6" s="59" t="str">
        <f aca="false">IF(H$4&lt;='plan etatów'!$C$4,"Z1",IF(H$4&lt;='plan etatów'!$C$5,"Z2",IF(H$4&lt;='plan etatów'!$C$6,"Z3",IF(H$4&lt;='plan etatów'!$C$7,"Z4","–"))))</f>
        <v>Z1</v>
      </c>
      <c r="I6" s="59" t="str">
        <f aca="false">IF(I$4&lt;='plan etatów'!$C$4,"Z1",IF(I$4&lt;='plan etatów'!$C$5,"Z2",IF(I$4&lt;='plan etatów'!$C$6,"Z3",IF(I$4&lt;='plan etatów'!$C$7,"Z4","–"))))</f>
        <v>Z2</v>
      </c>
      <c r="J6" s="59" t="str">
        <f aca="false">IF(J$4&lt;='plan etatów'!$C$4,"Z1",IF(J$4&lt;='plan etatów'!$C$5,"Z2",IF(J$4&lt;='plan etatów'!$C$6,"Z3",IF(J$4&lt;='plan etatów'!$C$7,"Z4","–"))))</f>
        <v>Z2</v>
      </c>
      <c r="K6" s="59" t="str">
        <f aca="false">IF(K$4&lt;='plan etatów'!$C$4,"Z1",IF(K$4&lt;='plan etatów'!$C$5,"Z2",IF(K$4&lt;='plan etatów'!$C$6,"Z3",IF(K$4&lt;='plan etatów'!$C$7,"Z4","–"))))</f>
        <v>Z2</v>
      </c>
      <c r="L6" s="59" t="str">
        <f aca="false">IF(L$4&lt;='plan etatów'!$C$4,"Z1",IF(L$4&lt;='plan etatów'!$C$5,"Z2",IF(L$4&lt;='plan etatów'!$C$6,"Z3",IF(L$4&lt;='plan etatów'!$C$7,"Z4","–"))))</f>
        <v>Z2</v>
      </c>
      <c r="M6" s="59" t="str">
        <f aca="false">IF(M$4&lt;='plan etatów'!$C$4,"Z1",IF(M$4&lt;='plan etatów'!$C$5,"Z2",IF(M$4&lt;='plan etatów'!$C$6,"Z3",IF(M$4&lt;='plan etatów'!$C$7,"Z4","–"))))</f>
        <v>Z2</v>
      </c>
      <c r="N6" s="59" t="str">
        <f aca="false">IF(N$4&lt;='plan etatów'!$C$4,"Z1",IF(N$4&lt;='plan etatów'!$C$5,"Z2",IF(N$4&lt;='plan etatów'!$C$6,"Z3",IF(N$4&lt;='plan etatów'!$C$7,"Z4","–"))))</f>
        <v>Z2</v>
      </c>
      <c r="O6" s="59" t="str">
        <f aca="false">IF(O$4&lt;='plan etatów'!$C$4,"Z1",IF(O$4&lt;='plan etatów'!$C$5,"Z2",IF(O$4&lt;='plan etatów'!$C$6,"Z3",IF(O$4&lt;='plan etatów'!$C$7,"Z4","–"))))</f>
        <v>Z3</v>
      </c>
      <c r="P6" s="59" t="str">
        <f aca="false">IF(P$4&lt;='plan etatów'!$C$4,"Z1",IF(P$4&lt;='plan etatów'!$C$5,"Z2",IF(P$4&lt;='plan etatów'!$C$6,"Z3",IF(P$4&lt;='plan etatów'!$C$7,"Z4","–"))))</f>
        <v>Z3</v>
      </c>
      <c r="Q6" s="59" t="str">
        <f aca="false">IF(Q$4&lt;='plan etatów'!$C$4,"Z1",IF(Q$4&lt;='plan etatów'!$C$5,"Z2",IF(Q$4&lt;='plan etatów'!$C$6,"Z3",IF(Q$4&lt;='plan etatów'!$C$7,"Z4","–"))))</f>
        <v>Z3</v>
      </c>
      <c r="R6" s="59" t="str">
        <f aca="false">IF(R$4&lt;='plan etatów'!$C$4,"Z1",IF(R$4&lt;='plan etatów'!$C$5,"Z2",IF(R$4&lt;='plan etatów'!$C$6,"Z3",IF(R$4&lt;='plan etatów'!$C$7,"Z4","–"))))</f>
        <v>Z3</v>
      </c>
      <c r="S6" s="59" t="str">
        <f aca="false">IF(S$4&lt;='plan etatów'!$C$4,"Z1",IF(S$4&lt;='plan etatów'!$C$5,"Z2",IF(S$4&lt;='plan etatów'!$C$6,"Z3",IF(S$4&lt;='plan etatów'!$C$7,"Z4","–"))))</f>
        <v>Z3</v>
      </c>
      <c r="T6" s="59" t="str">
        <f aca="false">IF(T$4&lt;='plan etatów'!$C$4,"Z1",IF(T$4&lt;='plan etatów'!$C$5,"Z2",IF(T$4&lt;='plan etatów'!$C$6,"Z3",IF(T$4&lt;='plan etatów'!$C$7,"Z4","–"))))</f>
        <v>Z3</v>
      </c>
      <c r="U6" s="59" t="str">
        <f aca="false">IF(U$4&lt;='plan etatów'!$C$4,"Z1",IF(U$4&lt;='plan etatów'!$C$5,"Z2",IF(U$4&lt;='plan etatów'!$C$6,"Z3",IF(U$4&lt;='plan etatów'!$C$7,"Z4","–"))))</f>
        <v>Z4</v>
      </c>
      <c r="V6" s="59" t="str">
        <f aca="false">IF(V$4&lt;='plan etatów'!$C$4,"Z1",IF(V$4&lt;='plan etatów'!$C$5,"Z2",IF(V$4&lt;='plan etatów'!$C$6,"Z3",IF(V$4&lt;='plan etatów'!$C$7,"Z4","–"))))</f>
        <v>Z4</v>
      </c>
      <c r="W6" s="59" t="str">
        <f aca="false">IF(W$4&lt;='plan etatów'!$C$4,"Z1",IF(W$4&lt;='plan etatów'!$C$5,"Z2",IF(W$4&lt;='plan etatów'!$C$6,"Z3",IF(W$4&lt;='plan etatów'!$C$7,"Z4","–"))))</f>
        <v>Z4</v>
      </c>
      <c r="X6" s="59" t="str">
        <f aca="false">IF(X$4&lt;='plan etatów'!$C$4,"Z1",IF(X$4&lt;='plan etatów'!$C$5,"Z2",IF(X$4&lt;='plan etatów'!$C$6,"Z3",IF(X$4&lt;='plan etatów'!$C$7,"Z4","–"))))</f>
        <v>Z4</v>
      </c>
      <c r="Y6" s="59" t="str">
        <f aca="false">IF(Y$4&lt;='plan etatów'!$C$4,"Z1",IF(Y$4&lt;='plan etatów'!$C$5,"Z2",IF(Y$4&lt;='plan etatów'!$C$6,"Z3",IF(Y$4&lt;='plan etatów'!$C$7,"Z4","–"))))</f>
        <v>–</v>
      </c>
      <c r="Z6" s="59" t="str">
        <f aca="false">IF(Z$4&lt;='plan etatów'!$C$4,"Z1",IF(Z$4&lt;='plan etatów'!$C$5,"Z2",IF(Z$4&lt;='plan etatów'!$C$6,"Z3",IF(Z$4&lt;='plan etatów'!$C$7,"Z4","–"))))</f>
        <v>–</v>
      </c>
    </row>
    <row r="7" customFormat="false" ht="15" hidden="false" customHeight="false" outlineLevel="0" collapsed="false">
      <c r="A7" s="41"/>
      <c r="B7" s="41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</row>
    <row r="8" customFormat="false" ht="15" hidden="false" customHeight="false" outlineLevel="0" collapsed="false">
      <c r="A8" s="60" t="s">
        <v>230</v>
      </c>
      <c r="B8" s="61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customFormat="false" ht="15" hidden="false" customHeight="false" outlineLevel="0" collapsed="false">
      <c r="A9" s="41" t="s">
        <v>14</v>
      </c>
      <c r="B9" s="41" t="n">
        <v>1</v>
      </c>
      <c r="C9" s="49" t="n">
        <f aca="false">SUM(D9:Z9)</f>
        <v>277000</v>
      </c>
      <c r="D9" s="49" t="n">
        <f aca="false">IF('plan etatów'!$AA$37=0,0,Podsumowanie!$E$9*'plan etatów'!D37/'plan etatów'!$AA$37)</f>
        <v>55400</v>
      </c>
      <c r="E9" s="49" t="n">
        <f aca="false">IF('plan etatów'!$AA$37=0,0,Podsumowanie!$E$9*'plan etatów'!E37/'plan etatów'!$AA$37)</f>
        <v>55400</v>
      </c>
      <c r="F9" s="49" t="n">
        <f aca="false">IF('plan etatów'!$AA$37=0,0,Podsumowanie!$E$9*'plan etatów'!F37/'plan etatów'!$AA$37)</f>
        <v>55400</v>
      </c>
      <c r="G9" s="49" t="n">
        <f aca="false">IF('plan etatów'!$AA$37=0,0,Podsumowanie!$E$9*'plan etatów'!G37/'plan etatów'!$AA$37)</f>
        <v>55400</v>
      </c>
      <c r="H9" s="49" t="n">
        <f aca="false">IF('plan etatów'!$AA$37=0,0,Podsumowanie!$E$9*'plan etatów'!H37/'plan etatów'!$AA$37)</f>
        <v>55400</v>
      </c>
      <c r="I9" s="49" t="n">
        <f aca="false">IF('plan etatów'!$AA$37=0,0,Podsumowanie!$E$9*'plan etatów'!I37/'plan etatów'!$AA$37)</f>
        <v>0</v>
      </c>
      <c r="J9" s="49" t="n">
        <f aca="false">IF('plan etatów'!$AA$37=0,0,Podsumowanie!$E$9*'plan etatów'!J37/'plan etatów'!$AA$37)</f>
        <v>0</v>
      </c>
      <c r="K9" s="49" t="n">
        <f aca="false">IF('plan etatów'!$AA$37=0,0,Podsumowanie!$E$9*'plan etatów'!K37/'plan etatów'!$AA$37)</f>
        <v>0</v>
      </c>
      <c r="L9" s="49" t="n">
        <f aca="false">IF('plan etatów'!$AA$37=0,0,Podsumowanie!$E$9*'plan etatów'!L37/'plan etatów'!$AA$37)</f>
        <v>0</v>
      </c>
      <c r="M9" s="49" t="n">
        <f aca="false">IF('plan etatów'!$AA$37=0,0,Podsumowanie!$E$9*'plan etatów'!M37/'plan etatów'!$AA$37)</f>
        <v>0</v>
      </c>
      <c r="N9" s="49" t="n">
        <f aca="false">IF('plan etatów'!$AA$37=0,0,Podsumowanie!$E$9*'plan etatów'!N37/'plan etatów'!$AA$37)</f>
        <v>0</v>
      </c>
      <c r="O9" s="49" t="n">
        <f aca="false">IF('plan etatów'!$AA$37=0,0,Podsumowanie!$E$9*'plan etatów'!O37/'plan etatów'!$AA$37)</f>
        <v>0</v>
      </c>
      <c r="P9" s="49" t="n">
        <f aca="false">IF('plan etatów'!$AA$37=0,0,Podsumowanie!$E$9*'plan etatów'!P37/'plan etatów'!$AA$37)</f>
        <v>0</v>
      </c>
      <c r="Q9" s="49" t="n">
        <f aca="false">IF('plan etatów'!$AA$37=0,0,Podsumowanie!$E$9*'plan etatów'!Q37/'plan etatów'!$AA$37)</f>
        <v>0</v>
      </c>
      <c r="R9" s="49" t="n">
        <f aca="false">IF('plan etatów'!$AA$37=0,0,Podsumowanie!$E$9*'plan etatów'!R37/'plan etatów'!$AA$37)</f>
        <v>0</v>
      </c>
      <c r="S9" s="49" t="n">
        <f aca="false">IF('plan etatów'!$AA$37=0,0,Podsumowanie!$E$9*'plan etatów'!S37/'plan etatów'!$AA$37)</f>
        <v>0</v>
      </c>
      <c r="T9" s="49" t="n">
        <f aca="false">IF('plan etatów'!$AA$37=0,0,Podsumowanie!$E$9*'plan etatów'!T37/'plan etatów'!$AA$37)</f>
        <v>0</v>
      </c>
      <c r="U9" s="49" t="n">
        <f aca="false">IF('plan etatów'!$AA$37=0,0,Podsumowanie!$E$9*'plan etatów'!U37/'plan etatów'!$AA$37)</f>
        <v>0</v>
      </c>
      <c r="V9" s="49" t="n">
        <f aca="false">IF('plan etatów'!$AA$37=0,0,Podsumowanie!$E$9*'plan etatów'!V37/'plan etatów'!$AA$37)</f>
        <v>0</v>
      </c>
      <c r="W9" s="49" t="n">
        <f aca="false">IF('plan etatów'!$AA$37=0,0,Podsumowanie!$E$9*'plan etatów'!W37/'plan etatów'!$AA$37)</f>
        <v>0</v>
      </c>
      <c r="X9" s="49" t="n">
        <f aca="false">IF('plan etatów'!$AA$37=0,0,Podsumowanie!$E$9*'plan etatów'!X37/'plan etatów'!$AA$37)</f>
        <v>0</v>
      </c>
      <c r="Y9" s="49" t="n">
        <f aca="false">IF('plan etatów'!$AA$37=0,0,Podsumowanie!$E$9*'plan etatów'!Y37/'plan etatów'!$AA$37)</f>
        <v>0</v>
      </c>
      <c r="Z9" s="49" t="n">
        <f aca="false">IF('plan etatów'!$AA$37=0,0,Podsumowanie!$E$9*'plan etatów'!Z37/'plan etatów'!$AA$37)</f>
        <v>0</v>
      </c>
    </row>
    <row r="10" customFormat="false" ht="15" hidden="false" customHeight="false" outlineLevel="0" collapsed="false">
      <c r="A10" s="41" t="s">
        <v>15</v>
      </c>
      <c r="B10" s="41" t="n">
        <v>1</v>
      </c>
      <c r="C10" s="49" t="n">
        <f aca="false">SUM(D10:Z10)</f>
        <v>94300</v>
      </c>
      <c r="D10" s="49" t="n">
        <f aca="false">IF('plan etatów'!$AA$38=0,0,Podsumowanie!$E$12*'plan etatów'!D38/'plan etatów'!$AA$38)</f>
        <v>18860</v>
      </c>
      <c r="E10" s="49" t="n">
        <f aca="false">IF('plan etatów'!$AA$38=0,0,Podsumowanie!$E$12*'plan etatów'!E38/'plan etatów'!$AA$38)</f>
        <v>18860</v>
      </c>
      <c r="F10" s="49" t="n">
        <f aca="false">IF('plan etatów'!$AA$38=0,0,Podsumowanie!$E$12*'plan etatów'!F38/'plan etatów'!$AA$38)</f>
        <v>18860</v>
      </c>
      <c r="G10" s="49" t="n">
        <f aca="false">IF('plan etatów'!$AA$38=0,0,Podsumowanie!$E$12*'plan etatów'!G38/'plan etatów'!$AA$38)</f>
        <v>18860</v>
      </c>
      <c r="H10" s="49" t="n">
        <f aca="false">IF('plan etatów'!$AA$38=0,0,Podsumowanie!$E$12*'plan etatów'!H38/'plan etatów'!$AA$38)</f>
        <v>18860</v>
      </c>
      <c r="I10" s="49" t="n">
        <f aca="false">IF('plan etatów'!$AA$38=0,0,Podsumowanie!$E$12*'plan etatów'!I38/'plan etatów'!$AA$38)</f>
        <v>0</v>
      </c>
      <c r="J10" s="49" t="n">
        <f aca="false">IF('plan etatów'!$AA$38=0,0,Podsumowanie!$E$12*'plan etatów'!J38/'plan etatów'!$AA$38)</f>
        <v>0</v>
      </c>
      <c r="K10" s="49" t="n">
        <f aca="false">IF('plan etatów'!$AA$38=0,0,Podsumowanie!$E$12*'plan etatów'!K38/'plan etatów'!$AA$38)</f>
        <v>0</v>
      </c>
      <c r="L10" s="49" t="n">
        <f aca="false">IF('plan etatów'!$AA$38=0,0,Podsumowanie!$E$12*'plan etatów'!L38/'plan etatów'!$AA$38)</f>
        <v>0</v>
      </c>
      <c r="M10" s="49" t="n">
        <f aca="false">IF('plan etatów'!$AA$38=0,0,Podsumowanie!$E$12*'plan etatów'!M38/'plan etatów'!$AA$38)</f>
        <v>0</v>
      </c>
      <c r="N10" s="49" t="n">
        <f aca="false">IF('plan etatów'!$AA$38=0,0,Podsumowanie!$E$12*'plan etatów'!N38/'plan etatów'!$AA$38)</f>
        <v>0</v>
      </c>
      <c r="O10" s="49" t="n">
        <f aca="false">IF('plan etatów'!$AA$38=0,0,Podsumowanie!$E$12*'plan etatów'!O38/'plan etatów'!$AA$38)</f>
        <v>0</v>
      </c>
      <c r="P10" s="49" t="n">
        <f aca="false">IF('plan etatów'!$AA$38=0,0,Podsumowanie!$E$12*'plan etatów'!P38/'plan etatów'!$AA$38)</f>
        <v>0</v>
      </c>
      <c r="Q10" s="49" t="n">
        <f aca="false">IF('plan etatów'!$AA$38=0,0,Podsumowanie!$E$12*'plan etatów'!Q38/'plan etatów'!$AA$38)</f>
        <v>0</v>
      </c>
      <c r="R10" s="49" t="n">
        <f aca="false">IF('plan etatów'!$AA$38=0,0,Podsumowanie!$E$12*'plan etatów'!R38/'plan etatów'!$AA$38)</f>
        <v>0</v>
      </c>
      <c r="S10" s="49" t="n">
        <f aca="false">IF('plan etatów'!$AA$38=0,0,Podsumowanie!$E$12*'plan etatów'!S38/'plan etatów'!$AA$38)</f>
        <v>0</v>
      </c>
      <c r="T10" s="49" t="n">
        <f aca="false">IF('plan etatów'!$AA$38=0,0,Podsumowanie!$E$12*'plan etatów'!T38/'plan etatów'!$AA$38)</f>
        <v>0</v>
      </c>
      <c r="U10" s="49" t="n">
        <f aca="false">IF('plan etatów'!$AA$38=0,0,Podsumowanie!$E$12*'plan etatów'!U38/'plan etatów'!$AA$38)</f>
        <v>0</v>
      </c>
      <c r="V10" s="49" t="n">
        <f aca="false">IF('plan etatów'!$AA$38=0,0,Podsumowanie!$E$12*'plan etatów'!V38/'plan etatów'!$AA$38)</f>
        <v>0</v>
      </c>
      <c r="W10" s="49" t="n">
        <f aca="false">IF('plan etatów'!$AA$38=0,0,Podsumowanie!$E$12*'plan etatów'!W38/'plan etatów'!$AA$38)</f>
        <v>0</v>
      </c>
      <c r="X10" s="49" t="n">
        <f aca="false">IF('plan etatów'!$AA$38=0,0,Podsumowanie!$E$12*'plan etatów'!X38/'plan etatów'!$AA$38)</f>
        <v>0</v>
      </c>
      <c r="Y10" s="49" t="n">
        <f aca="false">IF('plan etatów'!$AA$38=0,0,Podsumowanie!$E$12*'plan etatów'!Y38/'plan etatów'!$AA$38)</f>
        <v>0</v>
      </c>
      <c r="Z10" s="49" t="n">
        <f aca="false">IF('plan etatów'!$AA$38=0,0,Podsumowanie!$E$12*'plan etatów'!Z38/'plan etatów'!$AA$38)</f>
        <v>0</v>
      </c>
    </row>
    <row r="11" customFormat="false" ht="15" hidden="false" customHeight="false" outlineLevel="0" collapsed="false">
      <c r="A11" s="41" t="s">
        <v>16</v>
      </c>
      <c r="B11" s="41" t="n">
        <v>1</v>
      </c>
      <c r="C11" s="49" t="n">
        <f aca="false">SUM(D11:Z11)</f>
        <v>135550</v>
      </c>
      <c r="D11" s="49" t="n">
        <f aca="false">IF('plan etatów'!$AA$39=0,0,Podsumowanie!$E$15*'plan etatów'!D39/'plan etatów'!$AA$39)</f>
        <v>27110</v>
      </c>
      <c r="E11" s="49" t="n">
        <f aca="false">IF('plan etatów'!$AA$39=0,0,Podsumowanie!$E$15*'plan etatów'!E39/'plan etatów'!$AA$39)</f>
        <v>27110</v>
      </c>
      <c r="F11" s="49" t="n">
        <f aca="false">IF('plan etatów'!$AA$39=0,0,Podsumowanie!$E$15*'plan etatów'!F39/'plan etatów'!$AA$39)</f>
        <v>27110</v>
      </c>
      <c r="G11" s="49" t="n">
        <f aca="false">IF('plan etatów'!$AA$39=0,0,Podsumowanie!$E$15*'plan etatów'!G39/'plan etatów'!$AA$39)</f>
        <v>27110</v>
      </c>
      <c r="H11" s="49" t="n">
        <f aca="false">IF('plan etatów'!$AA$39=0,0,Podsumowanie!$E$15*'plan etatów'!H39/'plan etatów'!$AA$39)</f>
        <v>27110</v>
      </c>
      <c r="I11" s="49" t="n">
        <f aca="false">IF('plan etatów'!$AA$39=0,0,Podsumowanie!$E$15*'plan etatów'!I39/'plan etatów'!$AA$39)</f>
        <v>0</v>
      </c>
      <c r="J11" s="49" t="n">
        <f aca="false">IF('plan etatów'!$AA$39=0,0,Podsumowanie!$E$15*'plan etatów'!J39/'plan etatów'!$AA$39)</f>
        <v>0</v>
      </c>
      <c r="K11" s="49" t="n">
        <f aca="false">IF('plan etatów'!$AA$39=0,0,Podsumowanie!$E$15*'plan etatów'!K39/'plan etatów'!$AA$39)</f>
        <v>0</v>
      </c>
      <c r="L11" s="49" t="n">
        <f aca="false">IF('plan etatów'!$AA$39=0,0,Podsumowanie!$E$15*'plan etatów'!L39/'plan etatów'!$AA$39)</f>
        <v>0</v>
      </c>
      <c r="M11" s="49" t="n">
        <f aca="false">IF('plan etatów'!$AA$39=0,0,Podsumowanie!$E$15*'plan etatów'!M39/'plan etatów'!$AA$39)</f>
        <v>0</v>
      </c>
      <c r="N11" s="49" t="n">
        <f aca="false">IF('plan etatów'!$AA$39=0,0,Podsumowanie!$E$15*'plan etatów'!N39/'plan etatów'!$AA$39)</f>
        <v>0</v>
      </c>
      <c r="O11" s="49" t="n">
        <f aca="false">IF('plan etatów'!$AA$39=0,0,Podsumowanie!$E$15*'plan etatów'!O39/'plan etatów'!$AA$39)</f>
        <v>0</v>
      </c>
      <c r="P11" s="49" t="n">
        <f aca="false">IF('plan etatów'!$AA$39=0,0,Podsumowanie!$E$15*'plan etatów'!P39/'plan etatów'!$AA$39)</f>
        <v>0</v>
      </c>
      <c r="Q11" s="49" t="n">
        <f aca="false">IF('plan etatów'!$AA$39=0,0,Podsumowanie!$E$15*'plan etatów'!Q39/'plan etatów'!$AA$39)</f>
        <v>0</v>
      </c>
      <c r="R11" s="49" t="n">
        <f aca="false">IF('plan etatów'!$AA$39=0,0,Podsumowanie!$E$15*'plan etatów'!R39/'plan etatów'!$AA$39)</f>
        <v>0</v>
      </c>
      <c r="S11" s="49" t="n">
        <f aca="false">IF('plan etatów'!$AA$39=0,0,Podsumowanie!$E$15*'plan etatów'!S39/'plan etatów'!$AA$39)</f>
        <v>0</v>
      </c>
      <c r="T11" s="49" t="n">
        <f aca="false">IF('plan etatów'!$AA$39=0,0,Podsumowanie!$E$15*'plan etatów'!T39/'plan etatów'!$AA$39)</f>
        <v>0</v>
      </c>
      <c r="U11" s="49" t="n">
        <f aca="false">IF('plan etatów'!$AA$39=0,0,Podsumowanie!$E$15*'plan etatów'!U39/'plan etatów'!$AA$39)</f>
        <v>0</v>
      </c>
      <c r="V11" s="49" t="n">
        <f aca="false">IF('plan etatów'!$AA$39=0,0,Podsumowanie!$E$15*'plan etatów'!V39/'plan etatów'!$AA$39)</f>
        <v>0</v>
      </c>
      <c r="W11" s="49" t="n">
        <f aca="false">IF('plan etatów'!$AA$39=0,0,Podsumowanie!$E$15*'plan etatów'!W39/'plan etatów'!$AA$39)</f>
        <v>0</v>
      </c>
      <c r="X11" s="49" t="n">
        <f aca="false">IF('plan etatów'!$AA$39=0,0,Podsumowanie!$E$15*'plan etatów'!X39/'plan etatów'!$AA$39)</f>
        <v>0</v>
      </c>
      <c r="Y11" s="49" t="n">
        <f aca="false">IF('plan etatów'!$AA$39=0,0,Podsumowanie!$E$15*'plan etatów'!Y39/'plan etatów'!$AA$39)</f>
        <v>0</v>
      </c>
      <c r="Z11" s="49" t="n">
        <f aca="false">IF('plan etatów'!$AA$39=0,0,Podsumowanie!$E$15*'plan etatów'!Z39/'plan etatów'!$AA$39)</f>
        <v>0</v>
      </c>
    </row>
    <row r="12" customFormat="false" ht="15" hidden="false" customHeight="false" outlineLevel="0" collapsed="false">
      <c r="A12" s="41" t="s">
        <v>17</v>
      </c>
      <c r="B12" s="41" t="n">
        <v>1</v>
      </c>
      <c r="C12" s="49" t="n">
        <f aca="false">SUM(D12:Z12)</f>
        <v>51562.5</v>
      </c>
      <c r="D12" s="49" t="n">
        <f aca="false">IF('plan etatów'!$AA$40=0,0,Podsumowanie!$E$18*'plan etatów'!D40/'plan etatów'!$AA$40)</f>
        <v>10312.5</v>
      </c>
      <c r="E12" s="49" t="n">
        <f aca="false">IF('plan etatów'!$AA$40=0,0,Podsumowanie!$E$18*'plan etatów'!E40/'plan etatów'!$AA$40)</f>
        <v>10312.5</v>
      </c>
      <c r="F12" s="49" t="n">
        <f aca="false">IF('plan etatów'!$AA$40=0,0,Podsumowanie!$E$18*'plan etatów'!F40/'plan etatów'!$AA$40)</f>
        <v>10312.5</v>
      </c>
      <c r="G12" s="49" t="n">
        <f aca="false">IF('plan etatów'!$AA$40=0,0,Podsumowanie!$E$18*'plan etatów'!G40/'plan etatów'!$AA$40)</f>
        <v>10312.5</v>
      </c>
      <c r="H12" s="49" t="n">
        <f aca="false">IF('plan etatów'!$AA$40=0,0,Podsumowanie!$E$18*'plan etatów'!H40/'plan etatów'!$AA$40)</f>
        <v>10312.5</v>
      </c>
      <c r="I12" s="49" t="n">
        <f aca="false">IF('plan etatów'!$AA$40=0,0,Podsumowanie!$E$18*'plan etatów'!I40/'plan etatów'!$AA$40)</f>
        <v>0</v>
      </c>
      <c r="J12" s="49" t="n">
        <f aca="false">IF('plan etatów'!$AA$40=0,0,Podsumowanie!$E$18*'plan etatów'!J40/'plan etatów'!$AA$40)</f>
        <v>0</v>
      </c>
      <c r="K12" s="49" t="n">
        <f aca="false">IF('plan etatów'!$AA$40=0,0,Podsumowanie!$E$18*'plan etatów'!K40/'plan etatów'!$AA$40)</f>
        <v>0</v>
      </c>
      <c r="L12" s="49" t="n">
        <f aca="false">IF('plan etatów'!$AA$40=0,0,Podsumowanie!$E$18*'plan etatów'!L40/'plan etatów'!$AA$40)</f>
        <v>0</v>
      </c>
      <c r="M12" s="49" t="n">
        <f aca="false">IF('plan etatów'!$AA$40=0,0,Podsumowanie!$E$18*'plan etatów'!M40/'plan etatów'!$AA$40)</f>
        <v>0</v>
      </c>
      <c r="N12" s="49" t="n">
        <f aca="false">IF('plan etatów'!$AA$40=0,0,Podsumowanie!$E$18*'plan etatów'!N40/'plan etatów'!$AA$40)</f>
        <v>0</v>
      </c>
      <c r="O12" s="49" t="n">
        <f aca="false">IF('plan etatów'!$AA$40=0,0,Podsumowanie!$E$18*'plan etatów'!O40/'plan etatów'!$AA$40)</f>
        <v>0</v>
      </c>
      <c r="P12" s="49" t="n">
        <f aca="false">IF('plan etatów'!$AA$40=0,0,Podsumowanie!$E$18*'plan etatów'!P40/'plan etatów'!$AA$40)</f>
        <v>0</v>
      </c>
      <c r="Q12" s="49" t="n">
        <f aca="false">IF('plan etatów'!$AA$40=0,0,Podsumowanie!$E$18*'plan etatów'!Q40/'plan etatów'!$AA$40)</f>
        <v>0</v>
      </c>
      <c r="R12" s="49" t="n">
        <f aca="false">IF('plan etatów'!$AA$40=0,0,Podsumowanie!$E$18*'plan etatów'!R40/'plan etatów'!$AA$40)</f>
        <v>0</v>
      </c>
      <c r="S12" s="49" t="n">
        <f aca="false">IF('plan etatów'!$AA$40=0,0,Podsumowanie!$E$18*'plan etatów'!S40/'plan etatów'!$AA$40)</f>
        <v>0</v>
      </c>
      <c r="T12" s="49" t="n">
        <f aca="false">IF('plan etatów'!$AA$40=0,0,Podsumowanie!$E$18*'plan etatów'!T40/'plan etatów'!$AA$40)</f>
        <v>0</v>
      </c>
      <c r="U12" s="49" t="n">
        <f aca="false">IF('plan etatów'!$AA$40=0,0,Podsumowanie!$E$18*'plan etatów'!U40/'plan etatów'!$AA$40)</f>
        <v>0</v>
      </c>
      <c r="V12" s="49" t="n">
        <f aca="false">IF('plan etatów'!$AA$40=0,0,Podsumowanie!$E$18*'plan etatów'!V40/'plan etatów'!$AA$40)</f>
        <v>0</v>
      </c>
      <c r="W12" s="49" t="n">
        <f aca="false">IF('plan etatów'!$AA$40=0,0,Podsumowanie!$E$18*'plan etatów'!W40/'plan etatów'!$AA$40)</f>
        <v>0</v>
      </c>
      <c r="X12" s="49" t="n">
        <f aca="false">IF('plan etatów'!$AA$40=0,0,Podsumowanie!$E$18*'plan etatów'!X40/'plan etatów'!$AA$40)</f>
        <v>0</v>
      </c>
      <c r="Y12" s="49" t="n">
        <f aca="false">IF('plan etatów'!$AA$40=0,0,Podsumowanie!$E$18*'plan etatów'!Y40/'plan etatów'!$AA$40)</f>
        <v>0</v>
      </c>
      <c r="Z12" s="49" t="n">
        <f aca="false">IF('plan etatów'!$AA$40=0,0,Podsumowanie!$E$18*'plan etatów'!Z40/'plan etatów'!$AA$40)</f>
        <v>0</v>
      </c>
    </row>
    <row r="13" customFormat="false" ht="15" hidden="false" customHeight="false" outlineLevel="0" collapsed="false">
      <c r="A13" s="41" t="s">
        <v>18</v>
      </c>
      <c r="B13" s="41" t="n">
        <v>1</v>
      </c>
      <c r="C13" s="49" t="n">
        <f aca="false">SUM(D13:Z13)</f>
        <v>37200</v>
      </c>
      <c r="D13" s="49" t="n">
        <f aca="false">IF('plan etatów'!$AA$41=0,0,Podsumowanie!$E$21*'plan etatów'!D41/'plan etatów'!$AA$41)</f>
        <v>7440</v>
      </c>
      <c r="E13" s="49" t="n">
        <f aca="false">IF('plan etatów'!$AA$41=0,0,Podsumowanie!$E$21*'plan etatów'!E41/'plan etatów'!$AA$41)</f>
        <v>7440</v>
      </c>
      <c r="F13" s="49" t="n">
        <f aca="false">IF('plan etatów'!$AA$41=0,0,Podsumowanie!$E$21*'plan etatów'!F41/'plan etatów'!$AA$41)</f>
        <v>7440</v>
      </c>
      <c r="G13" s="49" t="n">
        <f aca="false">IF('plan etatów'!$AA$41=0,0,Podsumowanie!$E$21*'plan etatów'!G41/'plan etatów'!$AA$41)</f>
        <v>7440</v>
      </c>
      <c r="H13" s="49" t="n">
        <f aca="false">IF('plan etatów'!$AA$41=0,0,Podsumowanie!$E$21*'plan etatów'!H41/'plan etatów'!$AA$41)</f>
        <v>7440</v>
      </c>
      <c r="I13" s="49" t="n">
        <f aca="false">IF('plan etatów'!$AA$41=0,0,Podsumowanie!$E$21*'plan etatów'!I41/'plan etatów'!$AA$41)</f>
        <v>0</v>
      </c>
      <c r="J13" s="49" t="n">
        <f aca="false">IF('plan etatów'!$AA$41=0,0,Podsumowanie!$E$21*'plan etatów'!J41/'plan etatów'!$AA$41)</f>
        <v>0</v>
      </c>
      <c r="K13" s="49" t="n">
        <f aca="false">IF('plan etatów'!$AA$41=0,0,Podsumowanie!$E$21*'plan etatów'!K41/'plan etatów'!$AA$41)</f>
        <v>0</v>
      </c>
      <c r="L13" s="49" t="n">
        <f aca="false">IF('plan etatów'!$AA$41=0,0,Podsumowanie!$E$21*'plan etatów'!L41/'plan etatów'!$AA$41)</f>
        <v>0</v>
      </c>
      <c r="M13" s="49" t="n">
        <f aca="false">IF('plan etatów'!$AA$41=0,0,Podsumowanie!$E$21*'plan etatów'!M41/'plan etatów'!$AA$41)</f>
        <v>0</v>
      </c>
      <c r="N13" s="49" t="n">
        <f aca="false">IF('plan etatów'!$AA$41=0,0,Podsumowanie!$E$21*'plan etatów'!N41/'plan etatów'!$AA$41)</f>
        <v>0</v>
      </c>
      <c r="O13" s="49" t="n">
        <f aca="false">IF('plan etatów'!$AA$41=0,0,Podsumowanie!$E$21*'plan etatów'!O41/'plan etatów'!$AA$41)</f>
        <v>0</v>
      </c>
      <c r="P13" s="49" t="n">
        <f aca="false">IF('plan etatów'!$AA$41=0,0,Podsumowanie!$E$21*'plan etatów'!P41/'plan etatów'!$AA$41)</f>
        <v>0</v>
      </c>
      <c r="Q13" s="49" t="n">
        <f aca="false">IF('plan etatów'!$AA$41=0,0,Podsumowanie!$E$21*'plan etatów'!Q41/'plan etatów'!$AA$41)</f>
        <v>0</v>
      </c>
      <c r="R13" s="49" t="n">
        <f aca="false">IF('plan etatów'!$AA$41=0,0,Podsumowanie!$E$21*'plan etatów'!R41/'plan etatów'!$AA$41)</f>
        <v>0</v>
      </c>
      <c r="S13" s="49" t="n">
        <f aca="false">IF('plan etatów'!$AA$41=0,0,Podsumowanie!$E$21*'plan etatów'!S41/'plan etatów'!$AA$41)</f>
        <v>0</v>
      </c>
      <c r="T13" s="49" t="n">
        <f aca="false">IF('plan etatów'!$AA$41=0,0,Podsumowanie!$E$21*'plan etatów'!T41/'plan etatów'!$AA$41)</f>
        <v>0</v>
      </c>
      <c r="U13" s="49" t="n">
        <f aca="false">IF('plan etatów'!$AA$41=0,0,Podsumowanie!$E$21*'plan etatów'!U41/'plan etatów'!$AA$41)</f>
        <v>0</v>
      </c>
      <c r="V13" s="49" t="n">
        <f aca="false">IF('plan etatów'!$AA$41=0,0,Podsumowanie!$E$21*'plan etatów'!V41/'plan etatów'!$AA$41)</f>
        <v>0</v>
      </c>
      <c r="W13" s="49" t="n">
        <f aca="false">IF('plan etatów'!$AA$41=0,0,Podsumowanie!$E$21*'plan etatów'!W41/'plan etatów'!$AA$41)</f>
        <v>0</v>
      </c>
      <c r="X13" s="49" t="n">
        <f aca="false">IF('plan etatów'!$AA$41=0,0,Podsumowanie!$E$21*'plan etatów'!X41/'plan etatów'!$AA$41)</f>
        <v>0</v>
      </c>
      <c r="Y13" s="49" t="n">
        <f aca="false">IF('plan etatów'!$AA$41=0,0,Podsumowanie!$E$21*'plan etatów'!Y41/'plan etatów'!$AA$41)</f>
        <v>0</v>
      </c>
      <c r="Z13" s="49" t="n">
        <f aca="false">IF('plan etatów'!$AA$41=0,0,Podsumowanie!$E$21*'plan etatów'!Z41/'plan etatów'!$AA$41)</f>
        <v>0</v>
      </c>
    </row>
    <row r="14" customFormat="false" ht="15" hidden="false" customHeight="false" outlineLevel="0" collapsed="false">
      <c r="A14" s="41" t="s">
        <v>19</v>
      </c>
      <c r="B14" s="41" t="n">
        <v>1</v>
      </c>
      <c r="C14" s="49" t="n">
        <f aca="false">SUM(D14:Z14)</f>
        <v>67325</v>
      </c>
      <c r="D14" s="49" t="n">
        <f aca="false">IF('plan etatów'!$AA$42=0,0,Podsumowanie!$E$24*'plan etatów'!D42/'plan etatów'!$AA$42)</f>
        <v>13465</v>
      </c>
      <c r="E14" s="49" t="n">
        <f aca="false">IF('plan etatów'!$AA$42=0,0,Podsumowanie!$E$24*'plan etatów'!E42/'plan etatów'!$AA$42)</f>
        <v>13465</v>
      </c>
      <c r="F14" s="49" t="n">
        <f aca="false">IF('plan etatów'!$AA$42=0,0,Podsumowanie!$E$24*'plan etatów'!F42/'plan etatów'!$AA$42)</f>
        <v>13465</v>
      </c>
      <c r="G14" s="49" t="n">
        <f aca="false">IF('plan etatów'!$AA$42=0,0,Podsumowanie!$E$24*'plan etatów'!G42/'plan etatów'!$AA$42)</f>
        <v>13465</v>
      </c>
      <c r="H14" s="49" t="n">
        <f aca="false">IF('plan etatów'!$AA$42=0,0,Podsumowanie!$E$24*'plan etatów'!H42/'plan etatów'!$AA$42)</f>
        <v>13465</v>
      </c>
      <c r="I14" s="49" t="n">
        <f aca="false">IF('plan etatów'!$AA$42=0,0,Podsumowanie!$E$24*'plan etatów'!I42/'plan etatów'!$AA$42)</f>
        <v>0</v>
      </c>
      <c r="J14" s="49" t="n">
        <f aca="false">IF('plan etatów'!$AA$42=0,0,Podsumowanie!$E$24*'plan etatów'!J42/'plan etatów'!$AA$42)</f>
        <v>0</v>
      </c>
      <c r="K14" s="49" t="n">
        <f aca="false">IF('plan etatów'!$AA$42=0,0,Podsumowanie!$E$24*'plan etatów'!K42/'plan etatów'!$AA$42)</f>
        <v>0</v>
      </c>
      <c r="L14" s="49" t="n">
        <f aca="false">IF('plan etatów'!$AA$42=0,0,Podsumowanie!$E$24*'plan etatów'!L42/'plan etatów'!$AA$42)</f>
        <v>0</v>
      </c>
      <c r="M14" s="49" t="n">
        <f aca="false">IF('plan etatów'!$AA$42=0,0,Podsumowanie!$E$24*'plan etatów'!M42/'plan etatów'!$AA$42)</f>
        <v>0</v>
      </c>
      <c r="N14" s="49" t="n">
        <f aca="false">IF('plan etatów'!$AA$42=0,0,Podsumowanie!$E$24*'plan etatów'!N42/'plan etatów'!$AA$42)</f>
        <v>0</v>
      </c>
      <c r="O14" s="49" t="n">
        <f aca="false">IF('plan etatów'!$AA$42=0,0,Podsumowanie!$E$24*'plan etatów'!O42/'plan etatów'!$AA$42)</f>
        <v>0</v>
      </c>
      <c r="P14" s="49" t="n">
        <f aca="false">IF('plan etatów'!$AA$42=0,0,Podsumowanie!$E$24*'plan etatów'!P42/'plan etatów'!$AA$42)</f>
        <v>0</v>
      </c>
      <c r="Q14" s="49" t="n">
        <f aca="false">IF('plan etatów'!$AA$42=0,0,Podsumowanie!$E$24*'plan etatów'!Q42/'plan etatów'!$AA$42)</f>
        <v>0</v>
      </c>
      <c r="R14" s="49" t="n">
        <f aca="false">IF('plan etatów'!$AA$42=0,0,Podsumowanie!$E$24*'plan etatów'!R42/'plan etatów'!$AA$42)</f>
        <v>0</v>
      </c>
      <c r="S14" s="49" t="n">
        <f aca="false">IF('plan etatów'!$AA$42=0,0,Podsumowanie!$E$24*'plan etatów'!S42/'plan etatów'!$AA$42)</f>
        <v>0</v>
      </c>
      <c r="T14" s="49" t="n">
        <f aca="false">IF('plan etatów'!$AA$42=0,0,Podsumowanie!$E$24*'plan etatów'!T42/'plan etatów'!$AA$42)</f>
        <v>0</v>
      </c>
      <c r="U14" s="49" t="n">
        <f aca="false">IF('plan etatów'!$AA$42=0,0,Podsumowanie!$E$24*'plan etatów'!U42/'plan etatów'!$AA$42)</f>
        <v>0</v>
      </c>
      <c r="V14" s="49" t="n">
        <f aca="false">IF('plan etatów'!$AA$42=0,0,Podsumowanie!$E$24*'plan etatów'!V42/'plan etatów'!$AA$42)</f>
        <v>0</v>
      </c>
      <c r="W14" s="49" t="n">
        <f aca="false">IF('plan etatów'!$AA$42=0,0,Podsumowanie!$E$24*'plan etatów'!W42/'plan etatów'!$AA$42)</f>
        <v>0</v>
      </c>
      <c r="X14" s="49" t="n">
        <f aca="false">IF('plan etatów'!$AA$42=0,0,Podsumowanie!$E$24*'plan etatów'!X42/'plan etatów'!$AA$42)</f>
        <v>0</v>
      </c>
      <c r="Y14" s="49" t="n">
        <f aca="false">IF('plan etatów'!$AA$42=0,0,Podsumowanie!$E$24*'plan etatów'!Y42/'plan etatów'!$AA$42)</f>
        <v>0</v>
      </c>
      <c r="Z14" s="49" t="n">
        <f aca="false">IF('plan etatów'!$AA$42=0,0,Podsumowanie!$E$24*'plan etatów'!Z42/'plan etatów'!$AA$42)</f>
        <v>0</v>
      </c>
    </row>
    <row r="15" customFormat="false" ht="15" hidden="false" customHeight="false" outlineLevel="0" collapsed="false">
      <c r="A15" s="41" t="s">
        <v>20</v>
      </c>
      <c r="B15" s="41" t="n">
        <v>1</v>
      </c>
      <c r="C15" s="49" t="n">
        <f aca="false">SUM(D15:Z15)</f>
        <v>103125</v>
      </c>
      <c r="D15" s="49" t="n">
        <f aca="false">IF('plan etatów'!$AA$43=0,0,Podsumowanie!$E$27*'plan etatów'!D43/'plan etatów'!$AA$43)</f>
        <v>20625</v>
      </c>
      <c r="E15" s="49" t="n">
        <f aca="false">IF('plan etatów'!$AA$43=0,0,Podsumowanie!$E$27*'plan etatów'!E43/'plan etatów'!$AA$43)</f>
        <v>20625</v>
      </c>
      <c r="F15" s="49" t="n">
        <f aca="false">IF('plan etatów'!$AA$43=0,0,Podsumowanie!$E$27*'plan etatów'!F43/'plan etatów'!$AA$43)</f>
        <v>20625</v>
      </c>
      <c r="G15" s="49" t="n">
        <f aca="false">IF('plan etatów'!$AA$43=0,0,Podsumowanie!$E$27*'plan etatów'!G43/'plan etatów'!$AA$43)</f>
        <v>20625</v>
      </c>
      <c r="H15" s="49" t="n">
        <f aca="false">IF('plan etatów'!$AA$43=0,0,Podsumowanie!$E$27*'plan etatów'!H43/'plan etatów'!$AA$43)</f>
        <v>20625</v>
      </c>
      <c r="I15" s="49" t="n">
        <f aca="false">IF('plan etatów'!$AA$43=0,0,Podsumowanie!$E$27*'plan etatów'!I43/'plan etatów'!$AA$43)</f>
        <v>0</v>
      </c>
      <c r="J15" s="49" t="n">
        <f aca="false">IF('plan etatów'!$AA$43=0,0,Podsumowanie!$E$27*'plan etatów'!J43/'plan etatów'!$AA$43)</f>
        <v>0</v>
      </c>
      <c r="K15" s="49" t="n">
        <f aca="false">IF('plan etatów'!$AA$43=0,0,Podsumowanie!$E$27*'plan etatów'!K43/'plan etatów'!$AA$43)</f>
        <v>0</v>
      </c>
      <c r="L15" s="49" t="n">
        <f aca="false">IF('plan etatów'!$AA$43=0,0,Podsumowanie!$E$27*'plan etatów'!L43/'plan etatów'!$AA$43)</f>
        <v>0</v>
      </c>
      <c r="M15" s="49" t="n">
        <f aca="false">IF('plan etatów'!$AA$43=0,0,Podsumowanie!$E$27*'plan etatów'!M43/'plan etatów'!$AA$43)</f>
        <v>0</v>
      </c>
      <c r="N15" s="49" t="n">
        <f aca="false">IF('plan etatów'!$AA$43=0,0,Podsumowanie!$E$27*'plan etatów'!N43/'plan etatów'!$AA$43)</f>
        <v>0</v>
      </c>
      <c r="O15" s="49" t="n">
        <f aca="false">IF('plan etatów'!$AA$43=0,0,Podsumowanie!$E$27*'plan etatów'!O43/'plan etatów'!$AA$43)</f>
        <v>0</v>
      </c>
      <c r="P15" s="49" t="n">
        <f aca="false">IF('plan etatów'!$AA$43=0,0,Podsumowanie!$E$27*'plan etatów'!P43/'plan etatów'!$AA$43)</f>
        <v>0</v>
      </c>
      <c r="Q15" s="49" t="n">
        <f aca="false">IF('plan etatów'!$AA$43=0,0,Podsumowanie!$E$27*'plan etatów'!Q43/'plan etatów'!$AA$43)</f>
        <v>0</v>
      </c>
      <c r="R15" s="49" t="n">
        <f aca="false">IF('plan etatów'!$AA$43=0,0,Podsumowanie!$E$27*'plan etatów'!R43/'plan etatów'!$AA$43)</f>
        <v>0</v>
      </c>
      <c r="S15" s="49" t="n">
        <f aca="false">IF('plan etatów'!$AA$43=0,0,Podsumowanie!$E$27*'plan etatów'!S43/'plan etatów'!$AA$43)</f>
        <v>0</v>
      </c>
      <c r="T15" s="49" t="n">
        <f aca="false">IF('plan etatów'!$AA$43=0,0,Podsumowanie!$E$27*'plan etatów'!T43/'plan etatów'!$AA$43)</f>
        <v>0</v>
      </c>
      <c r="U15" s="49" t="n">
        <f aca="false">IF('plan etatów'!$AA$43=0,0,Podsumowanie!$E$27*'plan etatów'!U43/'plan etatów'!$AA$43)</f>
        <v>0</v>
      </c>
      <c r="V15" s="49" t="n">
        <f aca="false">IF('plan etatów'!$AA$43=0,0,Podsumowanie!$E$27*'plan etatów'!V43/'plan etatów'!$AA$43)</f>
        <v>0</v>
      </c>
      <c r="W15" s="49" t="n">
        <f aca="false">IF('plan etatów'!$AA$43=0,0,Podsumowanie!$E$27*'plan etatów'!W43/'plan etatów'!$AA$43)</f>
        <v>0</v>
      </c>
      <c r="X15" s="49" t="n">
        <f aca="false">IF('plan etatów'!$AA$43=0,0,Podsumowanie!$E$27*'plan etatów'!X43/'plan etatów'!$AA$43)</f>
        <v>0</v>
      </c>
      <c r="Y15" s="49" t="n">
        <f aca="false">IF('plan etatów'!$AA$43=0,0,Podsumowanie!$E$27*'plan etatów'!Y43/'plan etatów'!$AA$43)</f>
        <v>0</v>
      </c>
      <c r="Z15" s="49" t="n">
        <f aca="false">IF('plan etatów'!$AA$43=0,0,Podsumowanie!$E$27*'plan etatów'!Z43/'plan etatów'!$AA$43)</f>
        <v>0</v>
      </c>
    </row>
    <row r="16" customFormat="false" ht="15" hidden="false" customHeight="false" outlineLevel="0" collapsed="false">
      <c r="A16" s="41" t="s">
        <v>21</v>
      </c>
      <c r="B16" s="41" t="n">
        <v>1</v>
      </c>
      <c r="C16" s="49" t="n">
        <f aca="false">SUM(D16:Z16)</f>
        <v>3571.43</v>
      </c>
      <c r="D16" s="49" t="n">
        <f aca="false">IF('plan etatów'!$AA$44=0,0,Podsumowanie!$E$30*'plan etatów'!D44/'plan etatów'!$AA$44)</f>
        <v>714.286</v>
      </c>
      <c r="E16" s="49" t="n">
        <f aca="false">IF('plan etatów'!$AA$44=0,0,Podsumowanie!$E$30*'plan etatów'!E44/'plan etatów'!$AA$44)</f>
        <v>714.286</v>
      </c>
      <c r="F16" s="49" t="n">
        <f aca="false">IF('plan etatów'!$AA$44=0,0,Podsumowanie!$E$30*'plan etatów'!F44/'plan etatów'!$AA$44)</f>
        <v>714.286</v>
      </c>
      <c r="G16" s="49" t="n">
        <f aca="false">IF('plan etatów'!$AA$44=0,0,Podsumowanie!$E$30*'plan etatów'!G44/'plan etatów'!$AA$44)</f>
        <v>714.286</v>
      </c>
      <c r="H16" s="49" t="n">
        <f aca="false">IF('plan etatów'!$AA$44=0,0,Podsumowanie!$E$30*'plan etatów'!H44/'plan etatów'!$AA$44)</f>
        <v>714.286</v>
      </c>
      <c r="I16" s="49" t="n">
        <f aca="false">IF('plan etatów'!$AA$44=0,0,Podsumowanie!$E$30*'plan etatów'!I44/'plan etatów'!$AA$44)</f>
        <v>0</v>
      </c>
      <c r="J16" s="49" t="n">
        <f aca="false">IF('plan etatów'!$AA$44=0,0,Podsumowanie!$E$30*'plan etatów'!J44/'plan etatów'!$AA$44)</f>
        <v>0</v>
      </c>
      <c r="K16" s="49" t="n">
        <f aca="false">IF('plan etatów'!$AA$44=0,0,Podsumowanie!$E$30*'plan etatów'!K44/'plan etatów'!$AA$44)</f>
        <v>0</v>
      </c>
      <c r="L16" s="49" t="n">
        <f aca="false">IF('plan etatów'!$AA$44=0,0,Podsumowanie!$E$30*'plan etatów'!L44/'plan etatów'!$AA$44)</f>
        <v>0</v>
      </c>
      <c r="M16" s="49" t="n">
        <f aca="false">IF('plan etatów'!$AA$44=0,0,Podsumowanie!$E$30*'plan etatów'!M44/'plan etatów'!$AA$44)</f>
        <v>0</v>
      </c>
      <c r="N16" s="49" t="n">
        <f aca="false">IF('plan etatów'!$AA$44=0,0,Podsumowanie!$E$30*'plan etatów'!N44/'plan etatów'!$AA$44)</f>
        <v>0</v>
      </c>
      <c r="O16" s="49" t="n">
        <f aca="false">IF('plan etatów'!$AA$44=0,0,Podsumowanie!$E$30*'plan etatów'!O44/'plan etatów'!$AA$44)</f>
        <v>0</v>
      </c>
      <c r="P16" s="49" t="n">
        <f aca="false">IF('plan etatów'!$AA$44=0,0,Podsumowanie!$E$30*'plan etatów'!P44/'plan etatów'!$AA$44)</f>
        <v>0</v>
      </c>
      <c r="Q16" s="49" t="n">
        <f aca="false">IF('plan etatów'!$AA$44=0,0,Podsumowanie!$E$30*'plan etatów'!Q44/'plan etatów'!$AA$44)</f>
        <v>0</v>
      </c>
      <c r="R16" s="49" t="n">
        <f aca="false">IF('plan etatów'!$AA$44=0,0,Podsumowanie!$E$30*'plan etatów'!R44/'plan etatów'!$AA$44)</f>
        <v>0</v>
      </c>
      <c r="S16" s="49" t="n">
        <f aca="false">IF('plan etatów'!$AA$44=0,0,Podsumowanie!$E$30*'plan etatów'!S44/'plan etatów'!$AA$44)</f>
        <v>0</v>
      </c>
      <c r="T16" s="49" t="n">
        <f aca="false">IF('plan etatów'!$AA$44=0,0,Podsumowanie!$E$30*'plan etatów'!T44/'plan etatów'!$AA$44)</f>
        <v>0</v>
      </c>
      <c r="U16" s="49" t="n">
        <f aca="false">IF('plan etatów'!$AA$44=0,0,Podsumowanie!$E$30*'plan etatów'!U44/'plan etatów'!$AA$44)</f>
        <v>0</v>
      </c>
      <c r="V16" s="49" t="n">
        <f aca="false">IF('plan etatów'!$AA$44=0,0,Podsumowanie!$E$30*'plan etatów'!V44/'plan etatów'!$AA$44)</f>
        <v>0</v>
      </c>
      <c r="W16" s="49" t="n">
        <f aca="false">IF('plan etatów'!$AA$44=0,0,Podsumowanie!$E$30*'plan etatów'!W44/'plan etatów'!$AA$44)</f>
        <v>0</v>
      </c>
      <c r="X16" s="49" t="n">
        <f aca="false">IF('plan etatów'!$AA$44=0,0,Podsumowanie!$E$30*'plan etatów'!X44/'plan etatów'!$AA$44)</f>
        <v>0</v>
      </c>
      <c r="Y16" s="49" t="n">
        <f aca="false">IF('plan etatów'!$AA$44=0,0,Podsumowanie!$E$30*'plan etatów'!Y44/'plan etatów'!$AA$44)</f>
        <v>0</v>
      </c>
      <c r="Z16" s="49" t="n">
        <f aca="false">IF('plan etatów'!$AA$44=0,0,Podsumowanie!$E$30*'plan etatów'!Z44/'plan etatów'!$AA$44)</f>
        <v>0</v>
      </c>
    </row>
    <row r="17" customFormat="false" ht="15" hidden="false" customHeight="false" outlineLevel="0" collapsed="false">
      <c r="A17" s="41" t="s">
        <v>22</v>
      </c>
      <c r="B17" s="41" t="n">
        <v>1</v>
      </c>
      <c r="C17" s="49" t="n">
        <f aca="false">SUM(D17:Z17)</f>
        <v>98750</v>
      </c>
      <c r="D17" s="49" t="n">
        <f aca="false">IF('plan etatów'!$AA$45=0,0,Podsumowanie!$E$33*'plan etatów'!D45/'plan etatów'!$AA$45)</f>
        <v>19750</v>
      </c>
      <c r="E17" s="49" t="n">
        <f aca="false">IF('plan etatów'!$AA$45=0,0,Podsumowanie!$E$33*'plan etatów'!E45/'plan etatów'!$AA$45)</f>
        <v>19750</v>
      </c>
      <c r="F17" s="49" t="n">
        <f aca="false">IF('plan etatów'!$AA$45=0,0,Podsumowanie!$E$33*'plan etatów'!F45/'plan etatów'!$AA$45)</f>
        <v>19750</v>
      </c>
      <c r="G17" s="49" t="n">
        <f aca="false">IF('plan etatów'!$AA$45=0,0,Podsumowanie!$E$33*'plan etatów'!G45/'plan etatów'!$AA$45)</f>
        <v>19750</v>
      </c>
      <c r="H17" s="49" t="n">
        <f aca="false">IF('plan etatów'!$AA$45=0,0,Podsumowanie!$E$33*'plan etatów'!H45/'plan etatów'!$AA$45)</f>
        <v>19750</v>
      </c>
      <c r="I17" s="49" t="n">
        <f aca="false">IF('plan etatów'!$AA$45=0,0,Podsumowanie!$E$33*'plan etatów'!I45/'plan etatów'!$AA$45)</f>
        <v>0</v>
      </c>
      <c r="J17" s="49" t="n">
        <f aca="false">IF('plan etatów'!$AA$45=0,0,Podsumowanie!$E$33*'plan etatów'!J45/'plan etatów'!$AA$45)</f>
        <v>0</v>
      </c>
      <c r="K17" s="49" t="n">
        <f aca="false">IF('plan etatów'!$AA$45=0,0,Podsumowanie!$E$33*'plan etatów'!K45/'plan etatów'!$AA$45)</f>
        <v>0</v>
      </c>
      <c r="L17" s="49" t="n">
        <f aca="false">IF('plan etatów'!$AA$45=0,0,Podsumowanie!$E$33*'plan etatów'!L45/'plan etatów'!$AA$45)</f>
        <v>0</v>
      </c>
      <c r="M17" s="49" t="n">
        <f aca="false">IF('plan etatów'!$AA$45=0,0,Podsumowanie!$E$33*'plan etatów'!M45/'plan etatów'!$AA$45)</f>
        <v>0</v>
      </c>
      <c r="N17" s="49" t="n">
        <f aca="false">IF('plan etatów'!$AA$45=0,0,Podsumowanie!$E$33*'plan etatów'!N45/'plan etatów'!$AA$45)</f>
        <v>0</v>
      </c>
      <c r="O17" s="49" t="n">
        <f aca="false">IF('plan etatów'!$AA$45=0,0,Podsumowanie!$E$33*'plan etatów'!O45/'plan etatów'!$AA$45)</f>
        <v>0</v>
      </c>
      <c r="P17" s="49" t="n">
        <f aca="false">IF('plan etatów'!$AA$45=0,0,Podsumowanie!$E$33*'plan etatów'!P45/'plan etatów'!$AA$45)</f>
        <v>0</v>
      </c>
      <c r="Q17" s="49" t="n">
        <f aca="false">IF('plan etatów'!$AA$45=0,0,Podsumowanie!$E$33*'plan etatów'!Q45/'plan etatów'!$AA$45)</f>
        <v>0</v>
      </c>
      <c r="R17" s="49" t="n">
        <f aca="false">IF('plan etatów'!$AA$45=0,0,Podsumowanie!$E$33*'plan etatów'!R45/'plan etatów'!$AA$45)</f>
        <v>0</v>
      </c>
      <c r="S17" s="49" t="n">
        <f aca="false">IF('plan etatów'!$AA$45=0,0,Podsumowanie!$E$33*'plan etatów'!S45/'plan etatów'!$AA$45)</f>
        <v>0</v>
      </c>
      <c r="T17" s="49" t="n">
        <f aca="false">IF('plan etatów'!$AA$45=0,0,Podsumowanie!$E$33*'plan etatów'!T45/'plan etatów'!$AA$45)</f>
        <v>0</v>
      </c>
      <c r="U17" s="49" t="n">
        <f aca="false">IF('plan etatów'!$AA$45=0,0,Podsumowanie!$E$33*'plan etatów'!U45/'plan etatów'!$AA$45)</f>
        <v>0</v>
      </c>
      <c r="V17" s="49" t="n">
        <f aca="false">IF('plan etatów'!$AA$45=0,0,Podsumowanie!$E$33*'plan etatów'!V45/'plan etatów'!$AA$45)</f>
        <v>0</v>
      </c>
      <c r="W17" s="49" t="n">
        <f aca="false">IF('plan etatów'!$AA$45=0,0,Podsumowanie!$E$33*'plan etatów'!W45/'plan etatów'!$AA$45)</f>
        <v>0</v>
      </c>
      <c r="X17" s="49" t="n">
        <f aca="false">IF('plan etatów'!$AA$45=0,0,Podsumowanie!$E$33*'plan etatów'!X45/'plan etatów'!$AA$45)</f>
        <v>0</v>
      </c>
      <c r="Y17" s="49" t="n">
        <f aca="false">IF('plan etatów'!$AA$45=0,0,Podsumowanie!$E$33*'plan etatów'!Y45/'plan etatów'!$AA$45)</f>
        <v>0</v>
      </c>
      <c r="Z17" s="49" t="n">
        <f aca="false">IF('plan etatów'!$AA$45=0,0,Podsumowanie!$E$33*'plan etatów'!Z45/'plan etatów'!$AA$45)</f>
        <v>0</v>
      </c>
    </row>
    <row r="18" customFormat="false" ht="15" hidden="false" customHeight="false" outlineLevel="0" collapsed="false">
      <c r="A18" s="41" t="s">
        <v>24</v>
      </c>
      <c r="B18" s="41" t="n">
        <v>2</v>
      </c>
      <c r="C18" s="49" t="n">
        <f aca="false">SUM(D18:Z18)</f>
        <v>332400</v>
      </c>
      <c r="D18" s="49" t="n">
        <f aca="false">IF('plan etatów'!$AA$46=0,0,Podsumowanie!$E$39*'plan etatów'!D46/'plan etatów'!$AA$46)</f>
        <v>0</v>
      </c>
      <c r="E18" s="49" t="n">
        <f aca="false">IF('plan etatów'!$AA$46=0,0,Podsumowanie!$E$39*'plan etatów'!E46/'plan etatów'!$AA$46)</f>
        <v>0</v>
      </c>
      <c r="F18" s="49" t="n">
        <f aca="false">IF('plan etatów'!$AA$46=0,0,Podsumowanie!$E$39*'plan etatów'!F46/'plan etatów'!$AA$46)</f>
        <v>0</v>
      </c>
      <c r="G18" s="49" t="n">
        <f aca="false">IF('plan etatów'!$AA$46=0,0,Podsumowanie!$E$39*'plan etatów'!G46/'plan etatów'!$AA$46)</f>
        <v>0</v>
      </c>
      <c r="H18" s="49" t="n">
        <f aca="false">IF('plan etatów'!$AA$46=0,0,Podsumowanie!$E$39*'plan etatów'!H46/'plan etatów'!$AA$46)</f>
        <v>0</v>
      </c>
      <c r="I18" s="49" t="n">
        <f aca="false">IF('plan etatów'!$AA$46=0,0,Podsumowanie!$E$39*'plan etatów'!I46/'plan etatów'!$AA$46)</f>
        <v>55400</v>
      </c>
      <c r="J18" s="49" t="n">
        <f aca="false">IF('plan etatów'!$AA$46=0,0,Podsumowanie!$E$39*'plan etatów'!J46/'plan etatów'!$AA$46)</f>
        <v>55400</v>
      </c>
      <c r="K18" s="49" t="n">
        <f aca="false">IF('plan etatów'!$AA$46=0,0,Podsumowanie!$E$39*'plan etatów'!K46/'plan etatów'!$AA$46)</f>
        <v>55400</v>
      </c>
      <c r="L18" s="49" t="n">
        <f aca="false">IF('plan etatów'!$AA$46=0,0,Podsumowanie!$E$39*'plan etatów'!L46/'plan etatów'!$AA$46)</f>
        <v>55400</v>
      </c>
      <c r="M18" s="49" t="n">
        <f aca="false">IF('plan etatów'!$AA$46=0,0,Podsumowanie!$E$39*'plan etatów'!M46/'plan etatów'!$AA$46)</f>
        <v>55400</v>
      </c>
      <c r="N18" s="49" t="n">
        <f aca="false">IF('plan etatów'!$AA$46=0,0,Podsumowanie!$E$39*'plan etatów'!N46/'plan etatów'!$AA$46)</f>
        <v>55400</v>
      </c>
      <c r="O18" s="49" t="n">
        <f aca="false">IF('plan etatów'!$AA$46=0,0,Podsumowanie!$E$39*'plan etatów'!O46/'plan etatów'!$AA$46)</f>
        <v>0</v>
      </c>
      <c r="P18" s="49" t="n">
        <f aca="false">IF('plan etatów'!$AA$46=0,0,Podsumowanie!$E$39*'plan etatów'!P46/'plan etatów'!$AA$46)</f>
        <v>0</v>
      </c>
      <c r="Q18" s="49" t="n">
        <f aca="false">IF('plan etatów'!$AA$46=0,0,Podsumowanie!$E$39*'plan etatów'!Q46/'plan etatów'!$AA$46)</f>
        <v>0</v>
      </c>
      <c r="R18" s="49" t="n">
        <f aca="false">IF('plan etatów'!$AA$46=0,0,Podsumowanie!$E$39*'plan etatów'!R46/'plan etatów'!$AA$46)</f>
        <v>0</v>
      </c>
      <c r="S18" s="49" t="n">
        <f aca="false">IF('plan etatów'!$AA$46=0,0,Podsumowanie!$E$39*'plan etatów'!S46/'plan etatów'!$AA$46)</f>
        <v>0</v>
      </c>
      <c r="T18" s="49" t="n">
        <f aca="false">IF('plan etatów'!$AA$46=0,0,Podsumowanie!$E$39*'plan etatów'!T46/'plan etatów'!$AA$46)</f>
        <v>0</v>
      </c>
      <c r="U18" s="49" t="n">
        <f aca="false">IF('plan etatów'!$AA$46=0,0,Podsumowanie!$E$39*'plan etatów'!U46/'plan etatów'!$AA$46)</f>
        <v>0</v>
      </c>
      <c r="V18" s="49" t="n">
        <f aca="false">IF('plan etatów'!$AA$46=0,0,Podsumowanie!$E$39*'plan etatów'!V46/'plan etatów'!$AA$46)</f>
        <v>0</v>
      </c>
      <c r="W18" s="49" t="n">
        <f aca="false">IF('plan etatów'!$AA$46=0,0,Podsumowanie!$E$39*'plan etatów'!W46/'plan etatów'!$AA$46)</f>
        <v>0</v>
      </c>
      <c r="X18" s="49" t="n">
        <f aca="false">IF('plan etatów'!$AA$46=0,0,Podsumowanie!$E$39*'plan etatów'!X46/'plan etatów'!$AA$46)</f>
        <v>0</v>
      </c>
      <c r="Y18" s="49" t="n">
        <f aca="false">IF('plan etatów'!$AA$46=0,0,Podsumowanie!$E$39*'plan etatów'!Y46/'plan etatów'!$AA$46)</f>
        <v>0</v>
      </c>
      <c r="Z18" s="49" t="n">
        <f aca="false">IF('plan etatów'!$AA$46=0,0,Podsumowanie!$E$39*'plan etatów'!Z46/'plan etatów'!$AA$46)</f>
        <v>0</v>
      </c>
    </row>
    <row r="19" customFormat="false" ht="15" hidden="false" customHeight="false" outlineLevel="0" collapsed="false">
      <c r="A19" s="41" t="s">
        <v>25</v>
      </c>
      <c r="B19" s="41" t="n">
        <v>2</v>
      </c>
      <c r="C19" s="49" t="n">
        <f aca="false">SUM(D19:Z19)</f>
        <v>113160</v>
      </c>
      <c r="D19" s="49" t="n">
        <f aca="false">IF('plan etatów'!$AA$47=0,0,Podsumowanie!$E$42*'plan etatów'!D47/'plan etatów'!$AA$47)</f>
        <v>0</v>
      </c>
      <c r="E19" s="49" t="n">
        <f aca="false">IF('plan etatów'!$AA$47=0,0,Podsumowanie!$E$42*'plan etatów'!E47/'plan etatów'!$AA$47)</f>
        <v>0</v>
      </c>
      <c r="F19" s="49" t="n">
        <f aca="false">IF('plan etatów'!$AA$47=0,0,Podsumowanie!$E$42*'plan etatów'!F47/'plan etatów'!$AA$47)</f>
        <v>0</v>
      </c>
      <c r="G19" s="49" t="n">
        <f aca="false">IF('plan etatów'!$AA$47=0,0,Podsumowanie!$E$42*'plan etatów'!G47/'plan etatów'!$AA$47)</f>
        <v>0</v>
      </c>
      <c r="H19" s="49" t="n">
        <f aca="false">IF('plan etatów'!$AA$47=0,0,Podsumowanie!$E$42*'plan etatów'!H47/'plan etatów'!$AA$47)</f>
        <v>0</v>
      </c>
      <c r="I19" s="49" t="n">
        <f aca="false">IF('plan etatów'!$AA$47=0,0,Podsumowanie!$E$42*'plan etatów'!I47/'plan etatów'!$AA$47)</f>
        <v>18860</v>
      </c>
      <c r="J19" s="49" t="n">
        <f aca="false">IF('plan etatów'!$AA$47=0,0,Podsumowanie!$E$42*'plan etatów'!J47/'plan etatów'!$AA$47)</f>
        <v>18860</v>
      </c>
      <c r="K19" s="49" t="n">
        <f aca="false">IF('plan etatów'!$AA$47=0,0,Podsumowanie!$E$42*'plan etatów'!K47/'plan etatów'!$AA$47)</f>
        <v>18860</v>
      </c>
      <c r="L19" s="49" t="n">
        <f aca="false">IF('plan etatów'!$AA$47=0,0,Podsumowanie!$E$42*'plan etatów'!L47/'plan etatów'!$AA$47)</f>
        <v>18860</v>
      </c>
      <c r="M19" s="49" t="n">
        <f aca="false">IF('plan etatów'!$AA$47=0,0,Podsumowanie!$E$42*'plan etatów'!M47/'plan etatów'!$AA$47)</f>
        <v>18860</v>
      </c>
      <c r="N19" s="49" t="n">
        <f aca="false">IF('plan etatów'!$AA$47=0,0,Podsumowanie!$E$42*'plan etatów'!N47/'plan etatów'!$AA$47)</f>
        <v>18860</v>
      </c>
      <c r="O19" s="49" t="n">
        <f aca="false">IF('plan etatów'!$AA$47=0,0,Podsumowanie!$E$42*'plan etatów'!O47/'plan etatów'!$AA$47)</f>
        <v>0</v>
      </c>
      <c r="P19" s="49" t="n">
        <f aca="false">IF('plan etatów'!$AA$47=0,0,Podsumowanie!$E$42*'plan etatów'!P47/'plan etatów'!$AA$47)</f>
        <v>0</v>
      </c>
      <c r="Q19" s="49" t="n">
        <f aca="false">IF('plan etatów'!$AA$47=0,0,Podsumowanie!$E$42*'plan etatów'!Q47/'plan etatów'!$AA$47)</f>
        <v>0</v>
      </c>
      <c r="R19" s="49" t="n">
        <f aca="false">IF('plan etatów'!$AA$47=0,0,Podsumowanie!$E$42*'plan etatów'!R47/'plan etatów'!$AA$47)</f>
        <v>0</v>
      </c>
      <c r="S19" s="49" t="n">
        <f aca="false">IF('plan etatów'!$AA$47=0,0,Podsumowanie!$E$42*'plan etatów'!S47/'plan etatów'!$AA$47)</f>
        <v>0</v>
      </c>
      <c r="T19" s="49" t="n">
        <f aca="false">IF('plan etatów'!$AA$47=0,0,Podsumowanie!$E$42*'plan etatów'!T47/'plan etatów'!$AA$47)</f>
        <v>0</v>
      </c>
      <c r="U19" s="49" t="n">
        <f aca="false">IF('plan etatów'!$AA$47=0,0,Podsumowanie!$E$42*'plan etatów'!U47/'plan etatów'!$AA$47)</f>
        <v>0</v>
      </c>
      <c r="V19" s="49" t="n">
        <f aca="false">IF('plan etatów'!$AA$47=0,0,Podsumowanie!$E$42*'plan etatów'!V47/'plan etatów'!$AA$47)</f>
        <v>0</v>
      </c>
      <c r="W19" s="49" t="n">
        <f aca="false">IF('plan etatów'!$AA$47=0,0,Podsumowanie!$E$42*'plan etatów'!W47/'plan etatów'!$AA$47)</f>
        <v>0</v>
      </c>
      <c r="X19" s="49" t="n">
        <f aca="false">IF('plan etatów'!$AA$47=0,0,Podsumowanie!$E$42*'plan etatów'!X47/'plan etatów'!$AA$47)</f>
        <v>0</v>
      </c>
      <c r="Y19" s="49" t="n">
        <f aca="false">IF('plan etatów'!$AA$47=0,0,Podsumowanie!$E$42*'plan etatów'!Y47/'plan etatów'!$AA$47)</f>
        <v>0</v>
      </c>
      <c r="Z19" s="49" t="n">
        <f aca="false">IF('plan etatów'!$AA$47=0,0,Podsumowanie!$E$42*'plan etatów'!Z47/'plan etatów'!$AA$47)</f>
        <v>0</v>
      </c>
    </row>
    <row r="20" customFormat="false" ht="15" hidden="false" customHeight="false" outlineLevel="0" collapsed="false">
      <c r="A20" s="41" t="s">
        <v>26</v>
      </c>
      <c r="B20" s="41" t="n">
        <v>2</v>
      </c>
      <c r="C20" s="49" t="n">
        <f aca="false">SUM(D20:Z20)</f>
        <v>162660</v>
      </c>
      <c r="D20" s="49" t="n">
        <f aca="false">IF('plan etatów'!$AA$48=0,0,Podsumowanie!$E$45*'plan etatów'!D48/'plan etatów'!$AA$48)</f>
        <v>0</v>
      </c>
      <c r="E20" s="49" t="n">
        <f aca="false">IF('plan etatów'!$AA$48=0,0,Podsumowanie!$E$45*'plan etatów'!E48/'plan etatów'!$AA$48)</f>
        <v>0</v>
      </c>
      <c r="F20" s="49" t="n">
        <f aca="false">IF('plan etatów'!$AA$48=0,0,Podsumowanie!$E$45*'plan etatów'!F48/'plan etatów'!$AA$48)</f>
        <v>0</v>
      </c>
      <c r="G20" s="49" t="n">
        <f aca="false">IF('plan etatów'!$AA$48=0,0,Podsumowanie!$E$45*'plan etatów'!G48/'plan etatów'!$AA$48)</f>
        <v>0</v>
      </c>
      <c r="H20" s="49" t="n">
        <f aca="false">IF('plan etatów'!$AA$48=0,0,Podsumowanie!$E$45*'plan etatów'!H48/'plan etatów'!$AA$48)</f>
        <v>0</v>
      </c>
      <c r="I20" s="49" t="n">
        <f aca="false">IF('plan etatów'!$AA$48=0,0,Podsumowanie!$E$45*'plan etatów'!I48/'plan etatów'!$AA$48)</f>
        <v>27110</v>
      </c>
      <c r="J20" s="49" t="n">
        <f aca="false">IF('plan etatów'!$AA$48=0,0,Podsumowanie!$E$45*'plan etatów'!J48/'plan etatów'!$AA$48)</f>
        <v>27110</v>
      </c>
      <c r="K20" s="49" t="n">
        <f aca="false">IF('plan etatów'!$AA$48=0,0,Podsumowanie!$E$45*'plan etatów'!K48/'plan etatów'!$AA$48)</f>
        <v>27110</v>
      </c>
      <c r="L20" s="49" t="n">
        <f aca="false">IF('plan etatów'!$AA$48=0,0,Podsumowanie!$E$45*'plan etatów'!L48/'plan etatów'!$AA$48)</f>
        <v>27110</v>
      </c>
      <c r="M20" s="49" t="n">
        <f aca="false">IF('plan etatów'!$AA$48=0,0,Podsumowanie!$E$45*'plan etatów'!M48/'plan etatów'!$AA$48)</f>
        <v>27110</v>
      </c>
      <c r="N20" s="49" t="n">
        <f aca="false">IF('plan etatów'!$AA$48=0,0,Podsumowanie!$E$45*'plan etatów'!N48/'plan etatów'!$AA$48)</f>
        <v>27110</v>
      </c>
      <c r="O20" s="49" t="n">
        <f aca="false">IF('plan etatów'!$AA$48=0,0,Podsumowanie!$E$45*'plan etatów'!O48/'plan etatów'!$AA$48)</f>
        <v>0</v>
      </c>
      <c r="P20" s="49" t="n">
        <f aca="false">IF('plan etatów'!$AA$48=0,0,Podsumowanie!$E$45*'plan etatów'!P48/'plan etatów'!$AA$48)</f>
        <v>0</v>
      </c>
      <c r="Q20" s="49" t="n">
        <f aca="false">IF('plan etatów'!$AA$48=0,0,Podsumowanie!$E$45*'plan etatów'!Q48/'plan etatów'!$AA$48)</f>
        <v>0</v>
      </c>
      <c r="R20" s="49" t="n">
        <f aca="false">IF('plan etatów'!$AA$48=0,0,Podsumowanie!$E$45*'plan etatów'!R48/'plan etatów'!$AA$48)</f>
        <v>0</v>
      </c>
      <c r="S20" s="49" t="n">
        <f aca="false">IF('plan etatów'!$AA$48=0,0,Podsumowanie!$E$45*'plan etatów'!S48/'plan etatów'!$AA$48)</f>
        <v>0</v>
      </c>
      <c r="T20" s="49" t="n">
        <f aca="false">IF('plan etatów'!$AA$48=0,0,Podsumowanie!$E$45*'plan etatów'!T48/'plan etatów'!$AA$48)</f>
        <v>0</v>
      </c>
      <c r="U20" s="49" t="n">
        <f aca="false">IF('plan etatów'!$AA$48=0,0,Podsumowanie!$E$45*'plan etatów'!U48/'plan etatów'!$AA$48)</f>
        <v>0</v>
      </c>
      <c r="V20" s="49" t="n">
        <f aca="false">IF('plan etatów'!$AA$48=0,0,Podsumowanie!$E$45*'plan etatów'!V48/'plan etatów'!$AA$48)</f>
        <v>0</v>
      </c>
      <c r="W20" s="49" t="n">
        <f aca="false">IF('plan etatów'!$AA$48=0,0,Podsumowanie!$E$45*'plan etatów'!W48/'plan etatów'!$AA$48)</f>
        <v>0</v>
      </c>
      <c r="X20" s="49" t="n">
        <f aca="false">IF('plan etatów'!$AA$48=0,0,Podsumowanie!$E$45*'plan etatów'!X48/'plan etatów'!$AA$48)</f>
        <v>0</v>
      </c>
      <c r="Y20" s="49" t="n">
        <f aca="false">IF('plan etatów'!$AA$48=0,0,Podsumowanie!$E$45*'plan etatów'!Y48/'plan etatów'!$AA$48)</f>
        <v>0</v>
      </c>
      <c r="Z20" s="49" t="n">
        <f aca="false">IF('plan etatów'!$AA$48=0,0,Podsumowanie!$E$45*'plan etatów'!Z48/'plan etatów'!$AA$48)</f>
        <v>0</v>
      </c>
    </row>
    <row r="21" customFormat="false" ht="15" hidden="false" customHeight="false" outlineLevel="0" collapsed="false">
      <c r="A21" s="41" t="s">
        <v>27</v>
      </c>
      <c r="B21" s="41" t="n">
        <v>2</v>
      </c>
      <c r="C21" s="49" t="n">
        <f aca="false">SUM(D21:Z21)</f>
        <v>123750</v>
      </c>
      <c r="D21" s="49" t="n">
        <f aca="false">IF('plan etatów'!$AA$49=0,0,Podsumowanie!$E$48*'plan etatów'!D49/'plan etatów'!$AA$49)</f>
        <v>0</v>
      </c>
      <c r="E21" s="49" t="n">
        <f aca="false">IF('plan etatów'!$AA$49=0,0,Podsumowanie!$E$48*'plan etatów'!E49/'plan etatów'!$AA$49)</f>
        <v>0</v>
      </c>
      <c r="F21" s="49" t="n">
        <f aca="false">IF('plan etatów'!$AA$49=0,0,Podsumowanie!$E$48*'plan etatów'!F49/'plan etatów'!$AA$49)</f>
        <v>0</v>
      </c>
      <c r="G21" s="49" t="n">
        <f aca="false">IF('plan etatów'!$AA$49=0,0,Podsumowanie!$E$48*'plan etatów'!G49/'plan etatów'!$AA$49)</f>
        <v>0</v>
      </c>
      <c r="H21" s="49" t="n">
        <f aca="false">IF('plan etatów'!$AA$49=0,0,Podsumowanie!$E$48*'plan etatów'!H49/'plan etatów'!$AA$49)</f>
        <v>0</v>
      </c>
      <c r="I21" s="49" t="n">
        <f aca="false">IF('plan etatów'!$AA$49=0,0,Podsumowanie!$E$48*'plan etatów'!I49/'plan etatów'!$AA$49)</f>
        <v>20625</v>
      </c>
      <c r="J21" s="49" t="n">
        <f aca="false">IF('plan etatów'!$AA$49=0,0,Podsumowanie!$E$48*'plan etatów'!J49/'plan etatów'!$AA$49)</f>
        <v>20625</v>
      </c>
      <c r="K21" s="49" t="n">
        <f aca="false">IF('plan etatów'!$AA$49=0,0,Podsumowanie!$E$48*'plan etatów'!K49/'plan etatów'!$AA$49)</f>
        <v>20625</v>
      </c>
      <c r="L21" s="49" t="n">
        <f aca="false">IF('plan etatów'!$AA$49=0,0,Podsumowanie!$E$48*'plan etatów'!L49/'plan etatów'!$AA$49)</f>
        <v>20625</v>
      </c>
      <c r="M21" s="49" t="n">
        <f aca="false">IF('plan etatów'!$AA$49=0,0,Podsumowanie!$E$48*'plan etatów'!M49/'plan etatów'!$AA$49)</f>
        <v>20625</v>
      </c>
      <c r="N21" s="49" t="n">
        <f aca="false">IF('plan etatów'!$AA$49=0,0,Podsumowanie!$E$48*'plan etatów'!N49/'plan etatów'!$AA$49)</f>
        <v>20625</v>
      </c>
      <c r="O21" s="49" t="n">
        <f aca="false">IF('plan etatów'!$AA$49=0,0,Podsumowanie!$E$48*'plan etatów'!O49/'plan etatów'!$AA$49)</f>
        <v>0</v>
      </c>
      <c r="P21" s="49" t="n">
        <f aca="false">IF('plan etatów'!$AA$49=0,0,Podsumowanie!$E$48*'plan etatów'!P49/'plan etatów'!$AA$49)</f>
        <v>0</v>
      </c>
      <c r="Q21" s="49" t="n">
        <f aca="false">IF('plan etatów'!$AA$49=0,0,Podsumowanie!$E$48*'plan etatów'!Q49/'plan etatów'!$AA$49)</f>
        <v>0</v>
      </c>
      <c r="R21" s="49" t="n">
        <f aca="false">IF('plan etatów'!$AA$49=0,0,Podsumowanie!$E$48*'plan etatów'!R49/'plan etatów'!$AA$49)</f>
        <v>0</v>
      </c>
      <c r="S21" s="49" t="n">
        <f aca="false">IF('plan etatów'!$AA$49=0,0,Podsumowanie!$E$48*'plan etatów'!S49/'plan etatów'!$AA$49)</f>
        <v>0</v>
      </c>
      <c r="T21" s="49" t="n">
        <f aca="false">IF('plan etatów'!$AA$49=0,0,Podsumowanie!$E$48*'plan etatów'!T49/'plan etatów'!$AA$49)</f>
        <v>0</v>
      </c>
      <c r="U21" s="49" t="n">
        <f aca="false">IF('plan etatów'!$AA$49=0,0,Podsumowanie!$E$48*'plan etatów'!U49/'plan etatów'!$AA$49)</f>
        <v>0</v>
      </c>
      <c r="V21" s="49" t="n">
        <f aca="false">IF('plan etatów'!$AA$49=0,0,Podsumowanie!$E$48*'plan etatów'!V49/'plan etatów'!$AA$49)</f>
        <v>0</v>
      </c>
      <c r="W21" s="49" t="n">
        <f aca="false">IF('plan etatów'!$AA$49=0,0,Podsumowanie!$E$48*'plan etatów'!W49/'plan etatów'!$AA$49)</f>
        <v>0</v>
      </c>
      <c r="X21" s="49" t="n">
        <f aca="false">IF('plan etatów'!$AA$49=0,0,Podsumowanie!$E$48*'plan etatów'!X49/'plan etatów'!$AA$49)</f>
        <v>0</v>
      </c>
      <c r="Y21" s="49" t="n">
        <f aca="false">IF('plan etatów'!$AA$49=0,0,Podsumowanie!$E$48*'plan etatów'!Y49/'plan etatów'!$AA$49)</f>
        <v>0</v>
      </c>
      <c r="Z21" s="49" t="n">
        <f aca="false">IF('plan etatów'!$AA$49=0,0,Podsumowanie!$E$48*'plan etatów'!Z49/'plan etatów'!$AA$49)</f>
        <v>0</v>
      </c>
    </row>
    <row r="22" customFormat="false" ht="15" hidden="false" customHeight="false" outlineLevel="0" collapsed="false">
      <c r="A22" s="41" t="s">
        <v>28</v>
      </c>
      <c r="B22" s="41" t="n">
        <v>2</v>
      </c>
      <c r="C22" s="49" t="n">
        <f aca="false">SUM(D22:Z22)</f>
        <v>44640</v>
      </c>
      <c r="D22" s="49" t="n">
        <f aca="false">IF('plan etatów'!$AA$50=0,0,Podsumowanie!$E$51*'plan etatów'!D50/'plan etatów'!$AA$50)</f>
        <v>0</v>
      </c>
      <c r="E22" s="49" t="n">
        <f aca="false">IF('plan etatów'!$AA$50=0,0,Podsumowanie!$E$51*'plan etatów'!E50/'plan etatów'!$AA$50)</f>
        <v>0</v>
      </c>
      <c r="F22" s="49" t="n">
        <f aca="false">IF('plan etatów'!$AA$50=0,0,Podsumowanie!$E$51*'plan etatów'!F50/'plan etatów'!$AA$50)</f>
        <v>0</v>
      </c>
      <c r="G22" s="49" t="n">
        <f aca="false">IF('plan etatów'!$AA$50=0,0,Podsumowanie!$E$51*'plan etatów'!G50/'plan etatów'!$AA$50)</f>
        <v>0</v>
      </c>
      <c r="H22" s="49" t="n">
        <f aca="false">IF('plan etatów'!$AA$50=0,0,Podsumowanie!$E$51*'plan etatów'!H50/'plan etatów'!$AA$50)</f>
        <v>0</v>
      </c>
      <c r="I22" s="49" t="n">
        <f aca="false">IF('plan etatów'!$AA$50=0,0,Podsumowanie!$E$51*'plan etatów'!I50/'plan etatów'!$AA$50)</f>
        <v>7440</v>
      </c>
      <c r="J22" s="49" t="n">
        <f aca="false">IF('plan etatów'!$AA$50=0,0,Podsumowanie!$E$51*'plan etatów'!J50/'plan etatów'!$AA$50)</f>
        <v>7440</v>
      </c>
      <c r="K22" s="49" t="n">
        <f aca="false">IF('plan etatów'!$AA$50=0,0,Podsumowanie!$E$51*'plan etatów'!K50/'plan etatów'!$AA$50)</f>
        <v>7440</v>
      </c>
      <c r="L22" s="49" t="n">
        <f aca="false">IF('plan etatów'!$AA$50=0,0,Podsumowanie!$E$51*'plan etatów'!L50/'plan etatów'!$AA$50)</f>
        <v>7440</v>
      </c>
      <c r="M22" s="49" t="n">
        <f aca="false">IF('plan etatów'!$AA$50=0,0,Podsumowanie!$E$51*'plan etatów'!M50/'plan etatów'!$AA$50)</f>
        <v>7440</v>
      </c>
      <c r="N22" s="49" t="n">
        <f aca="false">IF('plan etatów'!$AA$50=0,0,Podsumowanie!$E$51*'plan etatów'!N50/'plan etatów'!$AA$50)</f>
        <v>7440</v>
      </c>
      <c r="O22" s="49" t="n">
        <f aca="false">IF('plan etatów'!$AA$50=0,0,Podsumowanie!$E$51*'plan etatów'!O50/'plan etatów'!$AA$50)</f>
        <v>0</v>
      </c>
      <c r="P22" s="49" t="n">
        <f aca="false">IF('plan etatów'!$AA$50=0,0,Podsumowanie!$E$51*'plan etatów'!P50/'plan etatów'!$AA$50)</f>
        <v>0</v>
      </c>
      <c r="Q22" s="49" t="n">
        <f aca="false">IF('plan etatów'!$AA$50=0,0,Podsumowanie!$E$51*'plan etatów'!Q50/'plan etatów'!$AA$50)</f>
        <v>0</v>
      </c>
      <c r="R22" s="49" t="n">
        <f aca="false">IF('plan etatów'!$AA$50=0,0,Podsumowanie!$E$51*'plan etatów'!R50/'plan etatów'!$AA$50)</f>
        <v>0</v>
      </c>
      <c r="S22" s="49" t="n">
        <f aca="false">IF('plan etatów'!$AA$50=0,0,Podsumowanie!$E$51*'plan etatów'!S50/'plan etatów'!$AA$50)</f>
        <v>0</v>
      </c>
      <c r="T22" s="49" t="n">
        <f aca="false">IF('plan etatów'!$AA$50=0,0,Podsumowanie!$E$51*'plan etatów'!T50/'plan etatów'!$AA$50)</f>
        <v>0</v>
      </c>
      <c r="U22" s="49" t="n">
        <f aca="false">IF('plan etatów'!$AA$50=0,0,Podsumowanie!$E$51*'plan etatów'!U50/'plan etatów'!$AA$50)</f>
        <v>0</v>
      </c>
      <c r="V22" s="49" t="n">
        <f aca="false">IF('plan etatów'!$AA$50=0,0,Podsumowanie!$E$51*'plan etatów'!V50/'plan etatów'!$AA$50)</f>
        <v>0</v>
      </c>
      <c r="W22" s="49" t="n">
        <f aca="false">IF('plan etatów'!$AA$50=0,0,Podsumowanie!$E$51*'plan etatów'!W50/'plan etatów'!$AA$50)</f>
        <v>0</v>
      </c>
      <c r="X22" s="49" t="n">
        <f aca="false">IF('plan etatów'!$AA$50=0,0,Podsumowanie!$E$51*'plan etatów'!X50/'plan etatów'!$AA$50)</f>
        <v>0</v>
      </c>
      <c r="Y22" s="49" t="n">
        <f aca="false">IF('plan etatów'!$AA$50=0,0,Podsumowanie!$E$51*'plan etatów'!Y50/'plan etatów'!$AA$50)</f>
        <v>0</v>
      </c>
      <c r="Z22" s="49" t="n">
        <f aca="false">IF('plan etatów'!$AA$50=0,0,Podsumowanie!$E$51*'plan etatów'!Z50/'plan etatów'!$AA$50)</f>
        <v>0</v>
      </c>
    </row>
    <row r="23" customFormat="false" ht="15" hidden="false" customHeight="false" outlineLevel="0" collapsed="false">
      <c r="A23" s="41" t="s">
        <v>29</v>
      </c>
      <c r="B23" s="41" t="n">
        <v>2</v>
      </c>
      <c r="C23" s="49" t="n">
        <f aca="false">SUM(D23:Z23)</f>
        <v>123750</v>
      </c>
      <c r="D23" s="49" t="n">
        <f aca="false">IF('plan etatów'!$AA$51=0,0,Podsumowanie!$E$54*'plan etatów'!D51/'plan etatów'!$AA$51)</f>
        <v>0</v>
      </c>
      <c r="E23" s="49" t="n">
        <f aca="false">IF('plan etatów'!$AA$51=0,0,Podsumowanie!$E$54*'plan etatów'!E51/'plan etatów'!$AA$51)</f>
        <v>0</v>
      </c>
      <c r="F23" s="49" t="n">
        <f aca="false">IF('plan etatów'!$AA$51=0,0,Podsumowanie!$E$54*'plan etatów'!F51/'plan etatów'!$AA$51)</f>
        <v>0</v>
      </c>
      <c r="G23" s="49" t="n">
        <f aca="false">IF('plan etatów'!$AA$51=0,0,Podsumowanie!$E$54*'plan etatów'!G51/'plan etatów'!$AA$51)</f>
        <v>0</v>
      </c>
      <c r="H23" s="49" t="n">
        <f aca="false">IF('plan etatów'!$AA$51=0,0,Podsumowanie!$E$54*'plan etatów'!H51/'plan etatów'!$AA$51)</f>
        <v>0</v>
      </c>
      <c r="I23" s="49" t="n">
        <f aca="false">IF('plan etatów'!$AA$51=0,0,Podsumowanie!$E$54*'plan etatów'!I51/'plan etatów'!$AA$51)</f>
        <v>20625</v>
      </c>
      <c r="J23" s="49" t="n">
        <f aca="false">IF('plan etatów'!$AA$51=0,0,Podsumowanie!$E$54*'plan etatów'!J51/'plan etatów'!$AA$51)</f>
        <v>20625</v>
      </c>
      <c r="K23" s="49" t="n">
        <f aca="false">IF('plan etatów'!$AA$51=0,0,Podsumowanie!$E$54*'plan etatów'!K51/'plan etatów'!$AA$51)</f>
        <v>20625</v>
      </c>
      <c r="L23" s="49" t="n">
        <f aca="false">IF('plan etatów'!$AA$51=0,0,Podsumowanie!$E$54*'plan etatów'!L51/'plan etatów'!$AA$51)</f>
        <v>20625</v>
      </c>
      <c r="M23" s="49" t="n">
        <f aca="false">IF('plan etatów'!$AA$51=0,0,Podsumowanie!$E$54*'plan etatów'!M51/'plan etatów'!$AA$51)</f>
        <v>20625</v>
      </c>
      <c r="N23" s="49" t="n">
        <f aca="false">IF('plan etatów'!$AA$51=0,0,Podsumowanie!$E$54*'plan etatów'!N51/'plan etatów'!$AA$51)</f>
        <v>20625</v>
      </c>
      <c r="O23" s="49" t="n">
        <f aca="false">IF('plan etatów'!$AA$51=0,0,Podsumowanie!$E$54*'plan etatów'!O51/'plan etatów'!$AA$51)</f>
        <v>0</v>
      </c>
      <c r="P23" s="49" t="n">
        <f aca="false">IF('plan etatów'!$AA$51=0,0,Podsumowanie!$E$54*'plan etatów'!P51/'plan etatów'!$AA$51)</f>
        <v>0</v>
      </c>
      <c r="Q23" s="49" t="n">
        <f aca="false">IF('plan etatów'!$AA$51=0,0,Podsumowanie!$E$54*'plan etatów'!Q51/'plan etatów'!$AA$51)</f>
        <v>0</v>
      </c>
      <c r="R23" s="49" t="n">
        <f aca="false">IF('plan etatów'!$AA$51=0,0,Podsumowanie!$E$54*'plan etatów'!R51/'plan etatów'!$AA$51)</f>
        <v>0</v>
      </c>
      <c r="S23" s="49" t="n">
        <f aca="false">IF('plan etatów'!$AA$51=0,0,Podsumowanie!$E$54*'plan etatów'!S51/'plan etatów'!$AA$51)</f>
        <v>0</v>
      </c>
      <c r="T23" s="49" t="n">
        <f aca="false">IF('plan etatów'!$AA$51=0,0,Podsumowanie!$E$54*'plan etatów'!T51/'plan etatów'!$AA$51)</f>
        <v>0</v>
      </c>
      <c r="U23" s="49" t="n">
        <f aca="false">IF('plan etatów'!$AA$51=0,0,Podsumowanie!$E$54*'plan etatów'!U51/'plan etatów'!$AA$51)</f>
        <v>0</v>
      </c>
      <c r="V23" s="49" t="n">
        <f aca="false">IF('plan etatów'!$AA$51=0,0,Podsumowanie!$E$54*'plan etatów'!V51/'plan etatów'!$AA$51)</f>
        <v>0</v>
      </c>
      <c r="W23" s="49" t="n">
        <f aca="false">IF('plan etatów'!$AA$51=0,0,Podsumowanie!$E$54*'plan etatów'!W51/'plan etatów'!$AA$51)</f>
        <v>0</v>
      </c>
      <c r="X23" s="49" t="n">
        <f aca="false">IF('plan etatów'!$AA$51=0,0,Podsumowanie!$E$54*'plan etatów'!X51/'plan etatów'!$AA$51)</f>
        <v>0</v>
      </c>
      <c r="Y23" s="49" t="n">
        <f aca="false">IF('plan etatów'!$AA$51=0,0,Podsumowanie!$E$54*'plan etatów'!Y51/'plan etatów'!$AA$51)</f>
        <v>0</v>
      </c>
      <c r="Z23" s="49" t="n">
        <f aca="false">IF('plan etatów'!$AA$51=0,0,Podsumowanie!$E$54*'plan etatów'!Z51/'plan etatów'!$AA$51)</f>
        <v>0</v>
      </c>
    </row>
    <row r="24" customFormat="false" ht="15" hidden="false" customHeight="false" outlineLevel="0" collapsed="false">
      <c r="A24" s="41" t="s">
        <v>30</v>
      </c>
      <c r="B24" s="41" t="n">
        <v>2</v>
      </c>
      <c r="C24" s="49" t="n">
        <f aca="false">SUM(D24:Z24)</f>
        <v>80790</v>
      </c>
      <c r="D24" s="49" t="n">
        <f aca="false">IF('plan etatów'!$AA$52=0,0,Podsumowanie!$E$57*'plan etatów'!D52/'plan etatów'!$AA$52)</f>
        <v>0</v>
      </c>
      <c r="E24" s="49" t="n">
        <f aca="false">IF('plan etatów'!$AA$52=0,0,Podsumowanie!$E$57*'plan etatów'!E52/'plan etatów'!$AA$52)</f>
        <v>0</v>
      </c>
      <c r="F24" s="49" t="n">
        <f aca="false">IF('plan etatów'!$AA$52=0,0,Podsumowanie!$E$57*'plan etatów'!F52/'plan etatów'!$AA$52)</f>
        <v>0</v>
      </c>
      <c r="G24" s="49" t="n">
        <f aca="false">IF('plan etatów'!$AA$52=0,0,Podsumowanie!$E$57*'plan etatów'!G52/'plan etatów'!$AA$52)</f>
        <v>0</v>
      </c>
      <c r="H24" s="49" t="n">
        <f aca="false">IF('plan etatów'!$AA$52=0,0,Podsumowanie!$E$57*'plan etatów'!H52/'plan etatów'!$AA$52)</f>
        <v>0</v>
      </c>
      <c r="I24" s="49" t="n">
        <f aca="false">IF('plan etatów'!$AA$52=0,0,Podsumowanie!$E$57*'plan etatów'!I52/'plan etatów'!$AA$52)</f>
        <v>13465</v>
      </c>
      <c r="J24" s="49" t="n">
        <f aca="false">IF('plan etatów'!$AA$52=0,0,Podsumowanie!$E$57*'plan etatów'!J52/'plan etatów'!$AA$52)</f>
        <v>13465</v>
      </c>
      <c r="K24" s="49" t="n">
        <f aca="false">IF('plan etatów'!$AA$52=0,0,Podsumowanie!$E$57*'plan etatów'!K52/'plan etatów'!$AA$52)</f>
        <v>13465</v>
      </c>
      <c r="L24" s="49" t="n">
        <f aca="false">IF('plan etatów'!$AA$52=0,0,Podsumowanie!$E$57*'plan etatów'!L52/'plan etatów'!$AA$52)</f>
        <v>13465</v>
      </c>
      <c r="M24" s="49" t="n">
        <f aca="false">IF('plan etatów'!$AA$52=0,0,Podsumowanie!$E$57*'plan etatów'!M52/'plan etatów'!$AA$52)</f>
        <v>13465</v>
      </c>
      <c r="N24" s="49" t="n">
        <f aca="false">IF('plan etatów'!$AA$52=0,0,Podsumowanie!$E$57*'plan etatów'!N52/'plan etatów'!$AA$52)</f>
        <v>13465</v>
      </c>
      <c r="O24" s="49" t="n">
        <f aca="false">IF('plan etatów'!$AA$52=0,0,Podsumowanie!$E$57*'plan etatów'!O52/'plan etatów'!$AA$52)</f>
        <v>0</v>
      </c>
      <c r="P24" s="49" t="n">
        <f aca="false">IF('plan etatów'!$AA$52=0,0,Podsumowanie!$E$57*'plan etatów'!P52/'plan etatów'!$AA$52)</f>
        <v>0</v>
      </c>
      <c r="Q24" s="49" t="n">
        <f aca="false">IF('plan etatów'!$AA$52=0,0,Podsumowanie!$E$57*'plan etatów'!Q52/'plan etatów'!$AA$52)</f>
        <v>0</v>
      </c>
      <c r="R24" s="49" t="n">
        <f aca="false">IF('plan etatów'!$AA$52=0,0,Podsumowanie!$E$57*'plan etatów'!R52/'plan etatów'!$AA$52)</f>
        <v>0</v>
      </c>
      <c r="S24" s="49" t="n">
        <f aca="false">IF('plan etatów'!$AA$52=0,0,Podsumowanie!$E$57*'plan etatów'!S52/'plan etatów'!$AA$52)</f>
        <v>0</v>
      </c>
      <c r="T24" s="49" t="n">
        <f aca="false">IF('plan etatów'!$AA$52=0,0,Podsumowanie!$E$57*'plan etatów'!T52/'plan etatów'!$AA$52)</f>
        <v>0</v>
      </c>
      <c r="U24" s="49" t="n">
        <f aca="false">IF('plan etatów'!$AA$52=0,0,Podsumowanie!$E$57*'plan etatów'!U52/'plan etatów'!$AA$52)</f>
        <v>0</v>
      </c>
      <c r="V24" s="49" t="n">
        <f aca="false">IF('plan etatów'!$AA$52=0,0,Podsumowanie!$E$57*'plan etatów'!V52/'plan etatów'!$AA$52)</f>
        <v>0</v>
      </c>
      <c r="W24" s="49" t="n">
        <f aca="false">IF('plan etatów'!$AA$52=0,0,Podsumowanie!$E$57*'plan etatów'!W52/'plan etatów'!$AA$52)</f>
        <v>0</v>
      </c>
      <c r="X24" s="49" t="n">
        <f aca="false">IF('plan etatów'!$AA$52=0,0,Podsumowanie!$E$57*'plan etatów'!X52/'plan etatów'!$AA$52)</f>
        <v>0</v>
      </c>
      <c r="Y24" s="49" t="n">
        <f aca="false">IF('plan etatów'!$AA$52=0,0,Podsumowanie!$E$57*'plan etatów'!Y52/'plan etatów'!$AA$52)</f>
        <v>0</v>
      </c>
      <c r="Z24" s="49" t="n">
        <f aca="false">IF('plan etatów'!$AA$52=0,0,Podsumowanie!$E$57*'plan etatów'!Z52/'plan etatów'!$AA$52)</f>
        <v>0</v>
      </c>
    </row>
    <row r="25" customFormat="false" ht="15" hidden="false" customHeight="false" outlineLevel="0" collapsed="false">
      <c r="A25" s="41" t="s">
        <v>31</v>
      </c>
      <c r="B25" s="41" t="n">
        <v>2</v>
      </c>
      <c r="C25" s="49" t="n">
        <f aca="false">SUM(D25:Z25)</f>
        <v>100000</v>
      </c>
      <c r="D25" s="49" t="n">
        <f aca="false">IF(D$4='plan etatów'!$C$5,Podsumowanie!$E$60,0)</f>
        <v>0</v>
      </c>
      <c r="E25" s="49" t="n">
        <f aca="false">IF(E$4='plan etatów'!$C$5,Podsumowanie!$E$60,0)</f>
        <v>0</v>
      </c>
      <c r="F25" s="49" t="n">
        <f aca="false">IF(F$4='plan etatów'!$C$5,Podsumowanie!$E$60,0)</f>
        <v>0</v>
      </c>
      <c r="G25" s="49" t="n">
        <f aca="false">IF(G$4='plan etatów'!$C$5,Podsumowanie!$E$60,0)</f>
        <v>0</v>
      </c>
      <c r="H25" s="49" t="n">
        <f aca="false">IF(H$4='plan etatów'!$C$5,Podsumowanie!$E$60,0)</f>
        <v>0</v>
      </c>
      <c r="I25" s="49" t="n">
        <f aca="false">IF(I$4='plan etatów'!$C$5,Podsumowanie!$E$60,0)</f>
        <v>0</v>
      </c>
      <c r="J25" s="49" t="n">
        <f aca="false">IF(J$4='plan etatów'!$C$5,Podsumowanie!$E$60,0)</f>
        <v>0</v>
      </c>
      <c r="K25" s="49" t="n">
        <f aca="false">IF(K$4='plan etatów'!$C$5,Podsumowanie!$E$60,0)</f>
        <v>0</v>
      </c>
      <c r="L25" s="49" t="n">
        <f aca="false">IF(L$4='plan etatów'!$C$5,Podsumowanie!$E$60,0)</f>
        <v>0</v>
      </c>
      <c r="M25" s="49" t="n">
        <f aca="false">IF(M$4='plan etatów'!$C$5,Podsumowanie!$E$60,0)</f>
        <v>0</v>
      </c>
      <c r="N25" s="49" t="n">
        <f aca="false">IF(N$4='plan etatów'!$C$5,Podsumowanie!$E$60,0)</f>
        <v>100000</v>
      </c>
      <c r="O25" s="49" t="n">
        <f aca="false">IF(O$4='plan etatów'!$C$5,Podsumowanie!$E$60,0)</f>
        <v>0</v>
      </c>
      <c r="P25" s="49" t="n">
        <f aca="false">IF(P$4='plan etatów'!$C$5,Podsumowanie!$E$60,0)</f>
        <v>0</v>
      </c>
      <c r="Q25" s="49" t="n">
        <f aca="false">IF(Q$4='plan etatów'!$C$5,Podsumowanie!$E$60,0)</f>
        <v>0</v>
      </c>
      <c r="R25" s="49" t="n">
        <f aca="false">IF(R$4='plan etatów'!$C$5,Podsumowanie!$E$60,0)</f>
        <v>0</v>
      </c>
      <c r="S25" s="49" t="n">
        <f aca="false">IF(S$4='plan etatów'!$C$5,Podsumowanie!$E$60,0)</f>
        <v>0</v>
      </c>
      <c r="T25" s="49" t="n">
        <f aca="false">IF(T$4='plan etatów'!$C$5,Podsumowanie!$E$60,0)</f>
        <v>0</v>
      </c>
      <c r="U25" s="49" t="n">
        <f aca="false">IF(U$4='plan etatów'!$C$5,Podsumowanie!$E$60,0)</f>
        <v>0</v>
      </c>
      <c r="V25" s="49" t="n">
        <f aca="false">IF(V$4='plan etatów'!$C$5,Podsumowanie!$E$60,0)</f>
        <v>0</v>
      </c>
      <c r="W25" s="49" t="n">
        <f aca="false">IF(W$4='plan etatów'!$C$5,Podsumowanie!$E$60,0)</f>
        <v>0</v>
      </c>
      <c r="X25" s="49" t="n">
        <f aca="false">IF(X$4='plan etatów'!$C$5,Podsumowanie!$E$60,0)</f>
        <v>0</v>
      </c>
      <c r="Y25" s="49" t="n">
        <f aca="false">IF(Y$4='plan etatów'!$C$5,Podsumowanie!$E$60,0)</f>
        <v>0</v>
      </c>
      <c r="Z25" s="49" t="n">
        <f aca="false">IF(Z$4='plan etatów'!$C$5,Podsumowanie!$E$60,0)</f>
        <v>0</v>
      </c>
    </row>
    <row r="26" customFormat="false" ht="15" hidden="false" customHeight="false" outlineLevel="0" collapsed="false">
      <c r="A26" s="41" t="s">
        <v>32</v>
      </c>
      <c r="B26" s="41" t="n">
        <v>2</v>
      </c>
      <c r="C26" s="49" t="n">
        <f aca="false">SUM(D26:Z26)</f>
        <v>4285.71</v>
      </c>
      <c r="D26" s="49" t="n">
        <f aca="false">IF('plan etatów'!$AA$54=0,0,Podsumowanie!$E$63*'plan etatów'!D54/'plan etatów'!$AA$54)</f>
        <v>0</v>
      </c>
      <c r="E26" s="49" t="n">
        <f aca="false">IF('plan etatów'!$AA$54=0,0,Podsumowanie!$E$63*'plan etatów'!E54/'plan etatów'!$AA$54)</f>
        <v>0</v>
      </c>
      <c r="F26" s="49" t="n">
        <f aca="false">IF('plan etatów'!$AA$54=0,0,Podsumowanie!$E$63*'plan etatów'!F54/'plan etatów'!$AA$54)</f>
        <v>0</v>
      </c>
      <c r="G26" s="49" t="n">
        <f aca="false">IF('plan etatów'!$AA$54=0,0,Podsumowanie!$E$63*'plan etatów'!G54/'plan etatów'!$AA$54)</f>
        <v>0</v>
      </c>
      <c r="H26" s="49" t="n">
        <f aca="false">IF('plan etatów'!$AA$54=0,0,Podsumowanie!$E$63*'plan etatów'!H54/'plan etatów'!$AA$54)</f>
        <v>0</v>
      </c>
      <c r="I26" s="49" t="n">
        <f aca="false">IF('plan etatów'!$AA$54=0,0,Podsumowanie!$E$63*'plan etatów'!I54/'plan etatów'!$AA$54)</f>
        <v>714.285</v>
      </c>
      <c r="J26" s="49" t="n">
        <f aca="false">IF('plan etatów'!$AA$54=0,0,Podsumowanie!$E$63*'plan etatów'!J54/'plan etatów'!$AA$54)</f>
        <v>714.285</v>
      </c>
      <c r="K26" s="49" t="n">
        <f aca="false">IF('plan etatów'!$AA$54=0,0,Podsumowanie!$E$63*'plan etatów'!K54/'plan etatów'!$AA$54)</f>
        <v>714.285</v>
      </c>
      <c r="L26" s="49" t="n">
        <f aca="false">IF('plan etatów'!$AA$54=0,0,Podsumowanie!$E$63*'plan etatów'!L54/'plan etatów'!$AA$54)</f>
        <v>714.285</v>
      </c>
      <c r="M26" s="49" t="n">
        <f aca="false">IF('plan etatów'!$AA$54=0,0,Podsumowanie!$E$63*'plan etatów'!M54/'plan etatów'!$AA$54)</f>
        <v>714.285</v>
      </c>
      <c r="N26" s="49" t="n">
        <f aca="false">IF('plan etatów'!$AA$54=0,0,Podsumowanie!$E$63*'plan etatów'!N54/'plan etatów'!$AA$54)</f>
        <v>714.285</v>
      </c>
      <c r="O26" s="49" t="n">
        <f aca="false">IF('plan etatów'!$AA$54=0,0,Podsumowanie!$E$63*'plan etatów'!O54/'plan etatów'!$AA$54)</f>
        <v>0</v>
      </c>
      <c r="P26" s="49" t="n">
        <f aca="false">IF('plan etatów'!$AA$54=0,0,Podsumowanie!$E$63*'plan etatów'!P54/'plan etatów'!$AA$54)</f>
        <v>0</v>
      </c>
      <c r="Q26" s="49" t="n">
        <f aca="false">IF('plan etatów'!$AA$54=0,0,Podsumowanie!$E$63*'plan etatów'!Q54/'plan etatów'!$AA$54)</f>
        <v>0</v>
      </c>
      <c r="R26" s="49" t="n">
        <f aca="false">IF('plan etatów'!$AA$54=0,0,Podsumowanie!$E$63*'plan etatów'!R54/'plan etatów'!$AA$54)</f>
        <v>0</v>
      </c>
      <c r="S26" s="49" t="n">
        <f aca="false">IF('plan etatów'!$AA$54=0,0,Podsumowanie!$E$63*'plan etatów'!S54/'plan etatów'!$AA$54)</f>
        <v>0</v>
      </c>
      <c r="T26" s="49" t="n">
        <f aca="false">IF('plan etatów'!$AA$54=0,0,Podsumowanie!$E$63*'plan etatów'!T54/'plan etatów'!$AA$54)</f>
        <v>0</v>
      </c>
      <c r="U26" s="49" t="n">
        <f aca="false">IF('plan etatów'!$AA$54=0,0,Podsumowanie!$E$63*'plan etatów'!U54/'plan etatów'!$AA$54)</f>
        <v>0</v>
      </c>
      <c r="V26" s="49" t="n">
        <f aca="false">IF('plan etatów'!$AA$54=0,0,Podsumowanie!$E$63*'plan etatów'!V54/'plan etatów'!$AA$54)</f>
        <v>0</v>
      </c>
      <c r="W26" s="49" t="n">
        <f aca="false">IF('plan etatów'!$AA$54=0,0,Podsumowanie!$E$63*'plan etatów'!W54/'plan etatów'!$AA$54)</f>
        <v>0</v>
      </c>
      <c r="X26" s="49" t="n">
        <f aca="false">IF('plan etatów'!$AA$54=0,0,Podsumowanie!$E$63*'plan etatów'!X54/'plan etatów'!$AA$54)</f>
        <v>0</v>
      </c>
      <c r="Y26" s="49" t="n">
        <f aca="false">IF('plan etatów'!$AA$54=0,0,Podsumowanie!$E$63*'plan etatów'!Y54/'plan etatów'!$AA$54)</f>
        <v>0</v>
      </c>
      <c r="Z26" s="49" t="n">
        <f aca="false">IF('plan etatów'!$AA$54=0,0,Podsumowanie!$E$63*'plan etatów'!Z54/'plan etatów'!$AA$54)</f>
        <v>0</v>
      </c>
    </row>
    <row r="27" customFormat="false" ht="15" hidden="false" customHeight="false" outlineLevel="0" collapsed="false">
      <c r="A27" s="41" t="s">
        <v>33</v>
      </c>
      <c r="B27" s="41" t="n">
        <v>2</v>
      </c>
      <c r="C27" s="49" t="n">
        <f aca="false">SUM(D27:Z27)</f>
        <v>118500</v>
      </c>
      <c r="D27" s="49" t="n">
        <f aca="false">IF('plan etatów'!$AA$55=0,0,Podsumowanie!$E$66*'plan etatów'!D55/'plan etatów'!$AA$55)</f>
        <v>0</v>
      </c>
      <c r="E27" s="49" t="n">
        <f aca="false">IF('plan etatów'!$AA$55=0,0,Podsumowanie!$E$66*'plan etatów'!E55/'plan etatów'!$AA$55)</f>
        <v>0</v>
      </c>
      <c r="F27" s="49" t="n">
        <f aca="false">IF('plan etatów'!$AA$55=0,0,Podsumowanie!$E$66*'plan etatów'!F55/'plan etatów'!$AA$55)</f>
        <v>0</v>
      </c>
      <c r="G27" s="49" t="n">
        <f aca="false">IF('plan etatów'!$AA$55=0,0,Podsumowanie!$E$66*'plan etatów'!G55/'plan etatów'!$AA$55)</f>
        <v>0</v>
      </c>
      <c r="H27" s="49" t="n">
        <f aca="false">IF('plan etatów'!$AA$55=0,0,Podsumowanie!$E$66*'plan etatów'!H55/'plan etatów'!$AA$55)</f>
        <v>0</v>
      </c>
      <c r="I27" s="49" t="n">
        <f aca="false">IF('plan etatów'!$AA$55=0,0,Podsumowanie!$E$66*'plan etatów'!I55/'plan etatów'!$AA$55)</f>
        <v>19750</v>
      </c>
      <c r="J27" s="49" t="n">
        <f aca="false">IF('plan etatów'!$AA$55=0,0,Podsumowanie!$E$66*'plan etatów'!J55/'plan etatów'!$AA$55)</f>
        <v>19750</v>
      </c>
      <c r="K27" s="49" t="n">
        <f aca="false">IF('plan etatów'!$AA$55=0,0,Podsumowanie!$E$66*'plan etatów'!K55/'plan etatów'!$AA$55)</f>
        <v>19750</v>
      </c>
      <c r="L27" s="49" t="n">
        <f aca="false">IF('plan etatów'!$AA$55=0,0,Podsumowanie!$E$66*'plan etatów'!L55/'plan etatów'!$AA$55)</f>
        <v>19750</v>
      </c>
      <c r="M27" s="49" t="n">
        <f aca="false">IF('plan etatów'!$AA$55=0,0,Podsumowanie!$E$66*'plan etatów'!M55/'plan etatów'!$AA$55)</f>
        <v>19750</v>
      </c>
      <c r="N27" s="49" t="n">
        <f aca="false">IF('plan etatów'!$AA$55=0,0,Podsumowanie!$E$66*'plan etatów'!N55/'plan etatów'!$AA$55)</f>
        <v>19750</v>
      </c>
      <c r="O27" s="49" t="n">
        <f aca="false">IF('plan etatów'!$AA$55=0,0,Podsumowanie!$E$66*'plan etatów'!O55/'plan etatów'!$AA$55)</f>
        <v>0</v>
      </c>
      <c r="P27" s="49" t="n">
        <f aca="false">IF('plan etatów'!$AA$55=0,0,Podsumowanie!$E$66*'plan etatów'!P55/'plan etatów'!$AA$55)</f>
        <v>0</v>
      </c>
      <c r="Q27" s="49" t="n">
        <f aca="false">IF('plan etatów'!$AA$55=0,0,Podsumowanie!$E$66*'plan etatów'!Q55/'plan etatów'!$AA$55)</f>
        <v>0</v>
      </c>
      <c r="R27" s="49" t="n">
        <f aca="false">IF('plan etatów'!$AA$55=0,0,Podsumowanie!$E$66*'plan etatów'!R55/'plan etatów'!$AA$55)</f>
        <v>0</v>
      </c>
      <c r="S27" s="49" t="n">
        <f aca="false">IF('plan etatów'!$AA$55=0,0,Podsumowanie!$E$66*'plan etatów'!S55/'plan etatów'!$AA$55)</f>
        <v>0</v>
      </c>
      <c r="T27" s="49" t="n">
        <f aca="false">IF('plan etatów'!$AA$55=0,0,Podsumowanie!$E$66*'plan etatów'!T55/'plan etatów'!$AA$55)</f>
        <v>0</v>
      </c>
      <c r="U27" s="49" t="n">
        <f aca="false">IF('plan etatów'!$AA$55=0,0,Podsumowanie!$E$66*'plan etatów'!U55/'plan etatów'!$AA$55)</f>
        <v>0</v>
      </c>
      <c r="V27" s="49" t="n">
        <f aca="false">IF('plan etatów'!$AA$55=0,0,Podsumowanie!$E$66*'plan etatów'!V55/'plan etatów'!$AA$55)</f>
        <v>0</v>
      </c>
      <c r="W27" s="49" t="n">
        <f aca="false">IF('plan etatów'!$AA$55=0,0,Podsumowanie!$E$66*'plan etatów'!W55/'plan etatów'!$AA$55)</f>
        <v>0</v>
      </c>
      <c r="X27" s="49" t="n">
        <f aca="false">IF('plan etatów'!$AA$55=0,0,Podsumowanie!$E$66*'plan etatów'!X55/'plan etatów'!$AA$55)</f>
        <v>0</v>
      </c>
      <c r="Y27" s="49" t="n">
        <f aca="false">IF('plan etatów'!$AA$55=0,0,Podsumowanie!$E$66*'plan etatów'!Y55/'plan etatów'!$AA$55)</f>
        <v>0</v>
      </c>
      <c r="Z27" s="49" t="n">
        <f aca="false">IF('plan etatów'!$AA$55=0,0,Podsumowanie!$E$66*'plan etatów'!Z55/'plan etatów'!$AA$55)</f>
        <v>0</v>
      </c>
    </row>
    <row r="28" customFormat="false" ht="15" hidden="false" customHeight="false" outlineLevel="0" collapsed="false">
      <c r="A28" s="41" t="s">
        <v>35</v>
      </c>
      <c r="B28" s="41" t="n">
        <v>3</v>
      </c>
      <c r="C28" s="49" t="n">
        <f aca="false">SUM(D28:Z28)</f>
        <v>332400</v>
      </c>
      <c r="D28" s="49" t="n">
        <f aca="false">IF('plan etatów'!$AA$56=0,0,Podsumowanie!$E$72*'plan etatów'!D56/'plan etatów'!$AA$56)</f>
        <v>0</v>
      </c>
      <c r="E28" s="49" t="n">
        <f aca="false">IF('plan etatów'!$AA$56=0,0,Podsumowanie!$E$72*'plan etatów'!E56/'plan etatów'!$AA$56)</f>
        <v>0</v>
      </c>
      <c r="F28" s="49" t="n">
        <f aca="false">IF('plan etatów'!$AA$56=0,0,Podsumowanie!$E$72*'plan etatów'!F56/'plan etatów'!$AA$56)</f>
        <v>0</v>
      </c>
      <c r="G28" s="49" t="n">
        <f aca="false">IF('plan etatów'!$AA$56=0,0,Podsumowanie!$E$72*'plan etatów'!G56/'plan etatów'!$AA$56)</f>
        <v>0</v>
      </c>
      <c r="H28" s="49" t="n">
        <f aca="false">IF('plan etatów'!$AA$56=0,0,Podsumowanie!$E$72*'plan etatów'!H56/'plan etatów'!$AA$56)</f>
        <v>0</v>
      </c>
      <c r="I28" s="49" t="n">
        <f aca="false">IF('plan etatów'!$AA$56=0,0,Podsumowanie!$E$72*'plan etatów'!I56/'plan etatów'!$AA$56)</f>
        <v>0</v>
      </c>
      <c r="J28" s="49" t="n">
        <f aca="false">IF('plan etatów'!$AA$56=0,0,Podsumowanie!$E$72*'plan etatów'!J56/'plan etatów'!$AA$56)</f>
        <v>0</v>
      </c>
      <c r="K28" s="49" t="n">
        <f aca="false">IF('plan etatów'!$AA$56=0,0,Podsumowanie!$E$72*'plan etatów'!K56/'plan etatów'!$AA$56)</f>
        <v>0</v>
      </c>
      <c r="L28" s="49" t="n">
        <f aca="false">IF('plan etatów'!$AA$56=0,0,Podsumowanie!$E$72*'plan etatów'!L56/'plan etatów'!$AA$56)</f>
        <v>0</v>
      </c>
      <c r="M28" s="49" t="n">
        <f aca="false">IF('plan etatów'!$AA$56=0,0,Podsumowanie!$E$72*'plan etatów'!M56/'plan etatów'!$AA$56)</f>
        <v>0</v>
      </c>
      <c r="N28" s="49" t="n">
        <f aca="false">IF('plan etatów'!$AA$56=0,0,Podsumowanie!$E$72*'plan etatów'!N56/'plan etatów'!$AA$56)</f>
        <v>0</v>
      </c>
      <c r="O28" s="49" t="n">
        <f aca="false">IF('plan etatów'!$AA$56=0,0,Podsumowanie!$E$72*'plan etatów'!O56/'plan etatów'!$AA$56)</f>
        <v>55400</v>
      </c>
      <c r="P28" s="49" t="n">
        <f aca="false">IF('plan etatów'!$AA$56=0,0,Podsumowanie!$E$72*'plan etatów'!P56/'plan etatów'!$AA$56)</f>
        <v>55400</v>
      </c>
      <c r="Q28" s="49" t="n">
        <f aca="false">IF('plan etatów'!$AA$56=0,0,Podsumowanie!$E$72*'plan etatów'!Q56/'plan etatów'!$AA$56)</f>
        <v>55400</v>
      </c>
      <c r="R28" s="49" t="n">
        <f aca="false">IF('plan etatów'!$AA$56=0,0,Podsumowanie!$E$72*'plan etatów'!R56/'plan etatów'!$AA$56)</f>
        <v>55400</v>
      </c>
      <c r="S28" s="49" t="n">
        <f aca="false">IF('plan etatów'!$AA$56=0,0,Podsumowanie!$E$72*'plan etatów'!S56/'plan etatów'!$AA$56)</f>
        <v>55400</v>
      </c>
      <c r="T28" s="49" t="n">
        <f aca="false">IF('plan etatów'!$AA$56=0,0,Podsumowanie!$E$72*'plan etatów'!T56/'plan etatów'!$AA$56)</f>
        <v>55400</v>
      </c>
      <c r="U28" s="49" t="n">
        <f aca="false">IF('plan etatów'!$AA$56=0,0,Podsumowanie!$E$72*'plan etatów'!U56/'plan etatów'!$AA$56)</f>
        <v>0</v>
      </c>
      <c r="V28" s="49" t="n">
        <f aca="false">IF('plan etatów'!$AA$56=0,0,Podsumowanie!$E$72*'plan etatów'!V56/'plan etatów'!$AA$56)</f>
        <v>0</v>
      </c>
      <c r="W28" s="49" t="n">
        <f aca="false">IF('plan etatów'!$AA$56=0,0,Podsumowanie!$E$72*'plan etatów'!W56/'plan etatów'!$AA$56)</f>
        <v>0</v>
      </c>
      <c r="X28" s="49" t="n">
        <f aca="false">IF('plan etatów'!$AA$56=0,0,Podsumowanie!$E$72*'plan etatów'!X56/'plan etatów'!$AA$56)</f>
        <v>0</v>
      </c>
      <c r="Y28" s="49" t="n">
        <f aca="false">IF('plan etatów'!$AA$56=0,0,Podsumowanie!$E$72*'plan etatów'!Y56/'plan etatów'!$AA$56)</f>
        <v>0</v>
      </c>
      <c r="Z28" s="49" t="n">
        <f aca="false">IF('plan etatów'!$AA$56=0,0,Podsumowanie!$E$72*'plan etatów'!Z56/'plan etatów'!$AA$56)</f>
        <v>0</v>
      </c>
    </row>
    <row r="29" customFormat="false" ht="15" hidden="false" customHeight="false" outlineLevel="0" collapsed="false">
      <c r="A29" s="41" t="s">
        <v>36</v>
      </c>
      <c r="B29" s="41" t="n">
        <v>3</v>
      </c>
      <c r="C29" s="49" t="n">
        <f aca="false">SUM(D29:Z29)</f>
        <v>113160</v>
      </c>
      <c r="D29" s="49" t="n">
        <f aca="false">IF('plan etatów'!$AA$57=0,0,Podsumowanie!$E$75*'plan etatów'!D57/'plan etatów'!$AA$57)</f>
        <v>0</v>
      </c>
      <c r="E29" s="49" t="n">
        <f aca="false">IF('plan etatów'!$AA$57=0,0,Podsumowanie!$E$75*'plan etatów'!E57/'plan etatów'!$AA$57)</f>
        <v>0</v>
      </c>
      <c r="F29" s="49" t="n">
        <f aca="false">IF('plan etatów'!$AA$57=0,0,Podsumowanie!$E$75*'plan etatów'!F57/'plan etatów'!$AA$57)</f>
        <v>0</v>
      </c>
      <c r="G29" s="49" t="n">
        <f aca="false">IF('plan etatów'!$AA$57=0,0,Podsumowanie!$E$75*'plan etatów'!G57/'plan etatów'!$AA$57)</f>
        <v>0</v>
      </c>
      <c r="H29" s="49" t="n">
        <f aca="false">IF('plan etatów'!$AA$57=0,0,Podsumowanie!$E$75*'plan etatów'!H57/'plan etatów'!$AA$57)</f>
        <v>0</v>
      </c>
      <c r="I29" s="49" t="n">
        <f aca="false">IF('plan etatów'!$AA$57=0,0,Podsumowanie!$E$75*'plan etatów'!I57/'plan etatów'!$AA$57)</f>
        <v>0</v>
      </c>
      <c r="J29" s="49" t="n">
        <f aca="false">IF('plan etatów'!$AA$57=0,0,Podsumowanie!$E$75*'plan etatów'!J57/'plan etatów'!$AA$57)</f>
        <v>0</v>
      </c>
      <c r="K29" s="49" t="n">
        <f aca="false">IF('plan etatów'!$AA$57=0,0,Podsumowanie!$E$75*'plan etatów'!K57/'plan etatów'!$AA$57)</f>
        <v>0</v>
      </c>
      <c r="L29" s="49" t="n">
        <f aca="false">IF('plan etatów'!$AA$57=0,0,Podsumowanie!$E$75*'plan etatów'!L57/'plan etatów'!$AA$57)</f>
        <v>0</v>
      </c>
      <c r="M29" s="49" t="n">
        <f aca="false">IF('plan etatów'!$AA$57=0,0,Podsumowanie!$E$75*'plan etatów'!M57/'plan etatów'!$AA$57)</f>
        <v>0</v>
      </c>
      <c r="N29" s="49" t="n">
        <f aca="false">IF('plan etatów'!$AA$57=0,0,Podsumowanie!$E$75*'plan etatów'!N57/'plan etatów'!$AA$57)</f>
        <v>0</v>
      </c>
      <c r="O29" s="49" t="n">
        <f aca="false">IF('plan etatów'!$AA$57=0,0,Podsumowanie!$E$75*'plan etatów'!O57/'plan etatów'!$AA$57)</f>
        <v>18860</v>
      </c>
      <c r="P29" s="49" t="n">
        <f aca="false">IF('plan etatów'!$AA$57=0,0,Podsumowanie!$E$75*'plan etatów'!P57/'plan etatów'!$AA$57)</f>
        <v>18860</v>
      </c>
      <c r="Q29" s="49" t="n">
        <f aca="false">IF('plan etatów'!$AA$57=0,0,Podsumowanie!$E$75*'plan etatów'!Q57/'plan etatów'!$AA$57)</f>
        <v>18860</v>
      </c>
      <c r="R29" s="49" t="n">
        <f aca="false">IF('plan etatów'!$AA$57=0,0,Podsumowanie!$E$75*'plan etatów'!R57/'plan etatów'!$AA$57)</f>
        <v>18860</v>
      </c>
      <c r="S29" s="49" t="n">
        <f aca="false">IF('plan etatów'!$AA$57=0,0,Podsumowanie!$E$75*'plan etatów'!S57/'plan etatów'!$AA$57)</f>
        <v>18860</v>
      </c>
      <c r="T29" s="49" t="n">
        <f aca="false">IF('plan etatów'!$AA$57=0,0,Podsumowanie!$E$75*'plan etatów'!T57/'plan etatów'!$AA$57)</f>
        <v>18860</v>
      </c>
      <c r="U29" s="49" t="n">
        <f aca="false">IF('plan etatów'!$AA$57=0,0,Podsumowanie!$E$75*'plan etatów'!U57/'plan etatów'!$AA$57)</f>
        <v>0</v>
      </c>
      <c r="V29" s="49" t="n">
        <f aca="false">IF('plan etatów'!$AA$57=0,0,Podsumowanie!$E$75*'plan etatów'!V57/'plan etatów'!$AA$57)</f>
        <v>0</v>
      </c>
      <c r="W29" s="49" t="n">
        <f aca="false">IF('plan etatów'!$AA$57=0,0,Podsumowanie!$E$75*'plan etatów'!W57/'plan etatów'!$AA$57)</f>
        <v>0</v>
      </c>
      <c r="X29" s="49" t="n">
        <f aca="false">IF('plan etatów'!$AA$57=0,0,Podsumowanie!$E$75*'plan etatów'!X57/'plan etatów'!$AA$57)</f>
        <v>0</v>
      </c>
      <c r="Y29" s="49" t="n">
        <f aca="false">IF('plan etatów'!$AA$57=0,0,Podsumowanie!$E$75*'plan etatów'!Y57/'plan etatów'!$AA$57)</f>
        <v>0</v>
      </c>
      <c r="Z29" s="49" t="n">
        <f aca="false">IF('plan etatów'!$AA$57=0,0,Podsumowanie!$E$75*'plan etatów'!Z57/'plan etatów'!$AA$57)</f>
        <v>0</v>
      </c>
    </row>
    <row r="30" customFormat="false" ht="15" hidden="false" customHeight="false" outlineLevel="0" collapsed="false">
      <c r="A30" s="41" t="s">
        <v>37</v>
      </c>
      <c r="B30" s="41" t="n">
        <v>3</v>
      </c>
      <c r="C30" s="49" t="n">
        <f aca="false">SUM(D30:Z30)</f>
        <v>162660</v>
      </c>
      <c r="D30" s="49" t="n">
        <f aca="false">IF('plan etatów'!$AA$58=0,0,Podsumowanie!$E$78*'plan etatów'!D58/'plan etatów'!$AA$58)</f>
        <v>0</v>
      </c>
      <c r="E30" s="49" t="n">
        <f aca="false">IF('plan etatów'!$AA$58=0,0,Podsumowanie!$E$78*'plan etatów'!E58/'plan etatów'!$AA$58)</f>
        <v>0</v>
      </c>
      <c r="F30" s="49" t="n">
        <f aca="false">IF('plan etatów'!$AA$58=0,0,Podsumowanie!$E$78*'plan etatów'!F58/'plan etatów'!$AA$58)</f>
        <v>0</v>
      </c>
      <c r="G30" s="49" t="n">
        <f aca="false">IF('plan etatów'!$AA$58=0,0,Podsumowanie!$E$78*'plan etatów'!G58/'plan etatów'!$AA$58)</f>
        <v>0</v>
      </c>
      <c r="H30" s="49" t="n">
        <f aca="false">IF('plan etatów'!$AA$58=0,0,Podsumowanie!$E$78*'plan etatów'!H58/'plan etatów'!$AA$58)</f>
        <v>0</v>
      </c>
      <c r="I30" s="49" t="n">
        <f aca="false">IF('plan etatów'!$AA$58=0,0,Podsumowanie!$E$78*'plan etatów'!I58/'plan etatów'!$AA$58)</f>
        <v>0</v>
      </c>
      <c r="J30" s="49" t="n">
        <f aca="false">IF('plan etatów'!$AA$58=0,0,Podsumowanie!$E$78*'plan etatów'!J58/'plan etatów'!$AA$58)</f>
        <v>0</v>
      </c>
      <c r="K30" s="49" t="n">
        <f aca="false">IF('plan etatów'!$AA$58=0,0,Podsumowanie!$E$78*'plan etatów'!K58/'plan etatów'!$AA$58)</f>
        <v>0</v>
      </c>
      <c r="L30" s="49" t="n">
        <f aca="false">IF('plan etatów'!$AA$58=0,0,Podsumowanie!$E$78*'plan etatów'!L58/'plan etatów'!$AA$58)</f>
        <v>0</v>
      </c>
      <c r="M30" s="49" t="n">
        <f aca="false">IF('plan etatów'!$AA$58=0,0,Podsumowanie!$E$78*'plan etatów'!M58/'plan etatów'!$AA$58)</f>
        <v>0</v>
      </c>
      <c r="N30" s="49" t="n">
        <f aca="false">IF('plan etatów'!$AA$58=0,0,Podsumowanie!$E$78*'plan etatów'!N58/'plan etatów'!$AA$58)</f>
        <v>0</v>
      </c>
      <c r="O30" s="49" t="n">
        <f aca="false">IF('plan etatów'!$AA$58=0,0,Podsumowanie!$E$78*'plan etatów'!O58/'plan etatów'!$AA$58)</f>
        <v>27110</v>
      </c>
      <c r="P30" s="49" t="n">
        <f aca="false">IF('plan etatów'!$AA$58=0,0,Podsumowanie!$E$78*'plan etatów'!P58/'plan etatów'!$AA$58)</f>
        <v>27110</v>
      </c>
      <c r="Q30" s="49" t="n">
        <f aca="false">IF('plan etatów'!$AA$58=0,0,Podsumowanie!$E$78*'plan etatów'!Q58/'plan etatów'!$AA$58)</f>
        <v>27110</v>
      </c>
      <c r="R30" s="49" t="n">
        <f aca="false">IF('plan etatów'!$AA$58=0,0,Podsumowanie!$E$78*'plan etatów'!R58/'plan etatów'!$AA$58)</f>
        <v>27110</v>
      </c>
      <c r="S30" s="49" t="n">
        <f aca="false">IF('plan etatów'!$AA$58=0,0,Podsumowanie!$E$78*'plan etatów'!S58/'plan etatów'!$AA$58)</f>
        <v>27110</v>
      </c>
      <c r="T30" s="49" t="n">
        <f aca="false">IF('plan etatów'!$AA$58=0,0,Podsumowanie!$E$78*'plan etatów'!T58/'plan etatów'!$AA$58)</f>
        <v>27110</v>
      </c>
      <c r="U30" s="49" t="n">
        <f aca="false">IF('plan etatów'!$AA$58=0,0,Podsumowanie!$E$78*'plan etatów'!U58/'plan etatów'!$AA$58)</f>
        <v>0</v>
      </c>
      <c r="V30" s="49" t="n">
        <f aca="false">IF('plan etatów'!$AA$58=0,0,Podsumowanie!$E$78*'plan etatów'!V58/'plan etatów'!$AA$58)</f>
        <v>0</v>
      </c>
      <c r="W30" s="49" t="n">
        <f aca="false">IF('plan etatów'!$AA$58=0,0,Podsumowanie!$E$78*'plan etatów'!W58/'plan etatów'!$AA$58)</f>
        <v>0</v>
      </c>
      <c r="X30" s="49" t="n">
        <f aca="false">IF('plan etatów'!$AA$58=0,0,Podsumowanie!$E$78*'plan etatów'!X58/'plan etatów'!$AA$58)</f>
        <v>0</v>
      </c>
      <c r="Y30" s="49" t="n">
        <f aca="false">IF('plan etatów'!$AA$58=0,0,Podsumowanie!$E$78*'plan etatów'!Y58/'plan etatów'!$AA$58)</f>
        <v>0</v>
      </c>
      <c r="Z30" s="49" t="n">
        <f aca="false">IF('plan etatów'!$AA$58=0,0,Podsumowanie!$E$78*'plan etatów'!Z58/'plan etatów'!$AA$58)</f>
        <v>0</v>
      </c>
    </row>
    <row r="31" customFormat="false" ht="15" hidden="false" customHeight="false" outlineLevel="0" collapsed="false">
      <c r="A31" s="41" t="s">
        <v>38</v>
      </c>
      <c r="B31" s="41" t="n">
        <v>3</v>
      </c>
      <c r="C31" s="49" t="n">
        <f aca="false">SUM(D31:Z31)</f>
        <v>123750</v>
      </c>
      <c r="D31" s="49" t="n">
        <f aca="false">IF('plan etatów'!$AA$59=0,0,Podsumowanie!$E$81*'plan etatów'!D59/'plan etatów'!$AA$59)</f>
        <v>0</v>
      </c>
      <c r="E31" s="49" t="n">
        <f aca="false">IF('plan etatów'!$AA$59=0,0,Podsumowanie!$E$81*'plan etatów'!E59/'plan etatów'!$AA$59)</f>
        <v>0</v>
      </c>
      <c r="F31" s="49" t="n">
        <f aca="false">IF('plan etatów'!$AA$59=0,0,Podsumowanie!$E$81*'plan etatów'!F59/'plan etatów'!$AA$59)</f>
        <v>0</v>
      </c>
      <c r="G31" s="49" t="n">
        <f aca="false">IF('plan etatów'!$AA$59=0,0,Podsumowanie!$E$81*'plan etatów'!G59/'plan etatów'!$AA$59)</f>
        <v>0</v>
      </c>
      <c r="H31" s="49" t="n">
        <f aca="false">IF('plan etatów'!$AA$59=0,0,Podsumowanie!$E$81*'plan etatów'!H59/'plan etatów'!$AA$59)</f>
        <v>0</v>
      </c>
      <c r="I31" s="49" t="n">
        <f aca="false">IF('plan etatów'!$AA$59=0,0,Podsumowanie!$E$81*'plan etatów'!I59/'plan etatów'!$AA$59)</f>
        <v>0</v>
      </c>
      <c r="J31" s="49" t="n">
        <f aca="false">IF('plan etatów'!$AA$59=0,0,Podsumowanie!$E$81*'plan etatów'!J59/'plan etatów'!$AA$59)</f>
        <v>0</v>
      </c>
      <c r="K31" s="49" t="n">
        <f aca="false">IF('plan etatów'!$AA$59=0,0,Podsumowanie!$E$81*'plan etatów'!K59/'plan etatów'!$AA$59)</f>
        <v>0</v>
      </c>
      <c r="L31" s="49" t="n">
        <f aca="false">IF('plan etatów'!$AA$59=0,0,Podsumowanie!$E$81*'plan etatów'!L59/'plan etatów'!$AA$59)</f>
        <v>0</v>
      </c>
      <c r="M31" s="49" t="n">
        <f aca="false">IF('plan etatów'!$AA$59=0,0,Podsumowanie!$E$81*'plan etatów'!M59/'plan etatów'!$AA$59)</f>
        <v>0</v>
      </c>
      <c r="N31" s="49" t="n">
        <f aca="false">IF('plan etatów'!$AA$59=0,0,Podsumowanie!$E$81*'plan etatów'!N59/'plan etatów'!$AA$59)</f>
        <v>0</v>
      </c>
      <c r="O31" s="49" t="n">
        <f aca="false">IF('plan etatów'!$AA$59=0,0,Podsumowanie!$E$81*'plan etatów'!O59/'plan etatów'!$AA$59)</f>
        <v>20625</v>
      </c>
      <c r="P31" s="49" t="n">
        <f aca="false">IF('plan etatów'!$AA$59=0,0,Podsumowanie!$E$81*'plan etatów'!P59/'plan etatów'!$AA$59)</f>
        <v>20625</v>
      </c>
      <c r="Q31" s="49" t="n">
        <f aca="false">IF('plan etatów'!$AA$59=0,0,Podsumowanie!$E$81*'plan etatów'!Q59/'plan etatów'!$AA$59)</f>
        <v>20625</v>
      </c>
      <c r="R31" s="49" t="n">
        <f aca="false">IF('plan etatów'!$AA$59=0,0,Podsumowanie!$E$81*'plan etatów'!R59/'plan etatów'!$AA$59)</f>
        <v>20625</v>
      </c>
      <c r="S31" s="49" t="n">
        <f aca="false">IF('plan etatów'!$AA$59=0,0,Podsumowanie!$E$81*'plan etatów'!S59/'plan etatów'!$AA$59)</f>
        <v>20625</v>
      </c>
      <c r="T31" s="49" t="n">
        <f aca="false">IF('plan etatów'!$AA$59=0,0,Podsumowanie!$E$81*'plan etatów'!T59/'plan etatów'!$AA$59)</f>
        <v>20625</v>
      </c>
      <c r="U31" s="49" t="n">
        <f aca="false">IF('plan etatów'!$AA$59=0,0,Podsumowanie!$E$81*'plan etatów'!U59/'plan etatów'!$AA$59)</f>
        <v>0</v>
      </c>
      <c r="V31" s="49" t="n">
        <f aca="false">IF('plan etatów'!$AA$59=0,0,Podsumowanie!$E$81*'plan etatów'!V59/'plan etatów'!$AA$59)</f>
        <v>0</v>
      </c>
      <c r="W31" s="49" t="n">
        <f aca="false">IF('plan etatów'!$AA$59=0,0,Podsumowanie!$E$81*'plan etatów'!W59/'plan etatów'!$AA$59)</f>
        <v>0</v>
      </c>
      <c r="X31" s="49" t="n">
        <f aca="false">IF('plan etatów'!$AA$59=0,0,Podsumowanie!$E$81*'plan etatów'!X59/'plan etatów'!$AA$59)</f>
        <v>0</v>
      </c>
      <c r="Y31" s="49" t="n">
        <f aca="false">IF('plan etatów'!$AA$59=0,0,Podsumowanie!$E$81*'plan etatów'!Y59/'plan etatów'!$AA$59)</f>
        <v>0</v>
      </c>
      <c r="Z31" s="49" t="n">
        <f aca="false">IF('plan etatów'!$AA$59=0,0,Podsumowanie!$E$81*'plan etatów'!Z59/'plan etatów'!$AA$59)</f>
        <v>0</v>
      </c>
    </row>
    <row r="32" customFormat="false" ht="15" hidden="false" customHeight="false" outlineLevel="0" collapsed="false">
      <c r="A32" s="41" t="s">
        <v>39</v>
      </c>
      <c r="B32" s="41" t="n">
        <v>3</v>
      </c>
      <c r="C32" s="49" t="n">
        <f aca="false">SUM(D32:Z32)</f>
        <v>44640</v>
      </c>
      <c r="D32" s="49" t="n">
        <f aca="false">IF('plan etatów'!$AA$60=0,0,Podsumowanie!$E$84*'plan etatów'!D60/'plan etatów'!$AA$60)</f>
        <v>0</v>
      </c>
      <c r="E32" s="49" t="n">
        <f aca="false">IF('plan etatów'!$AA$60=0,0,Podsumowanie!$E$84*'plan etatów'!E60/'plan etatów'!$AA$60)</f>
        <v>0</v>
      </c>
      <c r="F32" s="49" t="n">
        <f aca="false">IF('plan etatów'!$AA$60=0,0,Podsumowanie!$E$84*'plan etatów'!F60/'plan etatów'!$AA$60)</f>
        <v>0</v>
      </c>
      <c r="G32" s="49" t="n">
        <f aca="false">IF('plan etatów'!$AA$60=0,0,Podsumowanie!$E$84*'plan etatów'!G60/'plan etatów'!$AA$60)</f>
        <v>0</v>
      </c>
      <c r="H32" s="49" t="n">
        <f aca="false">IF('plan etatów'!$AA$60=0,0,Podsumowanie!$E$84*'plan etatów'!H60/'plan etatów'!$AA$60)</f>
        <v>0</v>
      </c>
      <c r="I32" s="49" t="n">
        <f aca="false">IF('plan etatów'!$AA$60=0,0,Podsumowanie!$E$84*'plan etatów'!I60/'plan etatów'!$AA$60)</f>
        <v>0</v>
      </c>
      <c r="J32" s="49" t="n">
        <f aca="false">IF('plan etatów'!$AA$60=0,0,Podsumowanie!$E$84*'plan etatów'!J60/'plan etatów'!$AA$60)</f>
        <v>0</v>
      </c>
      <c r="K32" s="49" t="n">
        <f aca="false">IF('plan etatów'!$AA$60=0,0,Podsumowanie!$E$84*'plan etatów'!K60/'plan etatów'!$AA$60)</f>
        <v>0</v>
      </c>
      <c r="L32" s="49" t="n">
        <f aca="false">IF('plan etatów'!$AA$60=0,0,Podsumowanie!$E$84*'plan etatów'!L60/'plan etatów'!$AA$60)</f>
        <v>0</v>
      </c>
      <c r="M32" s="49" t="n">
        <f aca="false">IF('plan etatów'!$AA$60=0,0,Podsumowanie!$E$84*'plan etatów'!M60/'plan etatów'!$AA$60)</f>
        <v>0</v>
      </c>
      <c r="N32" s="49" t="n">
        <f aca="false">IF('plan etatów'!$AA$60=0,0,Podsumowanie!$E$84*'plan etatów'!N60/'plan etatów'!$AA$60)</f>
        <v>0</v>
      </c>
      <c r="O32" s="49" t="n">
        <f aca="false">IF('plan etatów'!$AA$60=0,0,Podsumowanie!$E$84*'plan etatów'!O60/'plan etatów'!$AA$60)</f>
        <v>7440</v>
      </c>
      <c r="P32" s="49" t="n">
        <f aca="false">IF('plan etatów'!$AA$60=0,0,Podsumowanie!$E$84*'plan etatów'!P60/'plan etatów'!$AA$60)</f>
        <v>7440</v>
      </c>
      <c r="Q32" s="49" t="n">
        <f aca="false">IF('plan etatów'!$AA$60=0,0,Podsumowanie!$E$84*'plan etatów'!Q60/'plan etatów'!$AA$60)</f>
        <v>7440</v>
      </c>
      <c r="R32" s="49" t="n">
        <f aca="false">IF('plan etatów'!$AA$60=0,0,Podsumowanie!$E$84*'plan etatów'!R60/'plan etatów'!$AA$60)</f>
        <v>7440</v>
      </c>
      <c r="S32" s="49" t="n">
        <f aca="false">IF('plan etatów'!$AA$60=0,0,Podsumowanie!$E$84*'plan etatów'!S60/'plan etatów'!$AA$60)</f>
        <v>7440</v>
      </c>
      <c r="T32" s="49" t="n">
        <f aca="false">IF('plan etatów'!$AA$60=0,0,Podsumowanie!$E$84*'plan etatów'!T60/'plan etatów'!$AA$60)</f>
        <v>7440</v>
      </c>
      <c r="U32" s="49" t="n">
        <f aca="false">IF('plan etatów'!$AA$60=0,0,Podsumowanie!$E$84*'plan etatów'!U60/'plan etatów'!$AA$60)</f>
        <v>0</v>
      </c>
      <c r="V32" s="49" t="n">
        <f aca="false">IF('plan etatów'!$AA$60=0,0,Podsumowanie!$E$84*'plan etatów'!V60/'plan etatów'!$AA$60)</f>
        <v>0</v>
      </c>
      <c r="W32" s="49" t="n">
        <f aca="false">IF('plan etatów'!$AA$60=0,0,Podsumowanie!$E$84*'plan etatów'!W60/'plan etatów'!$AA$60)</f>
        <v>0</v>
      </c>
      <c r="X32" s="49" t="n">
        <f aca="false">IF('plan etatów'!$AA$60=0,0,Podsumowanie!$E$84*'plan etatów'!X60/'plan etatów'!$AA$60)</f>
        <v>0</v>
      </c>
      <c r="Y32" s="49" t="n">
        <f aca="false">IF('plan etatów'!$AA$60=0,0,Podsumowanie!$E$84*'plan etatów'!Y60/'plan etatów'!$AA$60)</f>
        <v>0</v>
      </c>
      <c r="Z32" s="49" t="n">
        <f aca="false">IF('plan etatów'!$AA$60=0,0,Podsumowanie!$E$84*'plan etatów'!Z60/'plan etatów'!$AA$60)</f>
        <v>0</v>
      </c>
    </row>
    <row r="33" customFormat="false" ht="15" hidden="false" customHeight="false" outlineLevel="0" collapsed="false">
      <c r="A33" s="41" t="s">
        <v>40</v>
      </c>
      <c r="B33" s="41" t="n">
        <v>3</v>
      </c>
      <c r="C33" s="49" t="n">
        <f aca="false">SUM(D33:Z33)</f>
        <v>123750</v>
      </c>
      <c r="D33" s="49" t="n">
        <f aca="false">IF('plan etatów'!$AA$61=0,0,Podsumowanie!$E$87*'plan etatów'!D61/'plan etatów'!$AA$61)</f>
        <v>0</v>
      </c>
      <c r="E33" s="49" t="n">
        <f aca="false">IF('plan etatów'!$AA$61=0,0,Podsumowanie!$E$87*'plan etatów'!E61/'plan etatów'!$AA$61)</f>
        <v>0</v>
      </c>
      <c r="F33" s="49" t="n">
        <f aca="false">IF('plan etatów'!$AA$61=0,0,Podsumowanie!$E$87*'plan etatów'!F61/'plan etatów'!$AA$61)</f>
        <v>0</v>
      </c>
      <c r="G33" s="49" t="n">
        <f aca="false">IF('plan etatów'!$AA$61=0,0,Podsumowanie!$E$87*'plan etatów'!G61/'plan etatów'!$AA$61)</f>
        <v>0</v>
      </c>
      <c r="H33" s="49" t="n">
        <f aca="false">IF('plan etatów'!$AA$61=0,0,Podsumowanie!$E$87*'plan etatów'!H61/'plan etatów'!$AA$61)</f>
        <v>0</v>
      </c>
      <c r="I33" s="49" t="n">
        <f aca="false">IF('plan etatów'!$AA$61=0,0,Podsumowanie!$E$87*'plan etatów'!I61/'plan etatów'!$AA$61)</f>
        <v>0</v>
      </c>
      <c r="J33" s="49" t="n">
        <f aca="false">IF('plan etatów'!$AA$61=0,0,Podsumowanie!$E$87*'plan etatów'!J61/'plan etatów'!$AA$61)</f>
        <v>0</v>
      </c>
      <c r="K33" s="49" t="n">
        <f aca="false">IF('plan etatów'!$AA$61=0,0,Podsumowanie!$E$87*'plan etatów'!K61/'plan etatów'!$AA$61)</f>
        <v>0</v>
      </c>
      <c r="L33" s="49" t="n">
        <f aca="false">IF('plan etatów'!$AA$61=0,0,Podsumowanie!$E$87*'plan etatów'!L61/'plan etatów'!$AA$61)</f>
        <v>0</v>
      </c>
      <c r="M33" s="49" t="n">
        <f aca="false">IF('plan etatów'!$AA$61=0,0,Podsumowanie!$E$87*'plan etatów'!M61/'plan etatów'!$AA$61)</f>
        <v>0</v>
      </c>
      <c r="N33" s="49" t="n">
        <f aca="false">IF('plan etatów'!$AA$61=0,0,Podsumowanie!$E$87*'plan etatów'!N61/'plan etatów'!$AA$61)</f>
        <v>0</v>
      </c>
      <c r="O33" s="49" t="n">
        <f aca="false">IF('plan etatów'!$AA$61=0,0,Podsumowanie!$E$87*'plan etatów'!O61/'plan etatów'!$AA$61)</f>
        <v>20625</v>
      </c>
      <c r="P33" s="49" t="n">
        <f aca="false">IF('plan etatów'!$AA$61=0,0,Podsumowanie!$E$87*'plan etatów'!P61/'plan etatów'!$AA$61)</f>
        <v>20625</v>
      </c>
      <c r="Q33" s="49" t="n">
        <f aca="false">IF('plan etatów'!$AA$61=0,0,Podsumowanie!$E$87*'plan etatów'!Q61/'plan etatów'!$AA$61)</f>
        <v>20625</v>
      </c>
      <c r="R33" s="49" t="n">
        <f aca="false">IF('plan etatów'!$AA$61=0,0,Podsumowanie!$E$87*'plan etatów'!R61/'plan etatów'!$AA$61)</f>
        <v>20625</v>
      </c>
      <c r="S33" s="49" t="n">
        <f aca="false">IF('plan etatów'!$AA$61=0,0,Podsumowanie!$E$87*'plan etatów'!S61/'plan etatów'!$AA$61)</f>
        <v>20625</v>
      </c>
      <c r="T33" s="49" t="n">
        <f aca="false">IF('plan etatów'!$AA$61=0,0,Podsumowanie!$E$87*'plan etatów'!T61/'plan etatów'!$AA$61)</f>
        <v>20625</v>
      </c>
      <c r="U33" s="49" t="n">
        <f aca="false">IF('plan etatów'!$AA$61=0,0,Podsumowanie!$E$87*'plan etatów'!U61/'plan etatów'!$AA$61)</f>
        <v>0</v>
      </c>
      <c r="V33" s="49" t="n">
        <f aca="false">IF('plan etatów'!$AA$61=0,0,Podsumowanie!$E$87*'plan etatów'!V61/'plan etatów'!$AA$61)</f>
        <v>0</v>
      </c>
      <c r="W33" s="49" t="n">
        <f aca="false">IF('plan etatów'!$AA$61=0,0,Podsumowanie!$E$87*'plan etatów'!W61/'plan etatów'!$AA$61)</f>
        <v>0</v>
      </c>
      <c r="X33" s="49" t="n">
        <f aca="false">IF('plan etatów'!$AA$61=0,0,Podsumowanie!$E$87*'plan etatów'!X61/'plan etatów'!$AA$61)</f>
        <v>0</v>
      </c>
      <c r="Y33" s="49" t="n">
        <f aca="false">IF('plan etatów'!$AA$61=0,0,Podsumowanie!$E$87*'plan etatów'!Y61/'plan etatów'!$AA$61)</f>
        <v>0</v>
      </c>
      <c r="Z33" s="49" t="n">
        <f aca="false">IF('plan etatów'!$AA$61=0,0,Podsumowanie!$E$87*'plan etatów'!Z61/'plan etatów'!$AA$61)</f>
        <v>0</v>
      </c>
    </row>
    <row r="34" customFormat="false" ht="15" hidden="false" customHeight="false" outlineLevel="0" collapsed="false">
      <c r="A34" s="41" t="s">
        <v>41</v>
      </c>
      <c r="B34" s="41" t="n">
        <v>3</v>
      </c>
      <c r="C34" s="49" t="n">
        <f aca="false">SUM(D34:Z34)</f>
        <v>80790</v>
      </c>
      <c r="D34" s="49" t="n">
        <f aca="false">IF('plan etatów'!$AA$62=0,0,Podsumowanie!$E$90*'plan etatów'!D62/'plan etatów'!$AA$62)</f>
        <v>0</v>
      </c>
      <c r="E34" s="49" t="n">
        <f aca="false">IF('plan etatów'!$AA$62=0,0,Podsumowanie!$E$90*'plan etatów'!E62/'plan etatów'!$AA$62)</f>
        <v>0</v>
      </c>
      <c r="F34" s="49" t="n">
        <f aca="false">IF('plan etatów'!$AA$62=0,0,Podsumowanie!$E$90*'plan etatów'!F62/'plan etatów'!$AA$62)</f>
        <v>0</v>
      </c>
      <c r="G34" s="49" t="n">
        <f aca="false">IF('plan etatów'!$AA$62=0,0,Podsumowanie!$E$90*'plan etatów'!G62/'plan etatów'!$AA$62)</f>
        <v>0</v>
      </c>
      <c r="H34" s="49" t="n">
        <f aca="false">IF('plan etatów'!$AA$62=0,0,Podsumowanie!$E$90*'plan etatów'!H62/'plan etatów'!$AA$62)</f>
        <v>0</v>
      </c>
      <c r="I34" s="49" t="n">
        <f aca="false">IF('plan etatów'!$AA$62=0,0,Podsumowanie!$E$90*'plan etatów'!I62/'plan etatów'!$AA$62)</f>
        <v>0</v>
      </c>
      <c r="J34" s="49" t="n">
        <f aca="false">IF('plan etatów'!$AA$62=0,0,Podsumowanie!$E$90*'plan etatów'!J62/'plan etatów'!$AA$62)</f>
        <v>0</v>
      </c>
      <c r="K34" s="49" t="n">
        <f aca="false">IF('plan etatów'!$AA$62=0,0,Podsumowanie!$E$90*'plan etatów'!K62/'plan etatów'!$AA$62)</f>
        <v>0</v>
      </c>
      <c r="L34" s="49" t="n">
        <f aca="false">IF('plan etatów'!$AA$62=0,0,Podsumowanie!$E$90*'plan etatów'!L62/'plan etatów'!$AA$62)</f>
        <v>0</v>
      </c>
      <c r="M34" s="49" t="n">
        <f aca="false">IF('plan etatów'!$AA$62=0,0,Podsumowanie!$E$90*'plan etatów'!M62/'plan etatów'!$AA$62)</f>
        <v>0</v>
      </c>
      <c r="N34" s="49" t="n">
        <f aca="false">IF('plan etatów'!$AA$62=0,0,Podsumowanie!$E$90*'plan etatów'!N62/'plan etatów'!$AA$62)</f>
        <v>0</v>
      </c>
      <c r="O34" s="49" t="n">
        <f aca="false">IF('plan etatów'!$AA$62=0,0,Podsumowanie!$E$90*'plan etatów'!O62/'plan etatów'!$AA$62)</f>
        <v>13465</v>
      </c>
      <c r="P34" s="49" t="n">
        <f aca="false">IF('plan etatów'!$AA$62=0,0,Podsumowanie!$E$90*'plan etatów'!P62/'plan etatów'!$AA$62)</f>
        <v>13465</v>
      </c>
      <c r="Q34" s="49" t="n">
        <f aca="false">IF('plan etatów'!$AA$62=0,0,Podsumowanie!$E$90*'plan etatów'!Q62/'plan etatów'!$AA$62)</f>
        <v>13465</v>
      </c>
      <c r="R34" s="49" t="n">
        <f aca="false">IF('plan etatów'!$AA$62=0,0,Podsumowanie!$E$90*'plan etatów'!R62/'plan etatów'!$AA$62)</f>
        <v>13465</v>
      </c>
      <c r="S34" s="49" t="n">
        <f aca="false">IF('plan etatów'!$AA$62=0,0,Podsumowanie!$E$90*'plan etatów'!S62/'plan etatów'!$AA$62)</f>
        <v>13465</v>
      </c>
      <c r="T34" s="49" t="n">
        <f aca="false">IF('plan etatów'!$AA$62=0,0,Podsumowanie!$E$90*'plan etatów'!T62/'plan etatów'!$AA$62)</f>
        <v>13465</v>
      </c>
      <c r="U34" s="49" t="n">
        <f aca="false">IF('plan etatów'!$AA$62=0,0,Podsumowanie!$E$90*'plan etatów'!U62/'plan etatów'!$AA$62)</f>
        <v>0</v>
      </c>
      <c r="V34" s="49" t="n">
        <f aca="false">IF('plan etatów'!$AA$62=0,0,Podsumowanie!$E$90*'plan etatów'!V62/'plan etatów'!$AA$62)</f>
        <v>0</v>
      </c>
      <c r="W34" s="49" t="n">
        <f aca="false">IF('plan etatów'!$AA$62=0,0,Podsumowanie!$E$90*'plan etatów'!W62/'plan etatów'!$AA$62)</f>
        <v>0</v>
      </c>
      <c r="X34" s="49" t="n">
        <f aca="false">IF('plan etatów'!$AA$62=0,0,Podsumowanie!$E$90*'plan etatów'!X62/'plan etatów'!$AA$62)</f>
        <v>0</v>
      </c>
      <c r="Y34" s="49" t="n">
        <f aca="false">IF('plan etatów'!$AA$62=0,0,Podsumowanie!$E$90*'plan etatów'!Y62/'plan etatów'!$AA$62)</f>
        <v>0</v>
      </c>
      <c r="Z34" s="49" t="n">
        <f aca="false">IF('plan etatów'!$AA$62=0,0,Podsumowanie!$E$90*'plan etatów'!Z62/'plan etatów'!$AA$62)</f>
        <v>0</v>
      </c>
    </row>
    <row r="35" customFormat="false" ht="15" hidden="false" customHeight="false" outlineLevel="0" collapsed="false">
      <c r="A35" s="41" t="s">
        <v>42</v>
      </c>
      <c r="B35" s="41" t="n">
        <v>3</v>
      </c>
      <c r="C35" s="49" t="n">
        <f aca="false">SUM(D35:Z35)</f>
        <v>4285.71</v>
      </c>
      <c r="D35" s="49" t="n">
        <f aca="false">IF('plan etatów'!$AA$63=0,0,Podsumowanie!$E$93*'plan etatów'!D63/'plan etatów'!$AA$63)</f>
        <v>0</v>
      </c>
      <c r="E35" s="49" t="n">
        <f aca="false">IF('plan etatów'!$AA$63=0,0,Podsumowanie!$E$93*'plan etatów'!E63/'plan etatów'!$AA$63)</f>
        <v>0</v>
      </c>
      <c r="F35" s="49" t="n">
        <f aca="false">IF('plan etatów'!$AA$63=0,0,Podsumowanie!$E$93*'plan etatów'!F63/'plan etatów'!$AA$63)</f>
        <v>0</v>
      </c>
      <c r="G35" s="49" t="n">
        <f aca="false">IF('plan etatów'!$AA$63=0,0,Podsumowanie!$E$93*'plan etatów'!G63/'plan etatów'!$AA$63)</f>
        <v>0</v>
      </c>
      <c r="H35" s="49" t="n">
        <f aca="false">IF('plan etatów'!$AA$63=0,0,Podsumowanie!$E$93*'plan etatów'!H63/'plan etatów'!$AA$63)</f>
        <v>0</v>
      </c>
      <c r="I35" s="49" t="n">
        <f aca="false">IF('plan etatów'!$AA$63=0,0,Podsumowanie!$E$93*'plan etatów'!I63/'plan etatów'!$AA$63)</f>
        <v>0</v>
      </c>
      <c r="J35" s="49" t="n">
        <f aca="false">IF('plan etatów'!$AA$63=0,0,Podsumowanie!$E$93*'plan etatów'!J63/'plan etatów'!$AA$63)</f>
        <v>0</v>
      </c>
      <c r="K35" s="49" t="n">
        <f aca="false">IF('plan etatów'!$AA$63=0,0,Podsumowanie!$E$93*'plan etatów'!K63/'plan etatów'!$AA$63)</f>
        <v>0</v>
      </c>
      <c r="L35" s="49" t="n">
        <f aca="false">IF('plan etatów'!$AA$63=0,0,Podsumowanie!$E$93*'plan etatów'!L63/'plan etatów'!$AA$63)</f>
        <v>0</v>
      </c>
      <c r="M35" s="49" t="n">
        <f aca="false">IF('plan etatów'!$AA$63=0,0,Podsumowanie!$E$93*'plan etatów'!M63/'plan etatów'!$AA$63)</f>
        <v>0</v>
      </c>
      <c r="N35" s="49" t="n">
        <f aca="false">IF('plan etatów'!$AA$63=0,0,Podsumowanie!$E$93*'plan etatów'!N63/'plan etatów'!$AA$63)</f>
        <v>0</v>
      </c>
      <c r="O35" s="49" t="n">
        <f aca="false">IF('plan etatów'!$AA$63=0,0,Podsumowanie!$E$93*'plan etatów'!O63/'plan etatów'!$AA$63)</f>
        <v>714.285</v>
      </c>
      <c r="P35" s="49" t="n">
        <f aca="false">IF('plan etatów'!$AA$63=0,0,Podsumowanie!$E$93*'plan etatów'!P63/'plan etatów'!$AA$63)</f>
        <v>714.285</v>
      </c>
      <c r="Q35" s="49" t="n">
        <f aca="false">IF('plan etatów'!$AA$63=0,0,Podsumowanie!$E$93*'plan etatów'!Q63/'plan etatów'!$AA$63)</f>
        <v>714.285</v>
      </c>
      <c r="R35" s="49" t="n">
        <f aca="false">IF('plan etatów'!$AA$63=0,0,Podsumowanie!$E$93*'plan etatów'!R63/'plan etatów'!$AA$63)</f>
        <v>714.285</v>
      </c>
      <c r="S35" s="49" t="n">
        <f aca="false">IF('plan etatów'!$AA$63=0,0,Podsumowanie!$E$93*'plan etatów'!S63/'plan etatów'!$AA$63)</f>
        <v>714.285</v>
      </c>
      <c r="T35" s="49" t="n">
        <f aca="false">IF('plan etatów'!$AA$63=0,0,Podsumowanie!$E$93*'plan etatów'!T63/'plan etatów'!$AA$63)</f>
        <v>714.285</v>
      </c>
      <c r="U35" s="49" t="n">
        <f aca="false">IF('plan etatów'!$AA$63=0,0,Podsumowanie!$E$93*'plan etatów'!U63/'plan etatów'!$AA$63)</f>
        <v>0</v>
      </c>
      <c r="V35" s="49" t="n">
        <f aca="false">IF('plan etatów'!$AA$63=0,0,Podsumowanie!$E$93*'plan etatów'!V63/'plan etatów'!$AA$63)</f>
        <v>0</v>
      </c>
      <c r="W35" s="49" t="n">
        <f aca="false">IF('plan etatów'!$AA$63=0,0,Podsumowanie!$E$93*'plan etatów'!W63/'plan etatów'!$AA$63)</f>
        <v>0</v>
      </c>
      <c r="X35" s="49" t="n">
        <f aca="false">IF('plan etatów'!$AA$63=0,0,Podsumowanie!$E$93*'plan etatów'!X63/'plan etatów'!$AA$63)</f>
        <v>0</v>
      </c>
      <c r="Y35" s="49" t="n">
        <f aca="false">IF('plan etatów'!$AA$63=0,0,Podsumowanie!$E$93*'plan etatów'!Y63/'plan etatów'!$AA$63)</f>
        <v>0</v>
      </c>
      <c r="Z35" s="49" t="n">
        <f aca="false">IF('plan etatów'!$AA$63=0,0,Podsumowanie!$E$93*'plan etatów'!Z63/'plan etatów'!$AA$63)</f>
        <v>0</v>
      </c>
    </row>
    <row r="36" customFormat="false" ht="15" hidden="false" customHeight="false" outlineLevel="0" collapsed="false">
      <c r="A36" s="41" t="s">
        <v>43</v>
      </c>
      <c r="B36" s="41" t="n">
        <v>3</v>
      </c>
      <c r="C36" s="49" t="n">
        <f aca="false">SUM(D36:Z36)</f>
        <v>118500</v>
      </c>
      <c r="D36" s="49" t="n">
        <f aca="false">IF('plan etatów'!$AA$64=0,0,Podsumowanie!$E$96*'plan etatów'!D64/'plan etatów'!$AA$64)</f>
        <v>0</v>
      </c>
      <c r="E36" s="49" t="n">
        <f aca="false">IF('plan etatów'!$AA$64=0,0,Podsumowanie!$E$96*'plan etatów'!E64/'plan etatów'!$AA$64)</f>
        <v>0</v>
      </c>
      <c r="F36" s="49" t="n">
        <f aca="false">IF('plan etatów'!$AA$64=0,0,Podsumowanie!$E$96*'plan etatów'!F64/'plan etatów'!$AA$64)</f>
        <v>0</v>
      </c>
      <c r="G36" s="49" t="n">
        <f aca="false">IF('plan etatów'!$AA$64=0,0,Podsumowanie!$E$96*'plan etatów'!G64/'plan etatów'!$AA$64)</f>
        <v>0</v>
      </c>
      <c r="H36" s="49" t="n">
        <f aca="false">IF('plan etatów'!$AA$64=0,0,Podsumowanie!$E$96*'plan etatów'!H64/'plan etatów'!$AA$64)</f>
        <v>0</v>
      </c>
      <c r="I36" s="49" t="n">
        <f aca="false">IF('plan etatów'!$AA$64=0,0,Podsumowanie!$E$96*'plan etatów'!I64/'plan etatów'!$AA$64)</f>
        <v>0</v>
      </c>
      <c r="J36" s="49" t="n">
        <f aca="false">IF('plan etatów'!$AA$64=0,0,Podsumowanie!$E$96*'plan etatów'!J64/'plan etatów'!$AA$64)</f>
        <v>0</v>
      </c>
      <c r="K36" s="49" t="n">
        <f aca="false">IF('plan etatów'!$AA$64=0,0,Podsumowanie!$E$96*'plan etatów'!K64/'plan etatów'!$AA$64)</f>
        <v>0</v>
      </c>
      <c r="L36" s="49" t="n">
        <f aca="false">IF('plan etatów'!$AA$64=0,0,Podsumowanie!$E$96*'plan etatów'!L64/'plan etatów'!$AA$64)</f>
        <v>0</v>
      </c>
      <c r="M36" s="49" t="n">
        <f aca="false">IF('plan etatów'!$AA$64=0,0,Podsumowanie!$E$96*'plan etatów'!M64/'plan etatów'!$AA$64)</f>
        <v>0</v>
      </c>
      <c r="N36" s="49" t="n">
        <f aca="false">IF('plan etatów'!$AA$64=0,0,Podsumowanie!$E$96*'plan etatów'!N64/'plan etatów'!$AA$64)</f>
        <v>0</v>
      </c>
      <c r="O36" s="49" t="n">
        <f aca="false">IF('plan etatów'!$AA$64=0,0,Podsumowanie!$E$96*'plan etatów'!O64/'plan etatów'!$AA$64)</f>
        <v>19750</v>
      </c>
      <c r="P36" s="49" t="n">
        <f aca="false">IF('plan etatów'!$AA$64=0,0,Podsumowanie!$E$96*'plan etatów'!P64/'plan etatów'!$AA$64)</f>
        <v>19750</v>
      </c>
      <c r="Q36" s="49" t="n">
        <f aca="false">IF('plan etatów'!$AA$64=0,0,Podsumowanie!$E$96*'plan etatów'!Q64/'plan etatów'!$AA$64)</f>
        <v>19750</v>
      </c>
      <c r="R36" s="49" t="n">
        <f aca="false">IF('plan etatów'!$AA$64=0,0,Podsumowanie!$E$96*'plan etatów'!R64/'plan etatów'!$AA$64)</f>
        <v>19750</v>
      </c>
      <c r="S36" s="49" t="n">
        <f aca="false">IF('plan etatów'!$AA$64=0,0,Podsumowanie!$E$96*'plan etatów'!S64/'plan etatów'!$AA$64)</f>
        <v>19750</v>
      </c>
      <c r="T36" s="49" t="n">
        <f aca="false">IF('plan etatów'!$AA$64=0,0,Podsumowanie!$E$96*'plan etatów'!T64/'plan etatów'!$AA$64)</f>
        <v>19750</v>
      </c>
      <c r="U36" s="49" t="n">
        <f aca="false">IF('plan etatów'!$AA$64=0,0,Podsumowanie!$E$96*'plan etatów'!U64/'plan etatów'!$AA$64)</f>
        <v>0</v>
      </c>
      <c r="V36" s="49" t="n">
        <f aca="false">IF('plan etatów'!$AA$64=0,0,Podsumowanie!$E$96*'plan etatów'!V64/'plan etatów'!$AA$64)</f>
        <v>0</v>
      </c>
      <c r="W36" s="49" t="n">
        <f aca="false">IF('plan etatów'!$AA$64=0,0,Podsumowanie!$E$96*'plan etatów'!W64/'plan etatów'!$AA$64)</f>
        <v>0</v>
      </c>
      <c r="X36" s="49" t="n">
        <f aca="false">IF('plan etatów'!$AA$64=0,0,Podsumowanie!$E$96*'plan etatów'!X64/'plan etatów'!$AA$64)</f>
        <v>0</v>
      </c>
      <c r="Y36" s="49" t="n">
        <f aca="false">IF('plan etatów'!$AA$64=0,0,Podsumowanie!$E$96*'plan etatów'!Y64/'plan etatów'!$AA$64)</f>
        <v>0</v>
      </c>
      <c r="Z36" s="49" t="n">
        <f aca="false">IF('plan etatów'!$AA$64=0,0,Podsumowanie!$E$96*'plan etatów'!Z64/'plan etatów'!$AA$64)</f>
        <v>0</v>
      </c>
    </row>
    <row r="37" customFormat="false" ht="15" hidden="false" customHeight="false" outlineLevel="0" collapsed="false">
      <c r="A37" s="41" t="s">
        <v>45</v>
      </c>
      <c r="B37" s="41" t="n">
        <v>4</v>
      </c>
      <c r="C37" s="49" t="n">
        <f aca="false">SUM(D37:Z37)</f>
        <v>221600</v>
      </c>
      <c r="D37" s="49" t="n">
        <f aca="false">IF('plan etatów'!$AA$65=0,0,Podsumowanie!$E$102*'plan etatów'!D65/'plan etatów'!$AA$65)</f>
        <v>0</v>
      </c>
      <c r="E37" s="49" t="n">
        <f aca="false">IF('plan etatów'!$AA$65=0,0,Podsumowanie!$E$102*'plan etatów'!E65/'plan etatów'!$AA$65)</f>
        <v>0</v>
      </c>
      <c r="F37" s="49" t="n">
        <f aca="false">IF('plan etatów'!$AA$65=0,0,Podsumowanie!$E$102*'plan etatów'!F65/'plan etatów'!$AA$65)</f>
        <v>0</v>
      </c>
      <c r="G37" s="49" t="n">
        <f aca="false">IF('plan etatów'!$AA$65=0,0,Podsumowanie!$E$102*'plan etatów'!G65/'plan etatów'!$AA$65)</f>
        <v>0</v>
      </c>
      <c r="H37" s="49" t="n">
        <f aca="false">IF('plan etatów'!$AA$65=0,0,Podsumowanie!$E$102*'plan etatów'!H65/'plan etatów'!$AA$65)</f>
        <v>0</v>
      </c>
      <c r="I37" s="49" t="n">
        <f aca="false">IF('plan etatów'!$AA$65=0,0,Podsumowanie!$E$102*'plan etatów'!I65/'plan etatów'!$AA$65)</f>
        <v>0</v>
      </c>
      <c r="J37" s="49" t="n">
        <f aca="false">IF('plan etatów'!$AA$65=0,0,Podsumowanie!$E$102*'plan etatów'!J65/'plan etatów'!$AA$65)</f>
        <v>0</v>
      </c>
      <c r="K37" s="49" t="n">
        <f aca="false">IF('plan etatów'!$AA$65=0,0,Podsumowanie!$E$102*'plan etatów'!K65/'plan etatów'!$AA$65)</f>
        <v>0</v>
      </c>
      <c r="L37" s="49" t="n">
        <f aca="false">IF('plan etatów'!$AA$65=0,0,Podsumowanie!$E$102*'plan etatów'!L65/'plan etatów'!$AA$65)</f>
        <v>0</v>
      </c>
      <c r="M37" s="49" t="n">
        <f aca="false">IF('plan etatów'!$AA$65=0,0,Podsumowanie!$E$102*'plan etatów'!M65/'plan etatów'!$AA$65)</f>
        <v>0</v>
      </c>
      <c r="N37" s="49" t="n">
        <f aca="false">IF('plan etatów'!$AA$65=0,0,Podsumowanie!$E$102*'plan etatów'!N65/'plan etatów'!$AA$65)</f>
        <v>0</v>
      </c>
      <c r="O37" s="49" t="n">
        <f aca="false">IF('plan etatów'!$AA$65=0,0,Podsumowanie!$E$102*'plan etatów'!O65/'plan etatów'!$AA$65)</f>
        <v>0</v>
      </c>
      <c r="P37" s="49" t="n">
        <f aca="false">IF('plan etatów'!$AA$65=0,0,Podsumowanie!$E$102*'plan etatów'!P65/'plan etatów'!$AA$65)</f>
        <v>0</v>
      </c>
      <c r="Q37" s="49" t="n">
        <f aca="false">IF('plan etatów'!$AA$65=0,0,Podsumowanie!$E$102*'plan etatów'!Q65/'plan etatów'!$AA$65)</f>
        <v>0</v>
      </c>
      <c r="R37" s="49" t="n">
        <f aca="false">IF('plan etatów'!$AA$65=0,0,Podsumowanie!$E$102*'plan etatów'!R65/'plan etatów'!$AA$65)</f>
        <v>0</v>
      </c>
      <c r="S37" s="49" t="n">
        <f aca="false">IF('plan etatów'!$AA$65=0,0,Podsumowanie!$E$102*'plan etatów'!S65/'plan etatów'!$AA$65)</f>
        <v>0</v>
      </c>
      <c r="T37" s="49" t="n">
        <f aca="false">IF('plan etatów'!$AA$65=0,0,Podsumowanie!$E$102*'plan etatów'!T65/'plan etatów'!$AA$65)</f>
        <v>0</v>
      </c>
      <c r="U37" s="49" t="n">
        <f aca="false">IF('plan etatów'!$AA$65=0,0,Podsumowanie!$E$102*'plan etatów'!U65/'plan etatów'!$AA$65)</f>
        <v>55400</v>
      </c>
      <c r="V37" s="49" t="n">
        <f aca="false">IF('plan etatów'!$AA$65=0,0,Podsumowanie!$E$102*'plan etatów'!V65/'plan etatów'!$AA$65)</f>
        <v>55400</v>
      </c>
      <c r="W37" s="49" t="n">
        <f aca="false">IF('plan etatów'!$AA$65=0,0,Podsumowanie!$E$102*'plan etatów'!W65/'plan etatów'!$AA$65)</f>
        <v>55400</v>
      </c>
      <c r="X37" s="49" t="n">
        <f aca="false">IF('plan etatów'!$AA$65=0,0,Podsumowanie!$E$102*'plan etatów'!X65/'plan etatów'!$AA$65)</f>
        <v>55400</v>
      </c>
      <c r="Y37" s="49" t="n">
        <f aca="false">IF('plan etatów'!$AA$65=0,0,Podsumowanie!$E$102*'plan etatów'!Y65/'plan etatów'!$AA$65)</f>
        <v>0</v>
      </c>
      <c r="Z37" s="49" t="n">
        <f aca="false">IF('plan etatów'!$AA$65=0,0,Podsumowanie!$E$102*'plan etatów'!Z65/'plan etatów'!$AA$65)</f>
        <v>0</v>
      </c>
    </row>
    <row r="38" customFormat="false" ht="15" hidden="false" customHeight="false" outlineLevel="0" collapsed="false">
      <c r="A38" s="41" t="s">
        <v>46</v>
      </c>
      <c r="B38" s="41" t="n">
        <v>4</v>
      </c>
      <c r="C38" s="49" t="n">
        <f aca="false">SUM(D38:Z38)</f>
        <v>37720</v>
      </c>
      <c r="D38" s="49" t="n">
        <f aca="false">IF('plan etatów'!$AA$66=0,0,Podsumowanie!$E$105*'plan etatów'!D66/'plan etatów'!$AA$66)</f>
        <v>0</v>
      </c>
      <c r="E38" s="49" t="n">
        <f aca="false">IF('plan etatów'!$AA$66=0,0,Podsumowanie!$E$105*'plan etatów'!E66/'plan etatów'!$AA$66)</f>
        <v>0</v>
      </c>
      <c r="F38" s="49" t="n">
        <f aca="false">IF('plan etatów'!$AA$66=0,0,Podsumowanie!$E$105*'plan etatów'!F66/'plan etatów'!$AA$66)</f>
        <v>0</v>
      </c>
      <c r="G38" s="49" t="n">
        <f aca="false">IF('plan etatów'!$AA$66=0,0,Podsumowanie!$E$105*'plan etatów'!G66/'plan etatów'!$AA$66)</f>
        <v>0</v>
      </c>
      <c r="H38" s="49" t="n">
        <f aca="false">IF('plan etatów'!$AA$66=0,0,Podsumowanie!$E$105*'plan etatów'!H66/'plan etatów'!$AA$66)</f>
        <v>0</v>
      </c>
      <c r="I38" s="49" t="n">
        <f aca="false">IF('plan etatów'!$AA$66=0,0,Podsumowanie!$E$105*'plan etatów'!I66/'plan etatów'!$AA$66)</f>
        <v>0</v>
      </c>
      <c r="J38" s="49" t="n">
        <f aca="false">IF('plan etatów'!$AA$66=0,0,Podsumowanie!$E$105*'plan etatów'!J66/'plan etatów'!$AA$66)</f>
        <v>0</v>
      </c>
      <c r="K38" s="49" t="n">
        <f aca="false">IF('plan etatów'!$AA$66=0,0,Podsumowanie!$E$105*'plan etatów'!K66/'plan etatów'!$AA$66)</f>
        <v>0</v>
      </c>
      <c r="L38" s="49" t="n">
        <f aca="false">IF('plan etatów'!$AA$66=0,0,Podsumowanie!$E$105*'plan etatów'!L66/'plan etatów'!$AA$66)</f>
        <v>0</v>
      </c>
      <c r="M38" s="49" t="n">
        <f aca="false">IF('plan etatów'!$AA$66=0,0,Podsumowanie!$E$105*'plan etatów'!M66/'plan etatów'!$AA$66)</f>
        <v>0</v>
      </c>
      <c r="N38" s="49" t="n">
        <f aca="false">IF('plan etatów'!$AA$66=0,0,Podsumowanie!$E$105*'plan etatów'!N66/'plan etatów'!$AA$66)</f>
        <v>0</v>
      </c>
      <c r="O38" s="49" t="n">
        <f aca="false">IF('plan etatów'!$AA$66=0,0,Podsumowanie!$E$105*'plan etatów'!O66/'plan etatów'!$AA$66)</f>
        <v>0</v>
      </c>
      <c r="P38" s="49" t="n">
        <f aca="false">IF('plan etatów'!$AA$66=0,0,Podsumowanie!$E$105*'plan etatów'!P66/'plan etatów'!$AA$66)</f>
        <v>0</v>
      </c>
      <c r="Q38" s="49" t="n">
        <f aca="false">IF('plan etatów'!$AA$66=0,0,Podsumowanie!$E$105*'plan etatów'!Q66/'plan etatów'!$AA$66)</f>
        <v>0</v>
      </c>
      <c r="R38" s="49" t="n">
        <f aca="false">IF('plan etatów'!$AA$66=0,0,Podsumowanie!$E$105*'plan etatów'!R66/'plan etatów'!$AA$66)</f>
        <v>0</v>
      </c>
      <c r="S38" s="49" t="n">
        <f aca="false">IF('plan etatów'!$AA$66=0,0,Podsumowanie!$E$105*'plan etatów'!S66/'plan etatów'!$AA$66)</f>
        <v>0</v>
      </c>
      <c r="T38" s="49" t="n">
        <f aca="false">IF('plan etatów'!$AA$66=0,0,Podsumowanie!$E$105*'plan etatów'!T66/'plan etatów'!$AA$66)</f>
        <v>0</v>
      </c>
      <c r="U38" s="49" t="n">
        <f aca="false">IF('plan etatów'!$AA$66=0,0,Podsumowanie!$E$105*'plan etatów'!U66/'plan etatów'!$AA$66)</f>
        <v>9430</v>
      </c>
      <c r="V38" s="49" t="n">
        <f aca="false">IF('plan etatów'!$AA$66=0,0,Podsumowanie!$E$105*'plan etatów'!V66/'plan etatów'!$AA$66)</f>
        <v>9430</v>
      </c>
      <c r="W38" s="49" t="n">
        <f aca="false">IF('plan etatów'!$AA$66=0,0,Podsumowanie!$E$105*'plan etatów'!W66/'plan etatów'!$AA$66)</f>
        <v>9430</v>
      </c>
      <c r="X38" s="49" t="n">
        <f aca="false">IF('plan etatów'!$AA$66=0,0,Podsumowanie!$E$105*'plan etatów'!X66/'plan etatów'!$AA$66)</f>
        <v>9430</v>
      </c>
      <c r="Y38" s="49" t="n">
        <f aca="false">IF('plan etatów'!$AA$66=0,0,Podsumowanie!$E$105*'plan etatów'!Y66/'plan etatów'!$AA$66)</f>
        <v>0</v>
      </c>
      <c r="Z38" s="49" t="n">
        <f aca="false">IF('plan etatów'!$AA$66=0,0,Podsumowanie!$E$105*'plan etatów'!Z66/'plan etatów'!$AA$66)</f>
        <v>0</v>
      </c>
    </row>
    <row r="39" customFormat="false" ht="15" hidden="false" customHeight="false" outlineLevel="0" collapsed="false">
      <c r="A39" s="41" t="s">
        <v>47</v>
      </c>
      <c r="B39" s="41" t="n">
        <v>4</v>
      </c>
      <c r="C39" s="49" t="n">
        <f aca="false">SUM(D39:Z39)</f>
        <v>108440</v>
      </c>
      <c r="D39" s="49" t="n">
        <f aca="false">IF('plan etatów'!$AA$67=0,0,Podsumowanie!$E$108*'plan etatów'!D67/'plan etatów'!$AA$67)</f>
        <v>0</v>
      </c>
      <c r="E39" s="49" t="n">
        <f aca="false">IF('plan etatów'!$AA$67=0,0,Podsumowanie!$E$108*'plan etatów'!E67/'plan etatów'!$AA$67)</f>
        <v>0</v>
      </c>
      <c r="F39" s="49" t="n">
        <f aca="false">IF('plan etatów'!$AA$67=0,0,Podsumowanie!$E$108*'plan etatów'!F67/'plan etatów'!$AA$67)</f>
        <v>0</v>
      </c>
      <c r="G39" s="49" t="n">
        <f aca="false">IF('plan etatów'!$AA$67=0,0,Podsumowanie!$E$108*'plan etatów'!G67/'plan etatów'!$AA$67)</f>
        <v>0</v>
      </c>
      <c r="H39" s="49" t="n">
        <f aca="false">IF('plan etatów'!$AA$67=0,0,Podsumowanie!$E$108*'plan etatów'!H67/'plan etatów'!$AA$67)</f>
        <v>0</v>
      </c>
      <c r="I39" s="49" t="n">
        <f aca="false">IF('plan etatów'!$AA$67=0,0,Podsumowanie!$E$108*'plan etatów'!I67/'plan etatów'!$AA$67)</f>
        <v>0</v>
      </c>
      <c r="J39" s="49" t="n">
        <f aca="false">IF('plan etatów'!$AA$67=0,0,Podsumowanie!$E$108*'plan etatów'!J67/'plan etatów'!$AA$67)</f>
        <v>0</v>
      </c>
      <c r="K39" s="49" t="n">
        <f aca="false">IF('plan etatów'!$AA$67=0,0,Podsumowanie!$E$108*'plan etatów'!K67/'plan etatów'!$AA$67)</f>
        <v>0</v>
      </c>
      <c r="L39" s="49" t="n">
        <f aca="false">IF('plan etatów'!$AA$67=0,0,Podsumowanie!$E$108*'plan etatów'!L67/'plan etatów'!$AA$67)</f>
        <v>0</v>
      </c>
      <c r="M39" s="49" t="n">
        <f aca="false">IF('plan etatów'!$AA$67=0,0,Podsumowanie!$E$108*'plan etatów'!M67/'plan etatów'!$AA$67)</f>
        <v>0</v>
      </c>
      <c r="N39" s="49" t="n">
        <f aca="false">IF('plan etatów'!$AA$67=0,0,Podsumowanie!$E$108*'plan etatów'!N67/'plan etatów'!$AA$67)</f>
        <v>0</v>
      </c>
      <c r="O39" s="49" t="n">
        <f aca="false">IF('plan etatów'!$AA$67=0,0,Podsumowanie!$E$108*'plan etatów'!O67/'plan etatów'!$AA$67)</f>
        <v>0</v>
      </c>
      <c r="P39" s="49" t="n">
        <f aca="false">IF('plan etatów'!$AA$67=0,0,Podsumowanie!$E$108*'plan etatów'!P67/'plan etatów'!$AA$67)</f>
        <v>0</v>
      </c>
      <c r="Q39" s="49" t="n">
        <f aca="false">IF('plan etatów'!$AA$67=0,0,Podsumowanie!$E$108*'plan etatów'!Q67/'plan etatów'!$AA$67)</f>
        <v>0</v>
      </c>
      <c r="R39" s="49" t="n">
        <f aca="false">IF('plan etatów'!$AA$67=0,0,Podsumowanie!$E$108*'plan etatów'!R67/'plan etatów'!$AA$67)</f>
        <v>0</v>
      </c>
      <c r="S39" s="49" t="n">
        <f aca="false">IF('plan etatów'!$AA$67=0,0,Podsumowanie!$E$108*'plan etatów'!S67/'plan etatów'!$AA$67)</f>
        <v>0</v>
      </c>
      <c r="T39" s="49" t="n">
        <f aca="false">IF('plan etatów'!$AA$67=0,0,Podsumowanie!$E$108*'plan etatów'!T67/'plan etatów'!$AA$67)</f>
        <v>0</v>
      </c>
      <c r="U39" s="49" t="n">
        <f aca="false">IF('plan etatów'!$AA$67=0,0,Podsumowanie!$E$108*'plan etatów'!U67/'plan etatów'!$AA$67)</f>
        <v>27110</v>
      </c>
      <c r="V39" s="49" t="n">
        <f aca="false">IF('plan etatów'!$AA$67=0,0,Podsumowanie!$E$108*'plan etatów'!V67/'plan etatów'!$AA$67)</f>
        <v>27110</v>
      </c>
      <c r="W39" s="49" t="n">
        <f aca="false">IF('plan etatów'!$AA$67=0,0,Podsumowanie!$E$108*'plan etatów'!W67/'plan etatów'!$AA$67)</f>
        <v>27110</v>
      </c>
      <c r="X39" s="49" t="n">
        <f aca="false">IF('plan etatów'!$AA$67=0,0,Podsumowanie!$E$108*'plan etatów'!X67/'plan etatów'!$AA$67)</f>
        <v>27110</v>
      </c>
      <c r="Y39" s="49" t="n">
        <f aca="false">IF('plan etatów'!$AA$67=0,0,Podsumowanie!$E$108*'plan etatów'!Y67/'plan etatów'!$AA$67)</f>
        <v>0</v>
      </c>
      <c r="Z39" s="49" t="n">
        <f aca="false">IF('plan etatów'!$AA$67=0,0,Podsumowanie!$E$108*'plan etatów'!Z67/'plan etatów'!$AA$67)</f>
        <v>0</v>
      </c>
    </row>
    <row r="40" customFormat="false" ht="15" hidden="false" customHeight="false" outlineLevel="0" collapsed="false">
      <c r="A40" s="41" t="s">
        <v>48</v>
      </c>
      <c r="B40" s="41" t="n">
        <v>4</v>
      </c>
      <c r="C40" s="49" t="n">
        <f aca="false">SUM(D40:Z40)</f>
        <v>82500</v>
      </c>
      <c r="D40" s="49" t="n">
        <f aca="false">IF('plan etatów'!$AA$68=0,0,Podsumowanie!$E$111*'plan etatów'!D68/'plan etatów'!$AA$68)</f>
        <v>0</v>
      </c>
      <c r="E40" s="49" t="n">
        <f aca="false">IF('plan etatów'!$AA$68=0,0,Podsumowanie!$E$111*'plan etatów'!E68/'plan etatów'!$AA$68)</f>
        <v>0</v>
      </c>
      <c r="F40" s="49" t="n">
        <f aca="false">IF('plan etatów'!$AA$68=0,0,Podsumowanie!$E$111*'plan etatów'!F68/'plan etatów'!$AA$68)</f>
        <v>0</v>
      </c>
      <c r="G40" s="49" t="n">
        <f aca="false">IF('plan etatów'!$AA$68=0,0,Podsumowanie!$E$111*'plan etatów'!G68/'plan etatów'!$AA$68)</f>
        <v>0</v>
      </c>
      <c r="H40" s="49" t="n">
        <f aca="false">IF('plan etatów'!$AA$68=0,0,Podsumowanie!$E$111*'plan etatów'!H68/'plan etatów'!$AA$68)</f>
        <v>0</v>
      </c>
      <c r="I40" s="49" t="n">
        <f aca="false">IF('plan etatów'!$AA$68=0,0,Podsumowanie!$E$111*'plan etatów'!I68/'plan etatów'!$AA$68)</f>
        <v>0</v>
      </c>
      <c r="J40" s="49" t="n">
        <f aca="false">IF('plan etatów'!$AA$68=0,0,Podsumowanie!$E$111*'plan etatów'!J68/'plan etatów'!$AA$68)</f>
        <v>0</v>
      </c>
      <c r="K40" s="49" t="n">
        <f aca="false">IF('plan etatów'!$AA$68=0,0,Podsumowanie!$E$111*'plan etatów'!K68/'plan etatów'!$AA$68)</f>
        <v>0</v>
      </c>
      <c r="L40" s="49" t="n">
        <f aca="false">IF('plan etatów'!$AA$68=0,0,Podsumowanie!$E$111*'plan etatów'!L68/'plan etatów'!$AA$68)</f>
        <v>0</v>
      </c>
      <c r="M40" s="49" t="n">
        <f aca="false">IF('plan etatów'!$AA$68=0,0,Podsumowanie!$E$111*'plan etatów'!M68/'plan etatów'!$AA$68)</f>
        <v>0</v>
      </c>
      <c r="N40" s="49" t="n">
        <f aca="false">IF('plan etatów'!$AA$68=0,0,Podsumowanie!$E$111*'plan etatów'!N68/'plan etatów'!$AA$68)</f>
        <v>0</v>
      </c>
      <c r="O40" s="49" t="n">
        <f aca="false">IF('plan etatów'!$AA$68=0,0,Podsumowanie!$E$111*'plan etatów'!O68/'plan etatów'!$AA$68)</f>
        <v>0</v>
      </c>
      <c r="P40" s="49" t="n">
        <f aca="false">IF('plan etatów'!$AA$68=0,0,Podsumowanie!$E$111*'plan etatów'!P68/'plan etatów'!$AA$68)</f>
        <v>0</v>
      </c>
      <c r="Q40" s="49" t="n">
        <f aca="false">IF('plan etatów'!$AA$68=0,0,Podsumowanie!$E$111*'plan etatów'!Q68/'plan etatów'!$AA$68)</f>
        <v>0</v>
      </c>
      <c r="R40" s="49" t="n">
        <f aca="false">IF('plan etatów'!$AA$68=0,0,Podsumowanie!$E$111*'plan etatów'!R68/'plan etatów'!$AA$68)</f>
        <v>0</v>
      </c>
      <c r="S40" s="49" t="n">
        <f aca="false">IF('plan etatów'!$AA$68=0,0,Podsumowanie!$E$111*'plan etatów'!S68/'plan etatów'!$AA$68)</f>
        <v>0</v>
      </c>
      <c r="T40" s="49" t="n">
        <f aca="false">IF('plan etatów'!$AA$68=0,0,Podsumowanie!$E$111*'plan etatów'!T68/'plan etatów'!$AA$68)</f>
        <v>0</v>
      </c>
      <c r="U40" s="49" t="n">
        <f aca="false">IF('plan etatów'!$AA$68=0,0,Podsumowanie!$E$111*'plan etatów'!U68/'plan etatów'!$AA$68)</f>
        <v>20625</v>
      </c>
      <c r="V40" s="49" t="n">
        <f aca="false">IF('plan etatów'!$AA$68=0,0,Podsumowanie!$E$111*'plan etatów'!V68/'plan etatów'!$AA$68)</f>
        <v>20625</v>
      </c>
      <c r="W40" s="49" t="n">
        <f aca="false">IF('plan etatów'!$AA$68=0,0,Podsumowanie!$E$111*'plan etatów'!W68/'plan etatów'!$AA$68)</f>
        <v>20625</v>
      </c>
      <c r="X40" s="49" t="n">
        <f aca="false">IF('plan etatów'!$AA$68=0,0,Podsumowanie!$E$111*'plan etatów'!X68/'plan etatów'!$AA$68)</f>
        <v>20625</v>
      </c>
      <c r="Y40" s="49" t="n">
        <f aca="false">IF('plan etatów'!$AA$68=0,0,Podsumowanie!$E$111*'plan etatów'!Y68/'plan etatów'!$AA$68)</f>
        <v>0</v>
      </c>
      <c r="Z40" s="49" t="n">
        <f aca="false">IF('plan etatów'!$AA$68=0,0,Podsumowanie!$E$111*'plan etatów'!Z68/'plan etatów'!$AA$68)</f>
        <v>0</v>
      </c>
    </row>
    <row r="41" customFormat="false" ht="15" hidden="false" customHeight="false" outlineLevel="0" collapsed="false">
      <c r="A41" s="41" t="s">
        <v>49</v>
      </c>
      <c r="B41" s="41" t="n">
        <v>4</v>
      </c>
      <c r="C41" s="49" t="n">
        <f aca="false">SUM(D41:Z41)</f>
        <v>29760</v>
      </c>
      <c r="D41" s="49" t="n">
        <f aca="false">IF('plan etatów'!$AA$69=0,0,Podsumowanie!$E$114*'plan etatów'!D69/'plan etatów'!$AA$69)</f>
        <v>0</v>
      </c>
      <c r="E41" s="49" t="n">
        <f aca="false">IF('plan etatów'!$AA$69=0,0,Podsumowanie!$E$114*'plan etatów'!E69/'plan etatów'!$AA$69)</f>
        <v>0</v>
      </c>
      <c r="F41" s="49" t="n">
        <f aca="false">IF('plan etatów'!$AA$69=0,0,Podsumowanie!$E$114*'plan etatów'!F69/'plan etatów'!$AA$69)</f>
        <v>0</v>
      </c>
      <c r="G41" s="49" t="n">
        <f aca="false">IF('plan etatów'!$AA$69=0,0,Podsumowanie!$E$114*'plan etatów'!G69/'plan etatów'!$AA$69)</f>
        <v>0</v>
      </c>
      <c r="H41" s="49" t="n">
        <f aca="false">IF('plan etatów'!$AA$69=0,0,Podsumowanie!$E$114*'plan etatów'!H69/'plan etatów'!$AA$69)</f>
        <v>0</v>
      </c>
      <c r="I41" s="49" t="n">
        <f aca="false">IF('plan etatów'!$AA$69=0,0,Podsumowanie!$E$114*'plan etatów'!I69/'plan etatów'!$AA$69)</f>
        <v>0</v>
      </c>
      <c r="J41" s="49" t="n">
        <f aca="false">IF('plan etatów'!$AA$69=0,0,Podsumowanie!$E$114*'plan etatów'!J69/'plan etatów'!$AA$69)</f>
        <v>0</v>
      </c>
      <c r="K41" s="49" t="n">
        <f aca="false">IF('plan etatów'!$AA$69=0,0,Podsumowanie!$E$114*'plan etatów'!K69/'plan etatów'!$AA$69)</f>
        <v>0</v>
      </c>
      <c r="L41" s="49" t="n">
        <f aca="false">IF('plan etatów'!$AA$69=0,0,Podsumowanie!$E$114*'plan etatów'!L69/'plan etatów'!$AA$69)</f>
        <v>0</v>
      </c>
      <c r="M41" s="49" t="n">
        <f aca="false">IF('plan etatów'!$AA$69=0,0,Podsumowanie!$E$114*'plan etatów'!M69/'plan etatów'!$AA$69)</f>
        <v>0</v>
      </c>
      <c r="N41" s="49" t="n">
        <f aca="false">IF('plan etatów'!$AA$69=0,0,Podsumowanie!$E$114*'plan etatów'!N69/'plan etatów'!$AA$69)</f>
        <v>0</v>
      </c>
      <c r="O41" s="49" t="n">
        <f aca="false">IF('plan etatów'!$AA$69=0,0,Podsumowanie!$E$114*'plan etatów'!O69/'plan etatów'!$AA$69)</f>
        <v>0</v>
      </c>
      <c r="P41" s="49" t="n">
        <f aca="false">IF('plan etatów'!$AA$69=0,0,Podsumowanie!$E$114*'plan etatów'!P69/'plan etatów'!$AA$69)</f>
        <v>0</v>
      </c>
      <c r="Q41" s="49" t="n">
        <f aca="false">IF('plan etatów'!$AA$69=0,0,Podsumowanie!$E$114*'plan etatów'!Q69/'plan etatów'!$AA$69)</f>
        <v>0</v>
      </c>
      <c r="R41" s="49" t="n">
        <f aca="false">IF('plan etatów'!$AA$69=0,0,Podsumowanie!$E$114*'plan etatów'!R69/'plan etatów'!$AA$69)</f>
        <v>0</v>
      </c>
      <c r="S41" s="49" t="n">
        <f aca="false">IF('plan etatów'!$AA$69=0,0,Podsumowanie!$E$114*'plan etatów'!S69/'plan etatów'!$AA$69)</f>
        <v>0</v>
      </c>
      <c r="T41" s="49" t="n">
        <f aca="false">IF('plan etatów'!$AA$69=0,0,Podsumowanie!$E$114*'plan etatów'!T69/'plan etatów'!$AA$69)</f>
        <v>0</v>
      </c>
      <c r="U41" s="49" t="n">
        <f aca="false">IF('plan etatów'!$AA$69=0,0,Podsumowanie!$E$114*'plan etatów'!U69/'plan etatów'!$AA$69)</f>
        <v>7440</v>
      </c>
      <c r="V41" s="49" t="n">
        <f aca="false">IF('plan etatów'!$AA$69=0,0,Podsumowanie!$E$114*'plan etatów'!V69/'plan etatów'!$AA$69)</f>
        <v>7440</v>
      </c>
      <c r="W41" s="49" t="n">
        <f aca="false">IF('plan etatów'!$AA$69=0,0,Podsumowanie!$E$114*'plan etatów'!W69/'plan etatów'!$AA$69)</f>
        <v>7440</v>
      </c>
      <c r="X41" s="49" t="n">
        <f aca="false">IF('plan etatów'!$AA$69=0,0,Podsumowanie!$E$114*'plan etatów'!X69/'plan etatów'!$AA$69)</f>
        <v>7440</v>
      </c>
      <c r="Y41" s="49" t="n">
        <f aca="false">IF('plan etatów'!$AA$69=0,0,Podsumowanie!$E$114*'plan etatów'!Y69/'plan etatów'!$AA$69)</f>
        <v>0</v>
      </c>
      <c r="Z41" s="49" t="n">
        <f aca="false">IF('plan etatów'!$AA$69=0,0,Podsumowanie!$E$114*'plan etatów'!Z69/'plan etatów'!$AA$69)</f>
        <v>0</v>
      </c>
    </row>
    <row r="42" customFormat="false" ht="15" hidden="false" customHeight="false" outlineLevel="0" collapsed="false">
      <c r="A42" s="41" t="s">
        <v>50</v>
      </c>
      <c r="B42" s="41" t="n">
        <v>4</v>
      </c>
      <c r="C42" s="49" t="n">
        <f aca="false">SUM(D42:Z42)</f>
        <v>82500</v>
      </c>
      <c r="D42" s="49" t="n">
        <f aca="false">IF('plan etatów'!$AA$70=0,0,Podsumowanie!$E$117*'plan etatów'!D70/'plan etatów'!$AA$70)</f>
        <v>0</v>
      </c>
      <c r="E42" s="49" t="n">
        <f aca="false">IF('plan etatów'!$AA$70=0,0,Podsumowanie!$E$117*'plan etatów'!E70/'plan etatów'!$AA$70)</f>
        <v>0</v>
      </c>
      <c r="F42" s="49" t="n">
        <f aca="false">IF('plan etatów'!$AA$70=0,0,Podsumowanie!$E$117*'plan etatów'!F70/'plan etatów'!$AA$70)</f>
        <v>0</v>
      </c>
      <c r="G42" s="49" t="n">
        <f aca="false">IF('plan etatów'!$AA$70=0,0,Podsumowanie!$E$117*'plan etatów'!G70/'plan etatów'!$AA$70)</f>
        <v>0</v>
      </c>
      <c r="H42" s="49" t="n">
        <f aca="false">IF('plan etatów'!$AA$70=0,0,Podsumowanie!$E$117*'plan etatów'!H70/'plan etatów'!$AA$70)</f>
        <v>0</v>
      </c>
      <c r="I42" s="49" t="n">
        <f aca="false">IF('plan etatów'!$AA$70=0,0,Podsumowanie!$E$117*'plan etatów'!I70/'plan etatów'!$AA$70)</f>
        <v>0</v>
      </c>
      <c r="J42" s="49" t="n">
        <f aca="false">IF('plan etatów'!$AA$70=0,0,Podsumowanie!$E$117*'plan etatów'!J70/'plan etatów'!$AA$70)</f>
        <v>0</v>
      </c>
      <c r="K42" s="49" t="n">
        <f aca="false">IF('plan etatów'!$AA$70=0,0,Podsumowanie!$E$117*'plan etatów'!K70/'plan etatów'!$AA$70)</f>
        <v>0</v>
      </c>
      <c r="L42" s="49" t="n">
        <f aca="false">IF('plan etatów'!$AA$70=0,0,Podsumowanie!$E$117*'plan etatów'!L70/'plan etatów'!$AA$70)</f>
        <v>0</v>
      </c>
      <c r="M42" s="49" t="n">
        <f aca="false">IF('plan etatów'!$AA$70=0,0,Podsumowanie!$E$117*'plan etatów'!M70/'plan etatów'!$AA$70)</f>
        <v>0</v>
      </c>
      <c r="N42" s="49" t="n">
        <f aca="false">IF('plan etatów'!$AA$70=0,0,Podsumowanie!$E$117*'plan etatów'!N70/'plan etatów'!$AA$70)</f>
        <v>0</v>
      </c>
      <c r="O42" s="49" t="n">
        <f aca="false">IF('plan etatów'!$AA$70=0,0,Podsumowanie!$E$117*'plan etatów'!O70/'plan etatów'!$AA$70)</f>
        <v>0</v>
      </c>
      <c r="P42" s="49" t="n">
        <f aca="false">IF('plan etatów'!$AA$70=0,0,Podsumowanie!$E$117*'plan etatów'!P70/'plan etatów'!$AA$70)</f>
        <v>0</v>
      </c>
      <c r="Q42" s="49" t="n">
        <f aca="false">IF('plan etatów'!$AA$70=0,0,Podsumowanie!$E$117*'plan etatów'!Q70/'plan etatów'!$AA$70)</f>
        <v>0</v>
      </c>
      <c r="R42" s="49" t="n">
        <f aca="false">IF('plan etatów'!$AA$70=0,0,Podsumowanie!$E$117*'plan etatów'!R70/'plan etatów'!$AA$70)</f>
        <v>0</v>
      </c>
      <c r="S42" s="49" t="n">
        <f aca="false">IF('plan etatów'!$AA$70=0,0,Podsumowanie!$E$117*'plan etatów'!S70/'plan etatów'!$AA$70)</f>
        <v>0</v>
      </c>
      <c r="T42" s="49" t="n">
        <f aca="false">IF('plan etatów'!$AA$70=0,0,Podsumowanie!$E$117*'plan etatów'!T70/'plan etatów'!$AA$70)</f>
        <v>0</v>
      </c>
      <c r="U42" s="49" t="n">
        <f aca="false">IF('plan etatów'!$AA$70=0,0,Podsumowanie!$E$117*'plan etatów'!U70/'plan etatów'!$AA$70)</f>
        <v>20625</v>
      </c>
      <c r="V42" s="49" t="n">
        <f aca="false">IF('plan etatów'!$AA$70=0,0,Podsumowanie!$E$117*'plan etatów'!V70/'plan etatów'!$AA$70)</f>
        <v>20625</v>
      </c>
      <c r="W42" s="49" t="n">
        <f aca="false">IF('plan etatów'!$AA$70=0,0,Podsumowanie!$E$117*'plan etatów'!W70/'plan etatów'!$AA$70)</f>
        <v>20625</v>
      </c>
      <c r="X42" s="49" t="n">
        <f aca="false">IF('plan etatów'!$AA$70=0,0,Podsumowanie!$E$117*'plan etatów'!X70/'plan etatów'!$AA$70)</f>
        <v>20625</v>
      </c>
      <c r="Y42" s="49" t="n">
        <f aca="false">IF('plan etatów'!$AA$70=0,0,Podsumowanie!$E$117*'plan etatów'!Y70/'plan etatów'!$AA$70)</f>
        <v>0</v>
      </c>
      <c r="Z42" s="49" t="n">
        <f aca="false">IF('plan etatów'!$AA$70=0,0,Podsumowanie!$E$117*'plan etatów'!Z70/'plan etatów'!$AA$70)</f>
        <v>0</v>
      </c>
    </row>
    <row r="43" customFormat="false" ht="15" hidden="false" customHeight="false" outlineLevel="0" collapsed="false">
      <c r="A43" s="41" t="s">
        <v>51</v>
      </c>
      <c r="B43" s="41" t="n">
        <v>4</v>
      </c>
      <c r="C43" s="49" t="n">
        <f aca="false">SUM(D43:Z43)</f>
        <v>2857.14</v>
      </c>
      <c r="D43" s="49" t="n">
        <f aca="false">IF('plan etatów'!$AA$71=0,0,Podsumowanie!$E$120*'plan etatów'!D71/'plan etatów'!$AA$71)</f>
        <v>0</v>
      </c>
      <c r="E43" s="49" t="n">
        <f aca="false">IF('plan etatów'!$AA$71=0,0,Podsumowanie!$E$120*'plan etatów'!E71/'plan etatów'!$AA$71)</f>
        <v>0</v>
      </c>
      <c r="F43" s="49" t="n">
        <f aca="false">IF('plan etatów'!$AA$71=0,0,Podsumowanie!$E$120*'plan etatów'!F71/'plan etatów'!$AA$71)</f>
        <v>0</v>
      </c>
      <c r="G43" s="49" t="n">
        <f aca="false">IF('plan etatów'!$AA$71=0,0,Podsumowanie!$E$120*'plan etatów'!G71/'plan etatów'!$AA$71)</f>
        <v>0</v>
      </c>
      <c r="H43" s="49" t="n">
        <f aca="false">IF('plan etatów'!$AA$71=0,0,Podsumowanie!$E$120*'plan etatów'!H71/'plan etatów'!$AA$71)</f>
        <v>0</v>
      </c>
      <c r="I43" s="49" t="n">
        <f aca="false">IF('plan etatów'!$AA$71=0,0,Podsumowanie!$E$120*'plan etatów'!I71/'plan etatów'!$AA$71)</f>
        <v>0</v>
      </c>
      <c r="J43" s="49" t="n">
        <f aca="false">IF('plan etatów'!$AA$71=0,0,Podsumowanie!$E$120*'plan etatów'!J71/'plan etatów'!$AA$71)</f>
        <v>0</v>
      </c>
      <c r="K43" s="49" t="n">
        <f aca="false">IF('plan etatów'!$AA$71=0,0,Podsumowanie!$E$120*'plan etatów'!K71/'plan etatów'!$AA$71)</f>
        <v>0</v>
      </c>
      <c r="L43" s="49" t="n">
        <f aca="false">IF('plan etatów'!$AA$71=0,0,Podsumowanie!$E$120*'plan etatów'!L71/'plan etatów'!$AA$71)</f>
        <v>0</v>
      </c>
      <c r="M43" s="49" t="n">
        <f aca="false">IF('plan etatów'!$AA$71=0,0,Podsumowanie!$E$120*'plan etatów'!M71/'plan etatów'!$AA$71)</f>
        <v>0</v>
      </c>
      <c r="N43" s="49" t="n">
        <f aca="false">IF('plan etatów'!$AA$71=0,0,Podsumowanie!$E$120*'plan etatów'!N71/'plan etatów'!$AA$71)</f>
        <v>0</v>
      </c>
      <c r="O43" s="49" t="n">
        <f aca="false">IF('plan etatów'!$AA$71=0,0,Podsumowanie!$E$120*'plan etatów'!O71/'plan etatów'!$AA$71)</f>
        <v>0</v>
      </c>
      <c r="P43" s="49" t="n">
        <f aca="false">IF('plan etatów'!$AA$71=0,0,Podsumowanie!$E$120*'plan etatów'!P71/'plan etatów'!$AA$71)</f>
        <v>0</v>
      </c>
      <c r="Q43" s="49" t="n">
        <f aca="false">IF('plan etatów'!$AA$71=0,0,Podsumowanie!$E$120*'plan etatów'!Q71/'plan etatów'!$AA$71)</f>
        <v>0</v>
      </c>
      <c r="R43" s="49" t="n">
        <f aca="false">IF('plan etatów'!$AA$71=0,0,Podsumowanie!$E$120*'plan etatów'!R71/'plan etatów'!$AA$71)</f>
        <v>0</v>
      </c>
      <c r="S43" s="49" t="n">
        <f aca="false">IF('plan etatów'!$AA$71=0,0,Podsumowanie!$E$120*'plan etatów'!S71/'plan etatów'!$AA$71)</f>
        <v>0</v>
      </c>
      <c r="T43" s="49" t="n">
        <f aca="false">IF('plan etatów'!$AA$71=0,0,Podsumowanie!$E$120*'plan etatów'!T71/'plan etatów'!$AA$71)</f>
        <v>0</v>
      </c>
      <c r="U43" s="49" t="n">
        <f aca="false">IF('plan etatów'!$AA$71=0,0,Podsumowanie!$E$120*'plan etatów'!U71/'plan etatów'!$AA$71)</f>
        <v>714.285</v>
      </c>
      <c r="V43" s="49" t="n">
        <f aca="false">IF('plan etatów'!$AA$71=0,0,Podsumowanie!$E$120*'plan etatów'!V71/'plan etatów'!$AA$71)</f>
        <v>714.285</v>
      </c>
      <c r="W43" s="49" t="n">
        <f aca="false">IF('plan etatów'!$AA$71=0,0,Podsumowanie!$E$120*'plan etatów'!W71/'plan etatów'!$AA$71)</f>
        <v>714.285</v>
      </c>
      <c r="X43" s="49" t="n">
        <f aca="false">IF('plan etatów'!$AA$71=0,0,Podsumowanie!$E$120*'plan etatów'!X71/'plan etatów'!$AA$71)</f>
        <v>714.285</v>
      </c>
      <c r="Y43" s="49" t="n">
        <f aca="false">IF('plan etatów'!$AA$71=0,0,Podsumowanie!$E$120*'plan etatów'!Y71/'plan etatów'!$AA$71)</f>
        <v>0</v>
      </c>
      <c r="Z43" s="49" t="n">
        <f aca="false">IF('plan etatów'!$AA$71=0,0,Podsumowanie!$E$120*'plan etatów'!Z71/'plan etatów'!$AA$71)</f>
        <v>0</v>
      </c>
    </row>
    <row r="44" customFormat="false" ht="15" hidden="false" customHeight="false" outlineLevel="0" collapsed="false">
      <c r="A44" s="41" t="s">
        <v>52</v>
      </c>
      <c r="B44" s="41" t="n">
        <v>4</v>
      </c>
      <c r="C44" s="49" t="n">
        <f aca="false">SUM(D44:Z44)</f>
        <v>79000</v>
      </c>
      <c r="D44" s="49" t="n">
        <f aca="false">IF('plan etatów'!$AA$72=0,0,Podsumowanie!$E$123*'plan etatów'!D72/'plan etatów'!$AA$72)</f>
        <v>0</v>
      </c>
      <c r="E44" s="49" t="n">
        <f aca="false">IF('plan etatów'!$AA$72=0,0,Podsumowanie!$E$123*'plan etatów'!E72/'plan etatów'!$AA$72)</f>
        <v>0</v>
      </c>
      <c r="F44" s="49" t="n">
        <f aca="false">IF('plan etatów'!$AA$72=0,0,Podsumowanie!$E$123*'plan etatów'!F72/'plan etatów'!$AA$72)</f>
        <v>0</v>
      </c>
      <c r="G44" s="49" t="n">
        <f aca="false">IF('plan etatów'!$AA$72=0,0,Podsumowanie!$E$123*'plan etatów'!G72/'plan etatów'!$AA$72)</f>
        <v>0</v>
      </c>
      <c r="H44" s="49" t="n">
        <f aca="false">IF('plan etatów'!$AA$72=0,0,Podsumowanie!$E$123*'plan etatów'!H72/'plan etatów'!$AA$72)</f>
        <v>0</v>
      </c>
      <c r="I44" s="49" t="n">
        <f aca="false">IF('plan etatów'!$AA$72=0,0,Podsumowanie!$E$123*'plan etatów'!I72/'plan etatów'!$AA$72)</f>
        <v>0</v>
      </c>
      <c r="J44" s="49" t="n">
        <f aca="false">IF('plan etatów'!$AA$72=0,0,Podsumowanie!$E$123*'plan etatów'!J72/'plan etatów'!$AA$72)</f>
        <v>0</v>
      </c>
      <c r="K44" s="49" t="n">
        <f aca="false">IF('plan etatów'!$AA$72=0,0,Podsumowanie!$E$123*'plan etatów'!K72/'plan etatów'!$AA$72)</f>
        <v>0</v>
      </c>
      <c r="L44" s="49" t="n">
        <f aca="false">IF('plan etatów'!$AA$72=0,0,Podsumowanie!$E$123*'plan etatów'!L72/'plan etatów'!$AA$72)</f>
        <v>0</v>
      </c>
      <c r="M44" s="49" t="n">
        <f aca="false">IF('plan etatów'!$AA$72=0,0,Podsumowanie!$E$123*'plan etatów'!M72/'plan etatów'!$AA$72)</f>
        <v>0</v>
      </c>
      <c r="N44" s="49" t="n">
        <f aca="false">IF('plan etatów'!$AA$72=0,0,Podsumowanie!$E$123*'plan etatów'!N72/'plan etatów'!$AA$72)</f>
        <v>0</v>
      </c>
      <c r="O44" s="49" t="n">
        <f aca="false">IF('plan etatów'!$AA$72=0,0,Podsumowanie!$E$123*'plan etatów'!O72/'plan etatów'!$AA$72)</f>
        <v>0</v>
      </c>
      <c r="P44" s="49" t="n">
        <f aca="false">IF('plan etatów'!$AA$72=0,0,Podsumowanie!$E$123*'plan etatów'!P72/'plan etatów'!$AA$72)</f>
        <v>0</v>
      </c>
      <c r="Q44" s="49" t="n">
        <f aca="false">IF('plan etatów'!$AA$72=0,0,Podsumowanie!$E$123*'plan etatów'!Q72/'plan etatów'!$AA$72)</f>
        <v>0</v>
      </c>
      <c r="R44" s="49" t="n">
        <f aca="false">IF('plan etatów'!$AA$72=0,0,Podsumowanie!$E$123*'plan etatów'!R72/'plan etatów'!$AA$72)</f>
        <v>0</v>
      </c>
      <c r="S44" s="49" t="n">
        <f aca="false">IF('plan etatów'!$AA$72=0,0,Podsumowanie!$E$123*'plan etatów'!S72/'plan etatów'!$AA$72)</f>
        <v>0</v>
      </c>
      <c r="T44" s="49" t="n">
        <f aca="false">IF('plan etatów'!$AA$72=0,0,Podsumowanie!$E$123*'plan etatów'!T72/'plan etatów'!$AA$72)</f>
        <v>0</v>
      </c>
      <c r="U44" s="49" t="n">
        <f aca="false">IF('plan etatów'!$AA$72=0,0,Podsumowanie!$E$123*'plan etatów'!U72/'plan etatów'!$AA$72)</f>
        <v>19750</v>
      </c>
      <c r="V44" s="49" t="n">
        <f aca="false">IF('plan etatów'!$AA$72=0,0,Podsumowanie!$E$123*'plan etatów'!V72/'plan etatów'!$AA$72)</f>
        <v>19750</v>
      </c>
      <c r="W44" s="49" t="n">
        <f aca="false">IF('plan etatów'!$AA$72=0,0,Podsumowanie!$E$123*'plan etatów'!W72/'plan etatów'!$AA$72)</f>
        <v>19750</v>
      </c>
      <c r="X44" s="49" t="n">
        <f aca="false">IF('plan etatów'!$AA$72=0,0,Podsumowanie!$E$123*'plan etatów'!X72/'plan etatów'!$AA$72)</f>
        <v>19750</v>
      </c>
      <c r="Y44" s="49" t="n">
        <f aca="false">IF('plan etatów'!$AA$72=0,0,Podsumowanie!$E$123*'plan etatów'!Y72/'plan etatów'!$AA$72)</f>
        <v>0</v>
      </c>
      <c r="Z44" s="49" t="n">
        <f aca="false">IF('plan etatów'!$AA$72=0,0,Podsumowanie!$E$123*'plan etatów'!Z72/'plan etatów'!$AA$72)</f>
        <v>0</v>
      </c>
    </row>
    <row r="45" customFormat="false" ht="15" hidden="false" customHeight="false" outlineLevel="0" collapsed="false">
      <c r="A45" s="41" t="s">
        <v>53</v>
      </c>
      <c r="B45" s="41" t="n">
        <v>4</v>
      </c>
      <c r="C45" s="49" t="n">
        <f aca="false">SUM(D45:Z45)</f>
        <v>53860</v>
      </c>
      <c r="D45" s="49" t="n">
        <f aca="false">IF('plan etatów'!$AA$73=0,0,Podsumowanie!$E$126*'plan etatów'!D73/'plan etatów'!$AA$73)</f>
        <v>0</v>
      </c>
      <c r="E45" s="49" t="n">
        <f aca="false">IF('plan etatów'!$AA$73=0,0,Podsumowanie!$E$126*'plan etatów'!E73/'plan etatów'!$AA$73)</f>
        <v>0</v>
      </c>
      <c r="F45" s="49" t="n">
        <f aca="false">IF('plan etatów'!$AA$73=0,0,Podsumowanie!$E$126*'plan etatów'!F73/'plan etatów'!$AA$73)</f>
        <v>0</v>
      </c>
      <c r="G45" s="49" t="n">
        <f aca="false">IF('plan etatów'!$AA$73=0,0,Podsumowanie!$E$126*'plan etatów'!G73/'plan etatów'!$AA$73)</f>
        <v>0</v>
      </c>
      <c r="H45" s="49" t="n">
        <f aca="false">IF('plan etatów'!$AA$73=0,0,Podsumowanie!$E$126*'plan etatów'!H73/'plan etatów'!$AA$73)</f>
        <v>0</v>
      </c>
      <c r="I45" s="49" t="n">
        <f aca="false">IF('plan etatów'!$AA$73=0,0,Podsumowanie!$E$126*'plan etatów'!I73/'plan etatów'!$AA$73)</f>
        <v>0</v>
      </c>
      <c r="J45" s="49" t="n">
        <f aca="false">IF('plan etatów'!$AA$73=0,0,Podsumowanie!$E$126*'plan etatów'!J73/'plan etatów'!$AA$73)</f>
        <v>0</v>
      </c>
      <c r="K45" s="49" t="n">
        <f aca="false">IF('plan etatów'!$AA$73=0,0,Podsumowanie!$E$126*'plan etatów'!K73/'plan etatów'!$AA$73)</f>
        <v>0</v>
      </c>
      <c r="L45" s="49" t="n">
        <f aca="false">IF('plan etatów'!$AA$73=0,0,Podsumowanie!$E$126*'plan etatów'!L73/'plan etatów'!$AA$73)</f>
        <v>0</v>
      </c>
      <c r="M45" s="49" t="n">
        <f aca="false">IF('plan etatów'!$AA$73=0,0,Podsumowanie!$E$126*'plan etatów'!M73/'plan etatów'!$AA$73)</f>
        <v>0</v>
      </c>
      <c r="N45" s="49" t="n">
        <f aca="false">IF('plan etatów'!$AA$73=0,0,Podsumowanie!$E$126*'plan etatów'!N73/'plan etatów'!$AA$73)</f>
        <v>0</v>
      </c>
      <c r="O45" s="49" t="n">
        <f aca="false">IF('plan etatów'!$AA$73=0,0,Podsumowanie!$E$126*'plan etatów'!O73/'plan etatów'!$AA$73)</f>
        <v>0</v>
      </c>
      <c r="P45" s="49" t="n">
        <f aca="false">IF('plan etatów'!$AA$73=0,0,Podsumowanie!$E$126*'plan etatów'!P73/'plan etatów'!$AA$73)</f>
        <v>0</v>
      </c>
      <c r="Q45" s="49" t="n">
        <f aca="false">IF('plan etatów'!$AA$73=0,0,Podsumowanie!$E$126*'plan etatów'!Q73/'plan etatów'!$AA$73)</f>
        <v>0</v>
      </c>
      <c r="R45" s="49" t="n">
        <f aca="false">IF('plan etatów'!$AA$73=0,0,Podsumowanie!$E$126*'plan etatów'!R73/'plan etatów'!$AA$73)</f>
        <v>0</v>
      </c>
      <c r="S45" s="49" t="n">
        <f aca="false">IF('plan etatów'!$AA$73=0,0,Podsumowanie!$E$126*'plan etatów'!S73/'plan etatów'!$AA$73)</f>
        <v>0</v>
      </c>
      <c r="T45" s="49" t="n">
        <f aca="false">IF('plan etatów'!$AA$73=0,0,Podsumowanie!$E$126*'plan etatów'!T73/'plan etatów'!$AA$73)</f>
        <v>0</v>
      </c>
      <c r="U45" s="49" t="n">
        <f aca="false">IF('plan etatów'!$AA$73=0,0,Podsumowanie!$E$126*'plan etatów'!U73/'plan etatów'!$AA$73)</f>
        <v>13465</v>
      </c>
      <c r="V45" s="49" t="n">
        <f aca="false">IF('plan etatów'!$AA$73=0,0,Podsumowanie!$E$126*'plan etatów'!V73/'plan etatów'!$AA$73)</f>
        <v>13465</v>
      </c>
      <c r="W45" s="49" t="n">
        <f aca="false">IF('plan etatów'!$AA$73=0,0,Podsumowanie!$E$126*'plan etatów'!W73/'plan etatów'!$AA$73)</f>
        <v>13465</v>
      </c>
      <c r="X45" s="49" t="n">
        <f aca="false">IF('plan etatów'!$AA$73=0,0,Podsumowanie!$E$126*'plan etatów'!X73/'plan etatów'!$AA$73)</f>
        <v>13465</v>
      </c>
      <c r="Y45" s="49" t="n">
        <f aca="false">IF('plan etatów'!$AA$73=0,0,Podsumowanie!$E$126*'plan etatów'!Y73/'plan etatów'!$AA$73)</f>
        <v>0</v>
      </c>
      <c r="Z45" s="49" t="n">
        <f aca="false">IF('plan etatów'!$AA$73=0,0,Podsumowanie!$E$126*'plan etatów'!Z73/'plan etatów'!$AA$73)</f>
        <v>0</v>
      </c>
    </row>
    <row r="46" customFormat="false" ht="15" hidden="false" customHeight="false" outlineLevel="0" collapsed="false">
      <c r="A46" s="40" t="s">
        <v>231</v>
      </c>
      <c r="B46" s="40" t="n">
        <v>1</v>
      </c>
      <c r="C46" s="63" t="n">
        <f aca="false">SUMIF($B$9:$B$45,1,C$9:C$45)</f>
        <v>868383.93</v>
      </c>
      <c r="D46" s="63" t="n">
        <f aca="false">SUMIF($B$9:$B$45,1,D$9:D$45)</f>
        <v>173676.786</v>
      </c>
      <c r="E46" s="63" t="n">
        <f aca="false">SUMIF($B$9:$B$45,1,E$9:E$45)</f>
        <v>173676.786</v>
      </c>
      <c r="F46" s="63" t="n">
        <f aca="false">SUMIF($B$9:$B$45,1,F$9:F$45)</f>
        <v>173676.786</v>
      </c>
      <c r="G46" s="63" t="n">
        <f aca="false">SUMIF($B$9:$B$45,1,G$9:G$45)</f>
        <v>173676.786</v>
      </c>
      <c r="H46" s="63" t="n">
        <f aca="false">SUMIF($B$9:$B$45,1,H$9:H$45)</f>
        <v>173676.786</v>
      </c>
      <c r="I46" s="63" t="n">
        <f aca="false">SUMIF($B$9:$B$45,1,I$9:I$45)</f>
        <v>0</v>
      </c>
      <c r="J46" s="63" t="n">
        <f aca="false">SUMIF($B$9:$B$45,1,J$9:J$45)</f>
        <v>0</v>
      </c>
      <c r="K46" s="63" t="n">
        <f aca="false">SUMIF($B$9:$B$45,1,K$9:K$45)</f>
        <v>0</v>
      </c>
      <c r="L46" s="63" t="n">
        <f aca="false">SUMIF($B$9:$B$45,1,L$9:L$45)</f>
        <v>0</v>
      </c>
      <c r="M46" s="63" t="n">
        <f aca="false">SUMIF($B$9:$B$45,1,M$9:M$45)</f>
        <v>0</v>
      </c>
      <c r="N46" s="63" t="n">
        <f aca="false">SUMIF($B$9:$B$45,1,N$9:N$45)</f>
        <v>0</v>
      </c>
      <c r="O46" s="63" t="n">
        <f aca="false">SUMIF($B$9:$B$45,1,O$9:O$45)</f>
        <v>0</v>
      </c>
      <c r="P46" s="63" t="n">
        <f aca="false">SUMIF($B$9:$B$45,1,P$9:P$45)</f>
        <v>0</v>
      </c>
      <c r="Q46" s="63" t="n">
        <f aca="false">SUMIF($B$9:$B$45,1,Q$9:Q$45)</f>
        <v>0</v>
      </c>
      <c r="R46" s="63" t="n">
        <f aca="false">SUMIF($B$9:$B$45,1,R$9:R$45)</f>
        <v>0</v>
      </c>
      <c r="S46" s="63" t="n">
        <f aca="false">SUMIF($B$9:$B$45,1,S$9:S$45)</f>
        <v>0</v>
      </c>
      <c r="T46" s="63" t="n">
        <f aca="false">SUMIF($B$9:$B$45,1,T$9:T$45)</f>
        <v>0</v>
      </c>
      <c r="U46" s="63" t="n">
        <f aca="false">SUMIF($B$9:$B$45,1,U$9:U$45)</f>
        <v>0</v>
      </c>
      <c r="V46" s="63" t="n">
        <f aca="false">SUMIF($B$9:$B$45,1,V$9:V$45)</f>
        <v>0</v>
      </c>
      <c r="W46" s="63" t="n">
        <f aca="false">SUMIF($B$9:$B$45,1,W$9:W$45)</f>
        <v>0</v>
      </c>
      <c r="X46" s="63" t="n">
        <f aca="false">SUMIF($B$9:$B$45,1,X$9:X$45)</f>
        <v>0</v>
      </c>
      <c r="Y46" s="63" t="n">
        <f aca="false">SUMIF($B$9:$B$45,1,Y$9:Y$45)</f>
        <v>0</v>
      </c>
      <c r="Z46" s="63" t="n">
        <f aca="false">SUMIF($B$9:$B$45,1,Z$9:Z$45)</f>
        <v>0</v>
      </c>
    </row>
    <row r="47" customFormat="false" ht="15" hidden="false" customHeight="false" outlineLevel="0" collapsed="false">
      <c r="A47" s="40" t="s">
        <v>232</v>
      </c>
      <c r="B47" s="40" t="n">
        <v>2</v>
      </c>
      <c r="C47" s="63" t="n">
        <f aca="false">SUMIF($B$9:$B$45,2,C$9:C$45)</f>
        <v>1203935.71</v>
      </c>
      <c r="D47" s="63" t="n">
        <f aca="false">SUMIF($B$9:$B$45,2,D$9:D$45)</f>
        <v>0</v>
      </c>
      <c r="E47" s="63" t="n">
        <f aca="false">SUMIF($B$9:$B$45,2,E$9:E$45)</f>
        <v>0</v>
      </c>
      <c r="F47" s="63" t="n">
        <f aca="false">SUMIF($B$9:$B$45,2,F$9:F$45)</f>
        <v>0</v>
      </c>
      <c r="G47" s="63" t="n">
        <f aca="false">SUMIF($B$9:$B$45,2,G$9:G$45)</f>
        <v>0</v>
      </c>
      <c r="H47" s="63" t="n">
        <f aca="false">SUMIF($B$9:$B$45,2,H$9:H$45)</f>
        <v>0</v>
      </c>
      <c r="I47" s="63" t="n">
        <f aca="false">SUMIF($B$9:$B$45,2,I$9:I$45)</f>
        <v>183989.285</v>
      </c>
      <c r="J47" s="63" t="n">
        <f aca="false">SUMIF($B$9:$B$45,2,J$9:J$45)</f>
        <v>183989.285</v>
      </c>
      <c r="K47" s="63" t="n">
        <f aca="false">SUMIF($B$9:$B$45,2,K$9:K$45)</f>
        <v>183989.285</v>
      </c>
      <c r="L47" s="63" t="n">
        <f aca="false">SUMIF($B$9:$B$45,2,L$9:L$45)</f>
        <v>183989.285</v>
      </c>
      <c r="M47" s="63" t="n">
        <f aca="false">SUMIF($B$9:$B$45,2,M$9:M$45)</f>
        <v>183989.285</v>
      </c>
      <c r="N47" s="63" t="n">
        <f aca="false">SUMIF($B$9:$B$45,2,N$9:N$45)</f>
        <v>283989.285</v>
      </c>
      <c r="O47" s="63" t="n">
        <f aca="false">SUMIF($B$9:$B$45,2,O$9:O$45)</f>
        <v>0</v>
      </c>
      <c r="P47" s="63" t="n">
        <f aca="false">SUMIF($B$9:$B$45,2,P$9:P$45)</f>
        <v>0</v>
      </c>
      <c r="Q47" s="63" t="n">
        <f aca="false">SUMIF($B$9:$B$45,2,Q$9:Q$45)</f>
        <v>0</v>
      </c>
      <c r="R47" s="63" t="n">
        <f aca="false">SUMIF($B$9:$B$45,2,R$9:R$45)</f>
        <v>0</v>
      </c>
      <c r="S47" s="63" t="n">
        <f aca="false">SUMIF($B$9:$B$45,2,S$9:S$45)</f>
        <v>0</v>
      </c>
      <c r="T47" s="63" t="n">
        <f aca="false">SUMIF($B$9:$B$45,2,T$9:T$45)</f>
        <v>0</v>
      </c>
      <c r="U47" s="63" t="n">
        <f aca="false">SUMIF($B$9:$B$45,2,U$9:U$45)</f>
        <v>0</v>
      </c>
      <c r="V47" s="63" t="n">
        <f aca="false">SUMIF($B$9:$B$45,2,V$9:V$45)</f>
        <v>0</v>
      </c>
      <c r="W47" s="63" t="n">
        <f aca="false">SUMIF($B$9:$B$45,2,W$9:W$45)</f>
        <v>0</v>
      </c>
      <c r="X47" s="63" t="n">
        <f aca="false">SUMIF($B$9:$B$45,2,X$9:X$45)</f>
        <v>0</v>
      </c>
      <c r="Y47" s="63" t="n">
        <f aca="false">SUMIF($B$9:$B$45,2,Y$9:Y$45)</f>
        <v>0</v>
      </c>
      <c r="Z47" s="63" t="n">
        <f aca="false">SUMIF($B$9:$B$45,2,Z$9:Z$45)</f>
        <v>0</v>
      </c>
    </row>
    <row r="48" customFormat="false" ht="15" hidden="false" customHeight="false" outlineLevel="0" collapsed="false">
      <c r="A48" s="40" t="s">
        <v>233</v>
      </c>
      <c r="B48" s="40" t="n">
        <v>3</v>
      </c>
      <c r="C48" s="63" t="n">
        <f aca="false">SUMIF($B$9:$B$45,3,C$9:C$45)</f>
        <v>1103935.71</v>
      </c>
      <c r="D48" s="63" t="n">
        <f aca="false">SUMIF($B$9:$B$45,3,D$9:D$45)</f>
        <v>0</v>
      </c>
      <c r="E48" s="63" t="n">
        <f aca="false">SUMIF($B$9:$B$45,3,E$9:E$45)</f>
        <v>0</v>
      </c>
      <c r="F48" s="63" t="n">
        <f aca="false">SUMIF($B$9:$B$45,3,F$9:F$45)</f>
        <v>0</v>
      </c>
      <c r="G48" s="63" t="n">
        <f aca="false">SUMIF($B$9:$B$45,3,G$9:G$45)</f>
        <v>0</v>
      </c>
      <c r="H48" s="63" t="n">
        <f aca="false">SUMIF($B$9:$B$45,3,H$9:H$45)</f>
        <v>0</v>
      </c>
      <c r="I48" s="63" t="n">
        <f aca="false">SUMIF($B$9:$B$45,3,I$9:I$45)</f>
        <v>0</v>
      </c>
      <c r="J48" s="63" t="n">
        <f aca="false">SUMIF($B$9:$B$45,3,J$9:J$45)</f>
        <v>0</v>
      </c>
      <c r="K48" s="63" t="n">
        <f aca="false">SUMIF($B$9:$B$45,3,K$9:K$45)</f>
        <v>0</v>
      </c>
      <c r="L48" s="63" t="n">
        <f aca="false">SUMIF($B$9:$B$45,3,L$9:L$45)</f>
        <v>0</v>
      </c>
      <c r="M48" s="63" t="n">
        <f aca="false">SUMIF($B$9:$B$45,3,M$9:M$45)</f>
        <v>0</v>
      </c>
      <c r="N48" s="63" t="n">
        <f aca="false">SUMIF($B$9:$B$45,3,N$9:N$45)</f>
        <v>0</v>
      </c>
      <c r="O48" s="63" t="n">
        <f aca="false">SUMIF($B$9:$B$45,3,O$9:O$45)</f>
        <v>183989.285</v>
      </c>
      <c r="P48" s="63" t="n">
        <f aca="false">SUMIF($B$9:$B$45,3,P$9:P$45)</f>
        <v>183989.285</v>
      </c>
      <c r="Q48" s="63" t="n">
        <f aca="false">SUMIF($B$9:$B$45,3,Q$9:Q$45)</f>
        <v>183989.285</v>
      </c>
      <c r="R48" s="63" t="n">
        <f aca="false">SUMIF($B$9:$B$45,3,R$9:R$45)</f>
        <v>183989.285</v>
      </c>
      <c r="S48" s="63" t="n">
        <f aca="false">SUMIF($B$9:$B$45,3,S$9:S$45)</f>
        <v>183989.285</v>
      </c>
      <c r="T48" s="63" t="n">
        <f aca="false">SUMIF($B$9:$B$45,3,T$9:T$45)</f>
        <v>183989.285</v>
      </c>
      <c r="U48" s="63" t="n">
        <f aca="false">SUMIF($B$9:$B$45,3,U$9:U$45)</f>
        <v>0</v>
      </c>
      <c r="V48" s="63" t="n">
        <f aca="false">SUMIF($B$9:$B$45,3,V$9:V$45)</f>
        <v>0</v>
      </c>
      <c r="W48" s="63" t="n">
        <f aca="false">SUMIF($B$9:$B$45,3,W$9:W$45)</f>
        <v>0</v>
      </c>
      <c r="X48" s="63" t="n">
        <f aca="false">SUMIF($B$9:$B$45,3,X$9:X$45)</f>
        <v>0</v>
      </c>
      <c r="Y48" s="63" t="n">
        <f aca="false">SUMIF($B$9:$B$45,3,Y$9:Y$45)</f>
        <v>0</v>
      </c>
      <c r="Z48" s="63" t="n">
        <f aca="false">SUMIF($B$9:$B$45,3,Z$9:Z$45)</f>
        <v>0</v>
      </c>
    </row>
    <row r="49" customFormat="false" ht="15" hidden="false" customHeight="false" outlineLevel="0" collapsed="false">
      <c r="A49" s="40" t="s">
        <v>234</v>
      </c>
      <c r="B49" s="40" t="n">
        <v>4</v>
      </c>
      <c r="C49" s="63" t="n">
        <f aca="false">SUMIF($B$9:$B$45,4,C$9:C$45)</f>
        <v>698237.14</v>
      </c>
      <c r="D49" s="63" t="n">
        <f aca="false">SUMIF($B$9:$B$45,4,D$9:D$45)</f>
        <v>0</v>
      </c>
      <c r="E49" s="63" t="n">
        <f aca="false">SUMIF($B$9:$B$45,4,E$9:E$45)</f>
        <v>0</v>
      </c>
      <c r="F49" s="63" t="n">
        <f aca="false">SUMIF($B$9:$B$45,4,F$9:F$45)</f>
        <v>0</v>
      </c>
      <c r="G49" s="63" t="n">
        <f aca="false">SUMIF($B$9:$B$45,4,G$9:G$45)</f>
        <v>0</v>
      </c>
      <c r="H49" s="63" t="n">
        <f aca="false">SUMIF($B$9:$B$45,4,H$9:H$45)</f>
        <v>0</v>
      </c>
      <c r="I49" s="63" t="n">
        <f aca="false">SUMIF($B$9:$B$45,4,I$9:I$45)</f>
        <v>0</v>
      </c>
      <c r="J49" s="63" t="n">
        <f aca="false">SUMIF($B$9:$B$45,4,J$9:J$45)</f>
        <v>0</v>
      </c>
      <c r="K49" s="63" t="n">
        <f aca="false">SUMIF($B$9:$B$45,4,K$9:K$45)</f>
        <v>0</v>
      </c>
      <c r="L49" s="63" t="n">
        <f aca="false">SUMIF($B$9:$B$45,4,L$9:L$45)</f>
        <v>0</v>
      </c>
      <c r="M49" s="63" t="n">
        <f aca="false">SUMIF($B$9:$B$45,4,M$9:M$45)</f>
        <v>0</v>
      </c>
      <c r="N49" s="63" t="n">
        <f aca="false">SUMIF($B$9:$B$45,4,N$9:N$45)</f>
        <v>0</v>
      </c>
      <c r="O49" s="63" t="n">
        <f aca="false">SUMIF($B$9:$B$45,4,O$9:O$45)</f>
        <v>0</v>
      </c>
      <c r="P49" s="63" t="n">
        <f aca="false">SUMIF($B$9:$B$45,4,P$9:P$45)</f>
        <v>0</v>
      </c>
      <c r="Q49" s="63" t="n">
        <f aca="false">SUMIF($B$9:$B$45,4,Q$9:Q$45)</f>
        <v>0</v>
      </c>
      <c r="R49" s="63" t="n">
        <f aca="false">SUMIF($B$9:$B$45,4,R$9:R$45)</f>
        <v>0</v>
      </c>
      <c r="S49" s="63" t="n">
        <f aca="false">SUMIF($B$9:$B$45,4,S$9:S$45)</f>
        <v>0</v>
      </c>
      <c r="T49" s="63" t="n">
        <f aca="false">SUMIF($B$9:$B$45,4,T$9:T$45)</f>
        <v>0</v>
      </c>
      <c r="U49" s="63" t="n">
        <f aca="false">SUMIF($B$9:$B$45,4,U$9:U$45)</f>
        <v>174559.285</v>
      </c>
      <c r="V49" s="63" t="n">
        <f aca="false">SUMIF($B$9:$B$45,4,V$9:V$45)</f>
        <v>174559.285</v>
      </c>
      <c r="W49" s="63" t="n">
        <f aca="false">SUMIF($B$9:$B$45,4,W$9:W$45)</f>
        <v>174559.285</v>
      </c>
      <c r="X49" s="63" t="n">
        <f aca="false">SUMIF($B$9:$B$45,4,X$9:X$45)</f>
        <v>174559.285</v>
      </c>
      <c r="Y49" s="63" t="n">
        <f aca="false">SUMIF($B$9:$B$45,4,Y$9:Y$45)</f>
        <v>0</v>
      </c>
      <c r="Z49" s="63" t="n">
        <f aca="false">SUMIF($B$9:$B$45,4,Z$9:Z$45)</f>
        <v>0</v>
      </c>
    </row>
    <row r="50" customFormat="false" ht="15" hidden="false" customHeight="false" outlineLevel="0" collapsed="false">
      <c r="A50" s="40" t="s">
        <v>60</v>
      </c>
      <c r="B50" s="40"/>
      <c r="C50" s="63" t="n">
        <f aca="false">SUM(C46:C49)</f>
        <v>3874492.49</v>
      </c>
      <c r="D50" s="63" t="n">
        <f aca="false">SUM(D46:D49)</f>
        <v>173676.786</v>
      </c>
      <c r="E50" s="63" t="n">
        <f aca="false">SUM(E46:E49)</f>
        <v>173676.786</v>
      </c>
      <c r="F50" s="63" t="n">
        <f aca="false">SUM(F46:F49)</f>
        <v>173676.786</v>
      </c>
      <c r="G50" s="63" t="n">
        <f aca="false">SUM(G46:G49)</f>
        <v>173676.786</v>
      </c>
      <c r="H50" s="63" t="n">
        <f aca="false">SUM(H46:H49)</f>
        <v>173676.786</v>
      </c>
      <c r="I50" s="63" t="n">
        <f aca="false">SUM(I46:I49)</f>
        <v>183989.285</v>
      </c>
      <c r="J50" s="63" t="n">
        <f aca="false">SUM(J46:J49)</f>
        <v>183989.285</v>
      </c>
      <c r="K50" s="63" t="n">
        <f aca="false">SUM(K46:K49)</f>
        <v>183989.285</v>
      </c>
      <c r="L50" s="63" t="n">
        <f aca="false">SUM(L46:L49)</f>
        <v>183989.285</v>
      </c>
      <c r="M50" s="63" t="n">
        <f aca="false">SUM(M46:M49)</f>
        <v>183989.285</v>
      </c>
      <c r="N50" s="63" t="n">
        <f aca="false">SUM(N46:N49)</f>
        <v>283989.285</v>
      </c>
      <c r="O50" s="63" t="n">
        <f aca="false">SUM(O46:O49)</f>
        <v>183989.285</v>
      </c>
      <c r="P50" s="63" t="n">
        <f aca="false">SUM(P46:P49)</f>
        <v>183989.285</v>
      </c>
      <c r="Q50" s="63" t="n">
        <f aca="false">SUM(Q46:Q49)</f>
        <v>183989.285</v>
      </c>
      <c r="R50" s="63" t="n">
        <f aca="false">SUM(R46:R49)</f>
        <v>183989.285</v>
      </c>
      <c r="S50" s="63" t="n">
        <f aca="false">SUM(S46:S49)</f>
        <v>183989.285</v>
      </c>
      <c r="T50" s="63" t="n">
        <f aca="false">SUM(T46:T49)</f>
        <v>183989.285</v>
      </c>
      <c r="U50" s="63" t="n">
        <f aca="false">SUM(U46:U49)</f>
        <v>174559.285</v>
      </c>
      <c r="V50" s="63" t="n">
        <f aca="false">SUM(V46:V49)</f>
        <v>174559.285</v>
      </c>
      <c r="W50" s="63" t="n">
        <f aca="false">SUM(W46:W49)</f>
        <v>174559.285</v>
      </c>
      <c r="X50" s="63" t="n">
        <f aca="false">SUM(X46:X49)</f>
        <v>174559.285</v>
      </c>
      <c r="Y50" s="63" t="n">
        <f aca="false">SUM(Y46:Y49)</f>
        <v>0</v>
      </c>
      <c r="Z50" s="63" t="n">
        <f aca="false">SUM(Z46:Z49)</f>
        <v>0</v>
      </c>
    </row>
    <row r="51" customFormat="false" ht="15" hidden="false" customHeight="false" outlineLevel="0" collapsed="false">
      <c r="A51" s="40" t="s">
        <v>235</v>
      </c>
      <c r="B51" s="40"/>
      <c r="C51" s="63" t="n">
        <f aca="false">0.25*C50</f>
        <v>968623.1225</v>
      </c>
      <c r="D51" s="63" t="n">
        <f aca="false">0.25*D50</f>
        <v>43419.1965</v>
      </c>
      <c r="E51" s="63" t="n">
        <f aca="false">0.25*E50</f>
        <v>43419.1965</v>
      </c>
      <c r="F51" s="63" t="n">
        <f aca="false">0.25*F50</f>
        <v>43419.1965</v>
      </c>
      <c r="G51" s="63" t="n">
        <f aca="false">0.25*G50</f>
        <v>43419.1965</v>
      </c>
      <c r="H51" s="63" t="n">
        <f aca="false">0.25*H50</f>
        <v>43419.1965</v>
      </c>
      <c r="I51" s="63" t="n">
        <f aca="false">0.25*I50</f>
        <v>45997.32125</v>
      </c>
      <c r="J51" s="63" t="n">
        <f aca="false">0.25*J50</f>
        <v>45997.32125</v>
      </c>
      <c r="K51" s="63" t="n">
        <f aca="false">0.25*K50</f>
        <v>45997.32125</v>
      </c>
      <c r="L51" s="63" t="n">
        <f aca="false">0.25*L50</f>
        <v>45997.32125</v>
      </c>
      <c r="M51" s="63" t="n">
        <f aca="false">0.25*M50</f>
        <v>45997.32125</v>
      </c>
      <c r="N51" s="63" t="n">
        <f aca="false">0.25*N50</f>
        <v>70997.32125</v>
      </c>
      <c r="O51" s="63" t="n">
        <f aca="false">0.25*O50</f>
        <v>45997.32125</v>
      </c>
      <c r="P51" s="63" t="n">
        <f aca="false">0.25*P50</f>
        <v>45997.32125</v>
      </c>
      <c r="Q51" s="63" t="n">
        <f aca="false">0.25*Q50</f>
        <v>45997.32125</v>
      </c>
      <c r="R51" s="63" t="n">
        <f aca="false">0.25*R50</f>
        <v>45997.32125</v>
      </c>
      <c r="S51" s="63" t="n">
        <f aca="false">0.25*S50</f>
        <v>45997.32125</v>
      </c>
      <c r="T51" s="63" t="n">
        <f aca="false">0.25*T50</f>
        <v>45997.32125</v>
      </c>
      <c r="U51" s="63" t="n">
        <f aca="false">0.25*U50</f>
        <v>43639.82125</v>
      </c>
      <c r="V51" s="63" t="n">
        <f aca="false">0.25*V50</f>
        <v>43639.82125</v>
      </c>
      <c r="W51" s="63" t="n">
        <f aca="false">0.25*W50</f>
        <v>43639.82125</v>
      </c>
      <c r="X51" s="63" t="n">
        <f aca="false">0.25*X50</f>
        <v>43639.82125</v>
      </c>
      <c r="Y51" s="63" t="n">
        <f aca="false">0.25*Y50</f>
        <v>0</v>
      </c>
      <c r="Z51" s="63" t="n">
        <f aca="false">0.25*Z50</f>
        <v>0</v>
      </c>
    </row>
    <row r="52" customFormat="false" ht="15" hidden="false" customHeight="false" outlineLevel="0" collapsed="false">
      <c r="A52" s="40" t="s">
        <v>236</v>
      </c>
      <c r="B52" s="40"/>
      <c r="C52" s="63" t="n">
        <f aca="false">C50+C51</f>
        <v>4843115.6125</v>
      </c>
      <c r="D52" s="63" t="n">
        <f aca="false">D50+D51</f>
        <v>217095.9825</v>
      </c>
      <c r="E52" s="63" t="n">
        <f aca="false">E50+E51</f>
        <v>217095.9825</v>
      </c>
      <c r="F52" s="63" t="n">
        <f aca="false">F50+F51</f>
        <v>217095.9825</v>
      </c>
      <c r="G52" s="63" t="n">
        <f aca="false">G50+G51</f>
        <v>217095.9825</v>
      </c>
      <c r="H52" s="63" t="n">
        <f aca="false">H50+H51</f>
        <v>217095.9825</v>
      </c>
      <c r="I52" s="63" t="n">
        <f aca="false">I50+I51</f>
        <v>229986.60625</v>
      </c>
      <c r="J52" s="63" t="n">
        <f aca="false">J50+J51</f>
        <v>229986.60625</v>
      </c>
      <c r="K52" s="63" t="n">
        <f aca="false">K50+K51</f>
        <v>229986.60625</v>
      </c>
      <c r="L52" s="63" t="n">
        <f aca="false">L50+L51</f>
        <v>229986.60625</v>
      </c>
      <c r="M52" s="63" t="n">
        <f aca="false">M50+M51</f>
        <v>229986.60625</v>
      </c>
      <c r="N52" s="63" t="n">
        <f aca="false">N50+N51</f>
        <v>354986.60625</v>
      </c>
      <c r="O52" s="63" t="n">
        <f aca="false">O50+O51</f>
        <v>229986.60625</v>
      </c>
      <c r="P52" s="63" t="n">
        <f aca="false">P50+P51</f>
        <v>229986.60625</v>
      </c>
      <c r="Q52" s="63" t="n">
        <f aca="false">Q50+Q51</f>
        <v>229986.60625</v>
      </c>
      <c r="R52" s="63" t="n">
        <f aca="false">R50+R51</f>
        <v>229986.60625</v>
      </c>
      <c r="S52" s="63" t="n">
        <f aca="false">S50+S51</f>
        <v>229986.60625</v>
      </c>
      <c r="T52" s="63" t="n">
        <f aca="false">T50+T51</f>
        <v>229986.60625</v>
      </c>
      <c r="U52" s="63" t="n">
        <f aca="false">U50+U51</f>
        <v>218199.10625</v>
      </c>
      <c r="V52" s="63" t="n">
        <f aca="false">V50+V51</f>
        <v>218199.10625</v>
      </c>
      <c r="W52" s="63" t="n">
        <f aca="false">W50+W51</f>
        <v>218199.10625</v>
      </c>
      <c r="X52" s="63" t="n">
        <f aca="false">X50+X51</f>
        <v>218199.10625</v>
      </c>
      <c r="Y52" s="63" t="n">
        <f aca="false">Y50+Y51</f>
        <v>0</v>
      </c>
      <c r="Z52" s="63" t="n">
        <f aca="false">Z50+Z51</f>
        <v>0</v>
      </c>
    </row>
    <row r="53" customFormat="false" ht="15" hidden="false" customHeight="false" outlineLevel="0" collapsed="false">
      <c r="A53" s="40" t="s">
        <v>237</v>
      </c>
      <c r="B53" s="40"/>
      <c r="C53" s="63"/>
      <c r="D53" s="63" t="n">
        <f aca="false">D52</f>
        <v>217095.9825</v>
      </c>
      <c r="E53" s="63" t="n">
        <f aca="false">D53+E52</f>
        <v>434191.965</v>
      </c>
      <c r="F53" s="63" t="n">
        <f aca="false">E53+F52</f>
        <v>651287.9475</v>
      </c>
      <c r="G53" s="63" t="n">
        <f aca="false">F53+G52</f>
        <v>868383.93</v>
      </c>
      <c r="H53" s="63" t="n">
        <f aca="false">G53+H52</f>
        <v>1085479.9125</v>
      </c>
      <c r="I53" s="63" t="n">
        <f aca="false">H53+I52</f>
        <v>1315466.51875</v>
      </c>
      <c r="J53" s="63" t="n">
        <f aca="false">I53+J52</f>
        <v>1545453.125</v>
      </c>
      <c r="K53" s="63" t="n">
        <f aca="false">J53+K52</f>
        <v>1775439.73125</v>
      </c>
      <c r="L53" s="63" t="n">
        <f aca="false">K53+L52</f>
        <v>2005426.3375</v>
      </c>
      <c r="M53" s="63" t="n">
        <f aca="false">L53+M52</f>
        <v>2235412.94375</v>
      </c>
      <c r="N53" s="63" t="n">
        <f aca="false">M53+N52</f>
        <v>2590399.55</v>
      </c>
      <c r="O53" s="63" t="n">
        <f aca="false">N53+O52</f>
        <v>2820386.15625</v>
      </c>
      <c r="P53" s="63" t="n">
        <f aca="false">O53+P52</f>
        <v>3050372.7625</v>
      </c>
      <c r="Q53" s="63" t="n">
        <f aca="false">P53+Q52</f>
        <v>3280359.36875</v>
      </c>
      <c r="R53" s="63" t="n">
        <f aca="false">Q53+R52</f>
        <v>3510345.975</v>
      </c>
      <c r="S53" s="63" t="n">
        <f aca="false">R53+S52</f>
        <v>3740332.58125</v>
      </c>
      <c r="T53" s="63" t="n">
        <f aca="false">S53+T52</f>
        <v>3970319.1875</v>
      </c>
      <c r="U53" s="63" t="n">
        <f aca="false">T53+U52</f>
        <v>4188518.29375</v>
      </c>
      <c r="V53" s="63" t="n">
        <f aca="false">U53+V52</f>
        <v>4406717.4</v>
      </c>
      <c r="W53" s="63" t="n">
        <f aca="false">V53+W52</f>
        <v>4624916.50625</v>
      </c>
      <c r="X53" s="63" t="n">
        <f aca="false">W53+X52</f>
        <v>4843115.6125</v>
      </c>
      <c r="Y53" s="63" t="n">
        <f aca="false">X53+Y52</f>
        <v>4843115.6125</v>
      </c>
      <c r="Z53" s="63" t="n">
        <f aca="false">Y53+Z52</f>
        <v>4843115.6125</v>
      </c>
    </row>
    <row r="54" customFormat="false" ht="15" hidden="false" customHeight="false" outlineLevel="0" collapsed="false">
      <c r="A54" s="41"/>
      <c r="B54" s="41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 customFormat="false" ht="15" hidden="false" customHeight="false" outlineLevel="0" collapsed="false">
      <c r="A55" s="64" t="s">
        <v>238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customFormat="false" ht="15" hidden="false" customHeight="false" outlineLevel="0" collapsed="false">
      <c r="A56" s="41" t="s">
        <v>14</v>
      </c>
      <c r="B56" s="41" t="n">
        <v>1</v>
      </c>
      <c r="C56" s="49" t="n">
        <f aca="false">SUM(D56:Z56)</f>
        <v>277000</v>
      </c>
      <c r="D56" s="49" t="n">
        <f aca="false">IF('plan etatów'!$AA$78=0,0,'nowy format 2'!$C$4*'plan etatów'!D78/'plan etatów'!$AA$78)</f>
        <v>55400</v>
      </c>
      <c r="E56" s="49" t="n">
        <f aca="false">IF('plan etatów'!$AA$78=0,0,'nowy format 2'!$C$4*'plan etatów'!E78/'plan etatów'!$AA$78)</f>
        <v>55400</v>
      </c>
      <c r="F56" s="49" t="n">
        <f aca="false">IF('plan etatów'!$AA$78=0,0,'nowy format 2'!$C$4*'plan etatów'!F78/'plan etatów'!$AA$78)</f>
        <v>55400</v>
      </c>
      <c r="G56" s="49" t="n">
        <f aca="false">IF('plan etatów'!$AA$78=0,0,'nowy format 2'!$C$4*'plan etatów'!G78/'plan etatów'!$AA$78)</f>
        <v>55400</v>
      </c>
      <c r="H56" s="49" t="n">
        <f aca="false">IF('plan etatów'!$AA$78=0,0,'nowy format 2'!$C$4*'plan etatów'!H78/'plan etatów'!$AA$78)</f>
        <v>55400</v>
      </c>
      <c r="I56" s="49" t="n">
        <f aca="false">IF('plan etatów'!$AA$78=0,0,'nowy format 2'!$C$4*'plan etatów'!I78/'plan etatów'!$AA$78)</f>
        <v>0</v>
      </c>
      <c r="J56" s="49" t="n">
        <f aca="false">IF('plan etatów'!$AA$78=0,0,'nowy format 2'!$C$4*'plan etatów'!J78/'plan etatów'!$AA$78)</f>
        <v>0</v>
      </c>
      <c r="K56" s="49" t="n">
        <f aca="false">IF('plan etatów'!$AA$78=0,0,'nowy format 2'!$C$4*'plan etatów'!K78/'plan etatów'!$AA$78)</f>
        <v>0</v>
      </c>
      <c r="L56" s="49" t="n">
        <f aca="false">IF('plan etatów'!$AA$78=0,0,'nowy format 2'!$C$4*'plan etatów'!L78/'plan etatów'!$AA$78)</f>
        <v>0</v>
      </c>
      <c r="M56" s="49" t="n">
        <f aca="false">IF('plan etatów'!$AA$78=0,0,'nowy format 2'!$C$4*'plan etatów'!M78/'plan etatów'!$AA$78)</f>
        <v>0</v>
      </c>
      <c r="N56" s="49" t="n">
        <f aca="false">IF('plan etatów'!$AA$78=0,0,'nowy format 2'!$C$4*'plan etatów'!N78/'plan etatów'!$AA$78)</f>
        <v>0</v>
      </c>
      <c r="O56" s="49" t="n">
        <f aca="false">IF('plan etatów'!$AA$78=0,0,'nowy format 2'!$C$4*'plan etatów'!O78/'plan etatów'!$AA$78)</f>
        <v>0</v>
      </c>
      <c r="P56" s="49" t="n">
        <f aca="false">IF('plan etatów'!$AA$78=0,0,'nowy format 2'!$C$4*'plan etatów'!P78/'plan etatów'!$AA$78)</f>
        <v>0</v>
      </c>
      <c r="Q56" s="49" t="n">
        <f aca="false">IF('plan etatów'!$AA$78=0,0,'nowy format 2'!$C$4*'plan etatów'!Q78/'plan etatów'!$AA$78)</f>
        <v>0</v>
      </c>
      <c r="R56" s="49" t="n">
        <f aca="false">IF('plan etatów'!$AA$78=0,0,'nowy format 2'!$C$4*'plan etatów'!R78/'plan etatów'!$AA$78)</f>
        <v>0</v>
      </c>
      <c r="S56" s="49" t="n">
        <f aca="false">IF('plan etatów'!$AA$78=0,0,'nowy format 2'!$C$4*'plan etatów'!S78/'plan etatów'!$AA$78)</f>
        <v>0</v>
      </c>
      <c r="T56" s="49" t="n">
        <f aca="false">IF('plan etatów'!$AA$78=0,0,'nowy format 2'!$C$4*'plan etatów'!T78/'plan etatów'!$AA$78)</f>
        <v>0</v>
      </c>
      <c r="U56" s="49" t="n">
        <f aca="false">IF('plan etatów'!$AA$78=0,0,'nowy format 2'!$C$4*'plan etatów'!U78/'plan etatów'!$AA$78)</f>
        <v>0</v>
      </c>
      <c r="V56" s="49" t="n">
        <f aca="false">IF('plan etatów'!$AA$78=0,0,'nowy format 2'!$C$4*'plan etatów'!V78/'plan etatów'!$AA$78)</f>
        <v>0</v>
      </c>
      <c r="W56" s="49" t="n">
        <f aca="false">IF('plan etatów'!$AA$78=0,0,'nowy format 2'!$C$4*'plan etatów'!W78/'plan etatów'!$AA$78)</f>
        <v>0</v>
      </c>
      <c r="X56" s="49" t="n">
        <f aca="false">IF('plan etatów'!$AA$78=0,0,'nowy format 2'!$C$4*'plan etatów'!X78/'plan etatów'!$AA$78)</f>
        <v>0</v>
      </c>
      <c r="Y56" s="49" t="n">
        <f aca="false">IF('plan etatów'!$AA$78=0,0,'nowy format 2'!$C$4*'plan etatów'!Y78/'plan etatów'!$AA$78)</f>
        <v>0</v>
      </c>
      <c r="Z56" s="49" t="n">
        <f aca="false">IF('plan etatów'!$AA$78=0,0,'nowy format 2'!$C$4*'plan etatów'!Z78/'plan etatów'!$AA$78)</f>
        <v>0</v>
      </c>
    </row>
    <row r="57" customFormat="false" ht="15" hidden="false" customHeight="false" outlineLevel="0" collapsed="false">
      <c r="A57" s="41" t="s">
        <v>15</v>
      </c>
      <c r="B57" s="41" t="n">
        <v>1</v>
      </c>
      <c r="C57" s="49" t="n">
        <f aca="false">SUM(D57:Z57)</f>
        <v>94300</v>
      </c>
      <c r="D57" s="49" t="n">
        <f aca="false">IF('plan etatów'!$AA$79=0,0,'nowy format 2'!$C$5*'plan etatów'!D79/'plan etatów'!$AA$79)</f>
        <v>18860</v>
      </c>
      <c r="E57" s="49" t="n">
        <f aca="false">IF('plan etatów'!$AA$79=0,0,'nowy format 2'!$C$5*'plan etatów'!E79/'plan etatów'!$AA$79)</f>
        <v>18860</v>
      </c>
      <c r="F57" s="49" t="n">
        <f aca="false">IF('plan etatów'!$AA$79=0,0,'nowy format 2'!$C$5*'plan etatów'!F79/'plan etatów'!$AA$79)</f>
        <v>18860</v>
      </c>
      <c r="G57" s="49" t="n">
        <f aca="false">IF('plan etatów'!$AA$79=0,0,'nowy format 2'!$C$5*'plan etatów'!G79/'plan etatów'!$AA$79)</f>
        <v>18860</v>
      </c>
      <c r="H57" s="49" t="n">
        <f aca="false">IF('plan etatów'!$AA$79=0,0,'nowy format 2'!$C$5*'plan etatów'!H79/'plan etatów'!$AA$79)</f>
        <v>18860</v>
      </c>
      <c r="I57" s="49" t="n">
        <f aca="false">IF('plan etatów'!$AA$79=0,0,'nowy format 2'!$C$5*'plan etatów'!I79/'plan etatów'!$AA$79)</f>
        <v>0</v>
      </c>
      <c r="J57" s="49" t="n">
        <f aca="false">IF('plan etatów'!$AA$79=0,0,'nowy format 2'!$C$5*'plan etatów'!J79/'plan etatów'!$AA$79)</f>
        <v>0</v>
      </c>
      <c r="K57" s="49" t="n">
        <f aca="false">IF('plan etatów'!$AA$79=0,0,'nowy format 2'!$C$5*'plan etatów'!K79/'plan etatów'!$AA$79)</f>
        <v>0</v>
      </c>
      <c r="L57" s="49" t="n">
        <f aca="false">IF('plan etatów'!$AA$79=0,0,'nowy format 2'!$C$5*'plan etatów'!L79/'plan etatów'!$AA$79)</f>
        <v>0</v>
      </c>
      <c r="M57" s="49" t="n">
        <f aca="false">IF('plan etatów'!$AA$79=0,0,'nowy format 2'!$C$5*'plan etatów'!M79/'plan etatów'!$AA$79)</f>
        <v>0</v>
      </c>
      <c r="N57" s="49" t="n">
        <f aca="false">IF('plan etatów'!$AA$79=0,0,'nowy format 2'!$C$5*'plan etatów'!N79/'plan etatów'!$AA$79)</f>
        <v>0</v>
      </c>
      <c r="O57" s="49" t="n">
        <f aca="false">IF('plan etatów'!$AA$79=0,0,'nowy format 2'!$C$5*'plan etatów'!O79/'plan etatów'!$AA$79)</f>
        <v>0</v>
      </c>
      <c r="P57" s="49" t="n">
        <f aca="false">IF('plan etatów'!$AA$79=0,0,'nowy format 2'!$C$5*'plan etatów'!P79/'plan etatów'!$AA$79)</f>
        <v>0</v>
      </c>
      <c r="Q57" s="49" t="n">
        <f aca="false">IF('plan etatów'!$AA$79=0,0,'nowy format 2'!$C$5*'plan etatów'!Q79/'plan etatów'!$AA$79)</f>
        <v>0</v>
      </c>
      <c r="R57" s="49" t="n">
        <f aca="false">IF('plan etatów'!$AA$79=0,0,'nowy format 2'!$C$5*'plan etatów'!R79/'plan etatów'!$AA$79)</f>
        <v>0</v>
      </c>
      <c r="S57" s="49" t="n">
        <f aca="false">IF('plan etatów'!$AA$79=0,0,'nowy format 2'!$C$5*'plan etatów'!S79/'plan etatów'!$AA$79)</f>
        <v>0</v>
      </c>
      <c r="T57" s="49" t="n">
        <f aca="false">IF('plan etatów'!$AA$79=0,0,'nowy format 2'!$C$5*'plan etatów'!T79/'plan etatów'!$AA$79)</f>
        <v>0</v>
      </c>
      <c r="U57" s="49" t="n">
        <f aca="false">IF('plan etatów'!$AA$79=0,0,'nowy format 2'!$C$5*'plan etatów'!U79/'plan etatów'!$AA$79)</f>
        <v>0</v>
      </c>
      <c r="V57" s="49" t="n">
        <f aca="false">IF('plan etatów'!$AA$79=0,0,'nowy format 2'!$C$5*'plan etatów'!V79/'plan etatów'!$AA$79)</f>
        <v>0</v>
      </c>
      <c r="W57" s="49" t="n">
        <f aca="false">IF('plan etatów'!$AA$79=0,0,'nowy format 2'!$C$5*'plan etatów'!W79/'plan etatów'!$AA$79)</f>
        <v>0</v>
      </c>
      <c r="X57" s="49" t="n">
        <f aca="false">IF('plan etatów'!$AA$79=0,0,'nowy format 2'!$C$5*'plan etatów'!X79/'plan etatów'!$AA$79)</f>
        <v>0</v>
      </c>
      <c r="Y57" s="49" t="n">
        <f aca="false">IF('plan etatów'!$AA$79=0,0,'nowy format 2'!$C$5*'plan etatów'!Y79/'plan etatów'!$AA$79)</f>
        <v>0</v>
      </c>
      <c r="Z57" s="49" t="n">
        <f aca="false">IF('plan etatów'!$AA$79=0,0,'nowy format 2'!$C$5*'plan etatów'!Z79/'plan etatów'!$AA$79)</f>
        <v>0</v>
      </c>
    </row>
    <row r="58" customFormat="false" ht="15" hidden="false" customHeight="false" outlineLevel="0" collapsed="false">
      <c r="A58" s="41" t="s">
        <v>16</v>
      </c>
      <c r="B58" s="41" t="n">
        <v>1</v>
      </c>
      <c r="C58" s="49" t="n">
        <f aca="false">SUM(D58:Z58)</f>
        <v>121994.98</v>
      </c>
      <c r="D58" s="49" t="n">
        <f aca="false">IF('plan etatów'!$AA$80=0,0,'nowy format 2'!$C$6*'plan etatów'!D80/'plan etatów'!$AA$80)</f>
        <v>27109.9955555556</v>
      </c>
      <c r="E58" s="49" t="n">
        <f aca="false">IF('plan etatów'!$AA$80=0,0,'nowy format 2'!$C$6*'plan etatów'!E80/'plan etatów'!$AA$80)</f>
        <v>27109.9955555556</v>
      </c>
      <c r="F58" s="49" t="n">
        <f aca="false">IF('plan etatów'!$AA$80=0,0,'nowy format 2'!$C$6*'plan etatów'!F80/'plan etatów'!$AA$80)</f>
        <v>27109.9955555556</v>
      </c>
      <c r="G58" s="49" t="n">
        <f aca="false">IF('plan etatów'!$AA$80=0,0,'nowy format 2'!$C$6*'plan etatów'!G80/'plan etatów'!$AA$80)</f>
        <v>20332.4966666667</v>
      </c>
      <c r="H58" s="49" t="n">
        <f aca="false">IF('plan etatów'!$AA$80=0,0,'nowy format 2'!$C$6*'plan etatów'!H80/'plan etatów'!$AA$80)</f>
        <v>20332.4966666667</v>
      </c>
      <c r="I58" s="49" t="n">
        <f aca="false">IF('plan etatów'!$AA$80=0,0,'nowy format 2'!$C$6*'plan etatów'!I80/'plan etatów'!$AA$80)</f>
        <v>0</v>
      </c>
      <c r="J58" s="49" t="n">
        <f aca="false">IF('plan etatów'!$AA$80=0,0,'nowy format 2'!$C$6*'plan etatów'!J80/'plan etatów'!$AA$80)</f>
        <v>0</v>
      </c>
      <c r="K58" s="49" t="n">
        <f aca="false">IF('plan etatów'!$AA$80=0,0,'nowy format 2'!$C$6*'plan etatów'!K80/'plan etatów'!$AA$80)</f>
        <v>0</v>
      </c>
      <c r="L58" s="49" t="n">
        <f aca="false">IF('plan etatów'!$AA$80=0,0,'nowy format 2'!$C$6*'plan etatów'!L80/'plan etatów'!$AA$80)</f>
        <v>0</v>
      </c>
      <c r="M58" s="49" t="n">
        <f aca="false">IF('plan etatów'!$AA$80=0,0,'nowy format 2'!$C$6*'plan etatów'!M80/'plan etatów'!$AA$80)</f>
        <v>0</v>
      </c>
      <c r="N58" s="49" t="n">
        <f aca="false">IF('plan etatów'!$AA$80=0,0,'nowy format 2'!$C$6*'plan etatów'!N80/'plan etatów'!$AA$80)</f>
        <v>0</v>
      </c>
      <c r="O58" s="49" t="n">
        <f aca="false">IF('plan etatów'!$AA$80=0,0,'nowy format 2'!$C$6*'plan etatów'!O80/'plan etatów'!$AA$80)</f>
        <v>0</v>
      </c>
      <c r="P58" s="49" t="n">
        <f aca="false">IF('plan etatów'!$AA$80=0,0,'nowy format 2'!$C$6*'plan etatów'!P80/'plan etatów'!$AA$80)</f>
        <v>0</v>
      </c>
      <c r="Q58" s="49" t="n">
        <f aca="false">IF('plan etatów'!$AA$80=0,0,'nowy format 2'!$C$6*'plan etatów'!Q80/'plan etatów'!$AA$80)</f>
        <v>0</v>
      </c>
      <c r="R58" s="49" t="n">
        <f aca="false">IF('plan etatów'!$AA$80=0,0,'nowy format 2'!$C$6*'plan etatów'!R80/'plan etatów'!$AA$80)</f>
        <v>0</v>
      </c>
      <c r="S58" s="49" t="n">
        <f aca="false">IF('plan etatów'!$AA$80=0,0,'nowy format 2'!$C$6*'plan etatów'!S80/'plan etatów'!$AA$80)</f>
        <v>0</v>
      </c>
      <c r="T58" s="49" t="n">
        <f aca="false">IF('plan etatów'!$AA$80=0,0,'nowy format 2'!$C$6*'plan etatów'!T80/'plan etatów'!$AA$80)</f>
        <v>0</v>
      </c>
      <c r="U58" s="49" t="n">
        <f aca="false">IF('plan etatów'!$AA$80=0,0,'nowy format 2'!$C$6*'plan etatów'!U80/'plan etatów'!$AA$80)</f>
        <v>0</v>
      </c>
      <c r="V58" s="49" t="n">
        <f aca="false">IF('plan etatów'!$AA$80=0,0,'nowy format 2'!$C$6*'plan etatów'!V80/'plan etatów'!$AA$80)</f>
        <v>0</v>
      </c>
      <c r="W58" s="49" t="n">
        <f aca="false">IF('plan etatów'!$AA$80=0,0,'nowy format 2'!$C$6*'plan etatów'!W80/'plan etatów'!$AA$80)</f>
        <v>0</v>
      </c>
      <c r="X58" s="49" t="n">
        <f aca="false">IF('plan etatów'!$AA$80=0,0,'nowy format 2'!$C$6*'plan etatów'!X80/'plan etatów'!$AA$80)</f>
        <v>0</v>
      </c>
      <c r="Y58" s="49" t="n">
        <f aca="false">IF('plan etatów'!$AA$80=0,0,'nowy format 2'!$C$6*'plan etatów'!Y80/'plan etatów'!$AA$80)</f>
        <v>0</v>
      </c>
      <c r="Z58" s="49" t="n">
        <f aca="false">IF('plan etatów'!$AA$80=0,0,'nowy format 2'!$C$6*'plan etatów'!Z80/'plan etatów'!$AA$80)</f>
        <v>0</v>
      </c>
    </row>
    <row r="59" customFormat="false" ht="15" hidden="false" customHeight="false" outlineLevel="0" collapsed="false">
      <c r="A59" s="41" t="s">
        <v>17</v>
      </c>
      <c r="B59" s="41" t="n">
        <v>1</v>
      </c>
      <c r="C59" s="49" t="n">
        <f aca="false">SUM(D59:Z59)</f>
        <v>50828.54</v>
      </c>
      <c r="D59" s="49" t="n">
        <f aca="false">IF('plan etatów'!$AA$81=0,0,'nowy format 2'!$C$7*'plan etatów'!D81/'plan etatów'!$AA$81)</f>
        <v>10165.708</v>
      </c>
      <c r="E59" s="49" t="n">
        <f aca="false">IF('plan etatów'!$AA$81=0,0,'nowy format 2'!$C$7*'plan etatów'!E81/'plan etatów'!$AA$81)</f>
        <v>10165.708</v>
      </c>
      <c r="F59" s="49" t="n">
        <f aca="false">IF('plan etatów'!$AA$81=0,0,'nowy format 2'!$C$7*'plan etatów'!F81/'plan etatów'!$AA$81)</f>
        <v>10165.708</v>
      </c>
      <c r="G59" s="49" t="n">
        <f aca="false">IF('plan etatów'!$AA$81=0,0,'nowy format 2'!$C$7*'plan etatów'!G81/'plan etatów'!$AA$81)</f>
        <v>10165.708</v>
      </c>
      <c r="H59" s="49" t="n">
        <f aca="false">IF('plan etatów'!$AA$81=0,0,'nowy format 2'!$C$7*'plan etatów'!H81/'plan etatów'!$AA$81)</f>
        <v>10165.708</v>
      </c>
      <c r="I59" s="49" t="n">
        <f aca="false">IF('plan etatów'!$AA$81=0,0,'nowy format 2'!$C$7*'plan etatów'!I81/'plan etatów'!$AA$81)</f>
        <v>0</v>
      </c>
      <c r="J59" s="49" t="n">
        <f aca="false">IF('plan etatów'!$AA$81=0,0,'nowy format 2'!$C$7*'plan etatów'!J81/'plan etatów'!$AA$81)</f>
        <v>0</v>
      </c>
      <c r="K59" s="49" t="n">
        <f aca="false">IF('plan etatów'!$AA$81=0,0,'nowy format 2'!$C$7*'plan etatów'!K81/'plan etatów'!$AA$81)</f>
        <v>0</v>
      </c>
      <c r="L59" s="49" t="n">
        <f aca="false">IF('plan etatów'!$AA$81=0,0,'nowy format 2'!$C$7*'plan etatów'!L81/'plan etatów'!$AA$81)</f>
        <v>0</v>
      </c>
      <c r="M59" s="49" t="n">
        <f aca="false">IF('plan etatów'!$AA$81=0,0,'nowy format 2'!$C$7*'plan etatów'!M81/'plan etatów'!$AA$81)</f>
        <v>0</v>
      </c>
      <c r="N59" s="49" t="n">
        <f aca="false">IF('plan etatów'!$AA$81=0,0,'nowy format 2'!$C$7*'plan etatów'!N81/'plan etatów'!$AA$81)</f>
        <v>0</v>
      </c>
      <c r="O59" s="49" t="n">
        <f aca="false">IF('plan etatów'!$AA$81=0,0,'nowy format 2'!$C$7*'plan etatów'!O81/'plan etatów'!$AA$81)</f>
        <v>0</v>
      </c>
      <c r="P59" s="49" t="n">
        <f aca="false">IF('plan etatów'!$AA$81=0,0,'nowy format 2'!$C$7*'plan etatów'!P81/'plan etatów'!$AA$81)</f>
        <v>0</v>
      </c>
      <c r="Q59" s="49" t="n">
        <f aca="false">IF('plan etatów'!$AA$81=0,0,'nowy format 2'!$C$7*'plan etatów'!Q81/'plan etatów'!$AA$81)</f>
        <v>0</v>
      </c>
      <c r="R59" s="49" t="n">
        <f aca="false">IF('plan etatów'!$AA$81=0,0,'nowy format 2'!$C$7*'plan etatów'!R81/'plan etatów'!$AA$81)</f>
        <v>0</v>
      </c>
      <c r="S59" s="49" t="n">
        <f aca="false">IF('plan etatów'!$AA$81=0,0,'nowy format 2'!$C$7*'plan etatów'!S81/'plan etatów'!$AA$81)</f>
        <v>0</v>
      </c>
      <c r="T59" s="49" t="n">
        <f aca="false">IF('plan etatów'!$AA$81=0,0,'nowy format 2'!$C$7*'plan etatów'!T81/'plan etatów'!$AA$81)</f>
        <v>0</v>
      </c>
      <c r="U59" s="49" t="n">
        <f aca="false">IF('plan etatów'!$AA$81=0,0,'nowy format 2'!$C$7*'plan etatów'!U81/'plan etatów'!$AA$81)</f>
        <v>0</v>
      </c>
      <c r="V59" s="49" t="n">
        <f aca="false">IF('plan etatów'!$AA$81=0,0,'nowy format 2'!$C$7*'plan etatów'!V81/'plan etatów'!$AA$81)</f>
        <v>0</v>
      </c>
      <c r="W59" s="49" t="n">
        <f aca="false">IF('plan etatów'!$AA$81=0,0,'nowy format 2'!$C$7*'plan etatów'!W81/'plan etatów'!$AA$81)</f>
        <v>0</v>
      </c>
      <c r="X59" s="49" t="n">
        <f aca="false">IF('plan etatów'!$AA$81=0,0,'nowy format 2'!$C$7*'plan etatów'!X81/'plan etatów'!$AA$81)</f>
        <v>0</v>
      </c>
      <c r="Y59" s="49" t="n">
        <f aca="false">IF('plan etatów'!$AA$81=0,0,'nowy format 2'!$C$7*'plan etatów'!Y81/'plan etatów'!$AA$81)</f>
        <v>0</v>
      </c>
      <c r="Z59" s="49" t="n">
        <f aca="false">IF('plan etatów'!$AA$81=0,0,'nowy format 2'!$C$7*'plan etatów'!Z81/'plan etatów'!$AA$81)</f>
        <v>0</v>
      </c>
    </row>
    <row r="60" customFormat="false" ht="15" hidden="false" customHeight="false" outlineLevel="0" collapsed="false">
      <c r="A60" s="41" t="s">
        <v>18</v>
      </c>
      <c r="B60" s="41" t="n">
        <v>1</v>
      </c>
      <c r="C60" s="49" t="n">
        <f aca="false">SUM(D60:Z60)</f>
        <v>34550.27</v>
      </c>
      <c r="D60" s="49" t="n">
        <f aca="false">IF('plan etatów'!$AA$82=0,0,'nowy format 2'!$C$8*'plan etatów'!D82/'plan etatów'!$AA$82)</f>
        <v>6910.054</v>
      </c>
      <c r="E60" s="49" t="n">
        <f aca="false">IF('plan etatów'!$AA$82=0,0,'nowy format 2'!$C$8*'plan etatów'!E82/'plan etatów'!$AA$82)</f>
        <v>6910.054</v>
      </c>
      <c r="F60" s="49" t="n">
        <f aca="false">IF('plan etatów'!$AA$82=0,0,'nowy format 2'!$C$8*'plan etatów'!F82/'plan etatów'!$AA$82)</f>
        <v>6910.054</v>
      </c>
      <c r="G60" s="49" t="n">
        <f aca="false">IF('plan etatów'!$AA$82=0,0,'nowy format 2'!$C$8*'plan etatów'!G82/'plan etatów'!$AA$82)</f>
        <v>6910.054</v>
      </c>
      <c r="H60" s="49" t="n">
        <f aca="false">IF('plan etatów'!$AA$82=0,0,'nowy format 2'!$C$8*'plan etatów'!H82/'plan etatów'!$AA$82)</f>
        <v>6910.054</v>
      </c>
      <c r="I60" s="49" t="n">
        <f aca="false">IF('plan etatów'!$AA$82=0,0,'nowy format 2'!$C$8*'plan etatów'!I82/'plan etatów'!$AA$82)</f>
        <v>0</v>
      </c>
      <c r="J60" s="49" t="n">
        <f aca="false">IF('plan etatów'!$AA$82=0,0,'nowy format 2'!$C$8*'plan etatów'!J82/'plan etatów'!$AA$82)</f>
        <v>0</v>
      </c>
      <c r="K60" s="49" t="n">
        <f aca="false">IF('plan etatów'!$AA$82=0,0,'nowy format 2'!$C$8*'plan etatów'!K82/'plan etatów'!$AA$82)</f>
        <v>0</v>
      </c>
      <c r="L60" s="49" t="n">
        <f aca="false">IF('plan etatów'!$AA$82=0,0,'nowy format 2'!$C$8*'plan etatów'!L82/'plan etatów'!$AA$82)</f>
        <v>0</v>
      </c>
      <c r="M60" s="49" t="n">
        <f aca="false">IF('plan etatów'!$AA$82=0,0,'nowy format 2'!$C$8*'plan etatów'!M82/'plan etatów'!$AA$82)</f>
        <v>0</v>
      </c>
      <c r="N60" s="49" t="n">
        <f aca="false">IF('plan etatów'!$AA$82=0,0,'nowy format 2'!$C$8*'plan etatów'!N82/'plan etatów'!$AA$82)</f>
        <v>0</v>
      </c>
      <c r="O60" s="49" t="n">
        <f aca="false">IF('plan etatów'!$AA$82=0,0,'nowy format 2'!$C$8*'plan etatów'!O82/'plan etatów'!$AA$82)</f>
        <v>0</v>
      </c>
      <c r="P60" s="49" t="n">
        <f aca="false">IF('plan etatów'!$AA$82=0,0,'nowy format 2'!$C$8*'plan etatów'!P82/'plan etatów'!$AA$82)</f>
        <v>0</v>
      </c>
      <c r="Q60" s="49" t="n">
        <f aca="false">IF('plan etatów'!$AA$82=0,0,'nowy format 2'!$C$8*'plan etatów'!Q82/'plan etatów'!$AA$82)</f>
        <v>0</v>
      </c>
      <c r="R60" s="49" t="n">
        <f aca="false">IF('plan etatów'!$AA$82=0,0,'nowy format 2'!$C$8*'plan etatów'!R82/'plan etatów'!$AA$82)</f>
        <v>0</v>
      </c>
      <c r="S60" s="49" t="n">
        <f aca="false">IF('plan etatów'!$AA$82=0,0,'nowy format 2'!$C$8*'plan etatów'!S82/'plan etatów'!$AA$82)</f>
        <v>0</v>
      </c>
      <c r="T60" s="49" t="n">
        <f aca="false">IF('plan etatów'!$AA$82=0,0,'nowy format 2'!$C$8*'plan etatów'!T82/'plan etatów'!$AA$82)</f>
        <v>0</v>
      </c>
      <c r="U60" s="49" t="n">
        <f aca="false">IF('plan etatów'!$AA$82=0,0,'nowy format 2'!$C$8*'plan etatów'!U82/'plan etatów'!$AA$82)</f>
        <v>0</v>
      </c>
      <c r="V60" s="49" t="n">
        <f aca="false">IF('plan etatów'!$AA$82=0,0,'nowy format 2'!$C$8*'plan etatów'!V82/'plan etatów'!$AA$82)</f>
        <v>0</v>
      </c>
      <c r="W60" s="49" t="n">
        <f aca="false">IF('plan etatów'!$AA$82=0,0,'nowy format 2'!$C$8*'plan etatów'!W82/'plan etatów'!$AA$82)</f>
        <v>0</v>
      </c>
      <c r="X60" s="49" t="n">
        <f aca="false">IF('plan etatów'!$AA$82=0,0,'nowy format 2'!$C$8*'plan etatów'!X82/'plan etatów'!$AA$82)</f>
        <v>0</v>
      </c>
      <c r="Y60" s="49" t="n">
        <f aca="false">IF('plan etatów'!$AA$82=0,0,'nowy format 2'!$C$8*'plan etatów'!Y82/'plan etatów'!$AA$82)</f>
        <v>0</v>
      </c>
      <c r="Z60" s="49" t="n">
        <f aca="false">IF('plan etatów'!$AA$82=0,0,'nowy format 2'!$C$8*'plan etatów'!Z82/'plan etatów'!$AA$82)</f>
        <v>0</v>
      </c>
    </row>
    <row r="61" customFormat="false" ht="15" hidden="false" customHeight="false" outlineLevel="0" collapsed="false">
      <c r="A61" s="41" t="s">
        <v>19</v>
      </c>
      <c r="B61" s="41" t="n">
        <v>1</v>
      </c>
      <c r="C61" s="49" t="n">
        <f aca="false">SUM(D61:Z61)</f>
        <v>24600</v>
      </c>
      <c r="D61" s="49" t="n">
        <f aca="false">IF('plan etatów'!$AA$83=0,0,'nowy format 2'!$C$9*'plan etatów'!D83/'plan etatów'!$AA$83)</f>
        <v>4920</v>
      </c>
      <c r="E61" s="49" t="n">
        <f aca="false">IF('plan etatów'!$AA$83=0,0,'nowy format 2'!$C$9*'plan etatów'!E83/'plan etatów'!$AA$83)</f>
        <v>4920</v>
      </c>
      <c r="F61" s="49" t="n">
        <f aca="false">IF('plan etatów'!$AA$83=0,0,'nowy format 2'!$C$9*'plan etatów'!F83/'plan etatów'!$AA$83)</f>
        <v>4920</v>
      </c>
      <c r="G61" s="49" t="n">
        <f aca="false">IF('plan etatów'!$AA$83=0,0,'nowy format 2'!$C$9*'plan etatów'!G83/'plan etatów'!$AA$83)</f>
        <v>4920</v>
      </c>
      <c r="H61" s="49" t="n">
        <f aca="false">IF('plan etatów'!$AA$83=0,0,'nowy format 2'!$C$9*'plan etatów'!H83/'plan etatów'!$AA$83)</f>
        <v>4920</v>
      </c>
      <c r="I61" s="49" t="n">
        <f aca="false">IF('plan etatów'!$AA$83=0,0,'nowy format 2'!$C$9*'plan etatów'!I83/'plan etatów'!$AA$83)</f>
        <v>0</v>
      </c>
      <c r="J61" s="49" t="n">
        <f aca="false">IF('plan etatów'!$AA$83=0,0,'nowy format 2'!$C$9*'plan etatów'!J83/'plan etatów'!$AA$83)</f>
        <v>0</v>
      </c>
      <c r="K61" s="49" t="n">
        <f aca="false">IF('plan etatów'!$AA$83=0,0,'nowy format 2'!$C$9*'plan etatów'!K83/'plan etatów'!$AA$83)</f>
        <v>0</v>
      </c>
      <c r="L61" s="49" t="n">
        <f aca="false">IF('plan etatów'!$AA$83=0,0,'nowy format 2'!$C$9*'plan etatów'!L83/'plan etatów'!$AA$83)</f>
        <v>0</v>
      </c>
      <c r="M61" s="49" t="n">
        <f aca="false">IF('plan etatów'!$AA$83=0,0,'nowy format 2'!$C$9*'plan etatów'!M83/'plan etatów'!$AA$83)</f>
        <v>0</v>
      </c>
      <c r="N61" s="49" t="n">
        <f aca="false">IF('plan etatów'!$AA$83=0,0,'nowy format 2'!$C$9*'plan etatów'!N83/'plan etatów'!$AA$83)</f>
        <v>0</v>
      </c>
      <c r="O61" s="49" t="n">
        <f aca="false">IF('plan etatów'!$AA$83=0,0,'nowy format 2'!$C$9*'plan etatów'!O83/'plan etatów'!$AA$83)</f>
        <v>0</v>
      </c>
      <c r="P61" s="49" t="n">
        <f aca="false">IF('plan etatów'!$AA$83=0,0,'nowy format 2'!$C$9*'plan etatów'!P83/'plan etatów'!$AA$83)</f>
        <v>0</v>
      </c>
      <c r="Q61" s="49" t="n">
        <f aca="false">IF('plan etatów'!$AA$83=0,0,'nowy format 2'!$C$9*'plan etatów'!Q83/'plan etatów'!$AA$83)</f>
        <v>0</v>
      </c>
      <c r="R61" s="49" t="n">
        <f aca="false">IF('plan etatów'!$AA$83=0,0,'nowy format 2'!$C$9*'plan etatów'!R83/'plan etatów'!$AA$83)</f>
        <v>0</v>
      </c>
      <c r="S61" s="49" t="n">
        <f aca="false">IF('plan etatów'!$AA$83=0,0,'nowy format 2'!$C$9*'plan etatów'!S83/'plan etatów'!$AA$83)</f>
        <v>0</v>
      </c>
      <c r="T61" s="49" t="n">
        <f aca="false">IF('plan etatów'!$AA$83=0,0,'nowy format 2'!$C$9*'plan etatów'!T83/'plan etatów'!$AA$83)</f>
        <v>0</v>
      </c>
      <c r="U61" s="49" t="n">
        <f aca="false">IF('plan etatów'!$AA$83=0,0,'nowy format 2'!$C$9*'plan etatów'!U83/'plan etatów'!$AA$83)</f>
        <v>0</v>
      </c>
      <c r="V61" s="49" t="n">
        <f aca="false">IF('plan etatów'!$AA$83=0,0,'nowy format 2'!$C$9*'plan etatów'!V83/'plan etatów'!$AA$83)</f>
        <v>0</v>
      </c>
      <c r="W61" s="49" t="n">
        <f aca="false">IF('plan etatów'!$AA$83=0,0,'nowy format 2'!$C$9*'plan etatów'!W83/'plan etatów'!$AA$83)</f>
        <v>0</v>
      </c>
      <c r="X61" s="49" t="n">
        <f aca="false">IF('plan etatów'!$AA$83=0,0,'nowy format 2'!$C$9*'plan etatów'!X83/'plan etatów'!$AA$83)</f>
        <v>0</v>
      </c>
      <c r="Y61" s="49" t="n">
        <f aca="false">IF('plan etatów'!$AA$83=0,0,'nowy format 2'!$C$9*'plan etatów'!Y83/'plan etatów'!$AA$83)</f>
        <v>0</v>
      </c>
      <c r="Z61" s="49" t="n">
        <f aca="false">IF('plan etatów'!$AA$83=0,0,'nowy format 2'!$C$9*'plan etatów'!Z83/'plan etatów'!$AA$83)</f>
        <v>0</v>
      </c>
    </row>
    <row r="62" customFormat="false" ht="15" hidden="false" customHeight="false" outlineLevel="0" collapsed="false">
      <c r="A62" s="41" t="s">
        <v>20</v>
      </c>
      <c r="B62" s="41" t="n">
        <v>1</v>
      </c>
      <c r="C62" s="49" t="n">
        <f aca="false">SUM(D62:Z62)</f>
        <v>103125</v>
      </c>
      <c r="D62" s="49" t="n">
        <f aca="false">IF('plan etatów'!$AA$84=0,0,'nowy format 2'!$C$10*'plan etatów'!D84/'plan etatów'!$AA$84)</f>
        <v>20625</v>
      </c>
      <c r="E62" s="49" t="n">
        <f aca="false">IF('plan etatów'!$AA$84=0,0,'nowy format 2'!$C$10*'plan etatów'!E84/'plan etatów'!$AA$84)</f>
        <v>20625</v>
      </c>
      <c r="F62" s="49" t="n">
        <f aca="false">IF('plan etatów'!$AA$84=0,0,'nowy format 2'!$C$10*'plan etatów'!F84/'plan etatów'!$AA$84)</f>
        <v>20625</v>
      </c>
      <c r="G62" s="49" t="n">
        <f aca="false">IF('plan etatów'!$AA$84=0,0,'nowy format 2'!$C$10*'plan etatów'!G84/'plan etatów'!$AA$84)</f>
        <v>20625</v>
      </c>
      <c r="H62" s="49" t="n">
        <f aca="false">IF('plan etatów'!$AA$84=0,0,'nowy format 2'!$C$10*'plan etatów'!H84/'plan etatów'!$AA$84)</f>
        <v>20625</v>
      </c>
      <c r="I62" s="49" t="n">
        <f aca="false">IF('plan etatów'!$AA$84=0,0,'nowy format 2'!$C$10*'plan etatów'!I84/'plan etatów'!$AA$84)</f>
        <v>0</v>
      </c>
      <c r="J62" s="49" t="n">
        <f aca="false">IF('plan etatów'!$AA$84=0,0,'nowy format 2'!$C$10*'plan etatów'!J84/'plan etatów'!$AA$84)</f>
        <v>0</v>
      </c>
      <c r="K62" s="49" t="n">
        <f aca="false">IF('plan etatów'!$AA$84=0,0,'nowy format 2'!$C$10*'plan etatów'!K84/'plan etatów'!$AA$84)</f>
        <v>0</v>
      </c>
      <c r="L62" s="49" t="n">
        <f aca="false">IF('plan etatów'!$AA$84=0,0,'nowy format 2'!$C$10*'plan etatów'!L84/'plan etatów'!$AA$84)</f>
        <v>0</v>
      </c>
      <c r="M62" s="49" t="n">
        <f aca="false">IF('plan etatów'!$AA$84=0,0,'nowy format 2'!$C$10*'plan etatów'!M84/'plan etatów'!$AA$84)</f>
        <v>0</v>
      </c>
      <c r="N62" s="49" t="n">
        <f aca="false">IF('plan etatów'!$AA$84=0,0,'nowy format 2'!$C$10*'plan etatów'!N84/'plan etatów'!$AA$84)</f>
        <v>0</v>
      </c>
      <c r="O62" s="49" t="n">
        <f aca="false">IF('plan etatów'!$AA$84=0,0,'nowy format 2'!$C$10*'plan etatów'!O84/'plan etatów'!$AA$84)</f>
        <v>0</v>
      </c>
      <c r="P62" s="49" t="n">
        <f aca="false">IF('plan etatów'!$AA$84=0,0,'nowy format 2'!$C$10*'plan etatów'!P84/'plan etatów'!$AA$84)</f>
        <v>0</v>
      </c>
      <c r="Q62" s="49" t="n">
        <f aca="false">IF('plan etatów'!$AA$84=0,0,'nowy format 2'!$C$10*'plan etatów'!Q84/'plan etatów'!$AA$84)</f>
        <v>0</v>
      </c>
      <c r="R62" s="49" t="n">
        <f aca="false">IF('plan etatów'!$AA$84=0,0,'nowy format 2'!$C$10*'plan etatów'!R84/'plan etatów'!$AA$84)</f>
        <v>0</v>
      </c>
      <c r="S62" s="49" t="n">
        <f aca="false">IF('plan etatów'!$AA$84=0,0,'nowy format 2'!$C$10*'plan etatów'!S84/'plan etatów'!$AA$84)</f>
        <v>0</v>
      </c>
      <c r="T62" s="49" t="n">
        <f aca="false">IF('plan etatów'!$AA$84=0,0,'nowy format 2'!$C$10*'plan etatów'!T84/'plan etatów'!$AA$84)</f>
        <v>0</v>
      </c>
      <c r="U62" s="49" t="n">
        <f aca="false">IF('plan etatów'!$AA$84=0,0,'nowy format 2'!$C$10*'plan etatów'!U84/'plan etatów'!$AA$84)</f>
        <v>0</v>
      </c>
      <c r="V62" s="49" t="n">
        <f aca="false">IF('plan etatów'!$AA$84=0,0,'nowy format 2'!$C$10*'plan etatów'!V84/'plan etatów'!$AA$84)</f>
        <v>0</v>
      </c>
      <c r="W62" s="49" t="n">
        <f aca="false">IF('plan etatów'!$AA$84=0,0,'nowy format 2'!$C$10*'plan etatów'!W84/'plan etatów'!$AA$84)</f>
        <v>0</v>
      </c>
      <c r="X62" s="49" t="n">
        <f aca="false">IF('plan etatów'!$AA$84=0,0,'nowy format 2'!$C$10*'plan etatów'!X84/'plan etatów'!$AA$84)</f>
        <v>0</v>
      </c>
      <c r="Y62" s="49" t="n">
        <f aca="false">IF('plan etatów'!$AA$84=0,0,'nowy format 2'!$C$10*'plan etatów'!Y84/'plan etatów'!$AA$84)</f>
        <v>0</v>
      </c>
      <c r="Z62" s="49" t="n">
        <f aca="false">IF('plan etatów'!$AA$84=0,0,'nowy format 2'!$C$10*'plan etatów'!Z84/'plan etatów'!$AA$84)</f>
        <v>0</v>
      </c>
    </row>
    <row r="63" customFormat="false" ht="15" hidden="false" customHeight="false" outlineLevel="0" collapsed="false">
      <c r="A63" s="41" t="s">
        <v>21</v>
      </c>
      <c r="B63" s="41" t="n">
        <v>1</v>
      </c>
      <c r="C63" s="49" t="n">
        <f aca="false">SUM(D63:Z63)</f>
        <v>2276.08</v>
      </c>
      <c r="D63" s="49" t="n">
        <f aca="false">IF('plan etatów'!$AA$85=0,0,'nowy format 2'!$C$11*'plan etatów'!D85/'plan etatów'!$AA$85)</f>
        <v>455.216</v>
      </c>
      <c r="E63" s="49" t="n">
        <f aca="false">IF('plan etatów'!$AA$85=0,0,'nowy format 2'!$C$11*'plan etatów'!E85/'plan etatów'!$AA$85)</f>
        <v>455.216</v>
      </c>
      <c r="F63" s="49" t="n">
        <f aca="false">IF('plan etatów'!$AA$85=0,0,'nowy format 2'!$C$11*'plan etatów'!F85/'plan etatów'!$AA$85)</f>
        <v>455.216</v>
      </c>
      <c r="G63" s="49" t="n">
        <f aca="false">IF('plan etatów'!$AA$85=0,0,'nowy format 2'!$C$11*'plan etatów'!G85/'plan etatów'!$AA$85)</f>
        <v>455.216</v>
      </c>
      <c r="H63" s="49" t="n">
        <f aca="false">IF('plan etatów'!$AA$85=0,0,'nowy format 2'!$C$11*'plan etatów'!H85/'plan etatów'!$AA$85)</f>
        <v>455.216</v>
      </c>
      <c r="I63" s="49" t="n">
        <f aca="false">IF('plan etatów'!$AA$85=0,0,'nowy format 2'!$C$11*'plan etatów'!I85/'plan etatów'!$AA$85)</f>
        <v>0</v>
      </c>
      <c r="J63" s="49" t="n">
        <f aca="false">IF('plan etatów'!$AA$85=0,0,'nowy format 2'!$C$11*'plan etatów'!J85/'plan etatów'!$AA$85)</f>
        <v>0</v>
      </c>
      <c r="K63" s="49" t="n">
        <f aca="false">IF('plan etatów'!$AA$85=0,0,'nowy format 2'!$C$11*'plan etatów'!K85/'plan etatów'!$AA$85)</f>
        <v>0</v>
      </c>
      <c r="L63" s="49" t="n">
        <f aca="false">IF('plan etatów'!$AA$85=0,0,'nowy format 2'!$C$11*'plan etatów'!L85/'plan etatów'!$AA$85)</f>
        <v>0</v>
      </c>
      <c r="M63" s="49" t="n">
        <f aca="false">IF('plan etatów'!$AA$85=0,0,'nowy format 2'!$C$11*'plan etatów'!M85/'plan etatów'!$AA$85)</f>
        <v>0</v>
      </c>
      <c r="N63" s="49" t="n">
        <f aca="false">IF('plan etatów'!$AA$85=0,0,'nowy format 2'!$C$11*'plan etatów'!N85/'plan etatów'!$AA$85)</f>
        <v>0</v>
      </c>
      <c r="O63" s="49" t="n">
        <f aca="false">IF('plan etatów'!$AA$85=0,0,'nowy format 2'!$C$11*'plan etatów'!O85/'plan etatów'!$AA$85)</f>
        <v>0</v>
      </c>
      <c r="P63" s="49" t="n">
        <f aca="false">IF('plan etatów'!$AA$85=0,0,'nowy format 2'!$C$11*'plan etatów'!P85/'plan etatów'!$AA$85)</f>
        <v>0</v>
      </c>
      <c r="Q63" s="49" t="n">
        <f aca="false">IF('plan etatów'!$AA$85=0,0,'nowy format 2'!$C$11*'plan etatów'!Q85/'plan etatów'!$AA$85)</f>
        <v>0</v>
      </c>
      <c r="R63" s="49" t="n">
        <f aca="false">IF('plan etatów'!$AA$85=0,0,'nowy format 2'!$C$11*'plan etatów'!R85/'plan etatów'!$AA$85)</f>
        <v>0</v>
      </c>
      <c r="S63" s="49" t="n">
        <f aca="false">IF('plan etatów'!$AA$85=0,0,'nowy format 2'!$C$11*'plan etatów'!S85/'plan etatów'!$AA$85)</f>
        <v>0</v>
      </c>
      <c r="T63" s="49" t="n">
        <f aca="false">IF('plan etatów'!$AA$85=0,0,'nowy format 2'!$C$11*'plan etatów'!T85/'plan etatów'!$AA$85)</f>
        <v>0</v>
      </c>
      <c r="U63" s="49" t="n">
        <f aca="false">IF('plan etatów'!$AA$85=0,0,'nowy format 2'!$C$11*'plan etatów'!U85/'plan etatów'!$AA$85)</f>
        <v>0</v>
      </c>
      <c r="V63" s="49" t="n">
        <f aca="false">IF('plan etatów'!$AA$85=0,0,'nowy format 2'!$C$11*'plan etatów'!V85/'plan etatów'!$AA$85)</f>
        <v>0</v>
      </c>
      <c r="W63" s="49" t="n">
        <f aca="false">IF('plan etatów'!$AA$85=0,0,'nowy format 2'!$C$11*'plan etatów'!W85/'plan etatów'!$AA$85)</f>
        <v>0</v>
      </c>
      <c r="X63" s="49" t="n">
        <f aca="false">IF('plan etatów'!$AA$85=0,0,'nowy format 2'!$C$11*'plan etatów'!X85/'plan etatów'!$AA$85)</f>
        <v>0</v>
      </c>
      <c r="Y63" s="49" t="n">
        <f aca="false">IF('plan etatów'!$AA$85=0,0,'nowy format 2'!$C$11*'plan etatów'!Y85/'plan etatów'!$AA$85)</f>
        <v>0</v>
      </c>
      <c r="Z63" s="49" t="n">
        <f aca="false">IF('plan etatów'!$AA$85=0,0,'nowy format 2'!$C$11*'plan etatów'!Z85/'plan etatów'!$AA$85)</f>
        <v>0</v>
      </c>
    </row>
    <row r="64" customFormat="false" ht="15" hidden="false" customHeight="false" outlineLevel="0" collapsed="false">
      <c r="A64" s="41" t="s">
        <v>22</v>
      </c>
      <c r="B64" s="41" t="n">
        <v>1</v>
      </c>
      <c r="C64" s="49" t="n">
        <f aca="false">SUM(D64:Z64)</f>
        <v>98750</v>
      </c>
      <c r="D64" s="49" t="n">
        <f aca="false">IF('plan etatów'!$AA$86=0,0,'nowy format 2'!$C$12*'plan etatów'!D86/'plan etatów'!$AA$86)</f>
        <v>19750</v>
      </c>
      <c r="E64" s="49" t="n">
        <f aca="false">IF('plan etatów'!$AA$86=0,0,'nowy format 2'!$C$12*'plan etatów'!E86/'plan etatów'!$AA$86)</f>
        <v>19750</v>
      </c>
      <c r="F64" s="49" t="n">
        <f aca="false">IF('plan etatów'!$AA$86=0,0,'nowy format 2'!$C$12*'plan etatów'!F86/'plan etatów'!$AA$86)</f>
        <v>19750</v>
      </c>
      <c r="G64" s="49" t="n">
        <f aca="false">IF('plan etatów'!$AA$86=0,0,'nowy format 2'!$C$12*'plan etatów'!G86/'plan etatów'!$AA$86)</f>
        <v>19750</v>
      </c>
      <c r="H64" s="49" t="n">
        <f aca="false">IF('plan etatów'!$AA$86=0,0,'nowy format 2'!$C$12*'plan etatów'!H86/'plan etatów'!$AA$86)</f>
        <v>19750</v>
      </c>
      <c r="I64" s="49" t="n">
        <f aca="false">IF('plan etatów'!$AA$86=0,0,'nowy format 2'!$C$12*'plan etatów'!I86/'plan etatów'!$AA$86)</f>
        <v>0</v>
      </c>
      <c r="J64" s="49" t="n">
        <f aca="false">IF('plan etatów'!$AA$86=0,0,'nowy format 2'!$C$12*'plan etatów'!J86/'plan etatów'!$AA$86)</f>
        <v>0</v>
      </c>
      <c r="K64" s="49" t="n">
        <f aca="false">IF('plan etatów'!$AA$86=0,0,'nowy format 2'!$C$12*'plan etatów'!K86/'plan etatów'!$AA$86)</f>
        <v>0</v>
      </c>
      <c r="L64" s="49" t="n">
        <f aca="false">IF('plan etatów'!$AA$86=0,0,'nowy format 2'!$C$12*'plan etatów'!L86/'plan etatów'!$AA$86)</f>
        <v>0</v>
      </c>
      <c r="M64" s="49" t="n">
        <f aca="false">IF('plan etatów'!$AA$86=0,0,'nowy format 2'!$C$12*'plan etatów'!M86/'plan etatów'!$AA$86)</f>
        <v>0</v>
      </c>
      <c r="N64" s="49" t="n">
        <f aca="false">IF('plan etatów'!$AA$86=0,0,'nowy format 2'!$C$12*'plan etatów'!N86/'plan etatów'!$AA$86)</f>
        <v>0</v>
      </c>
      <c r="O64" s="49" t="n">
        <f aca="false">IF('plan etatów'!$AA$86=0,0,'nowy format 2'!$C$12*'plan etatów'!O86/'plan etatów'!$AA$86)</f>
        <v>0</v>
      </c>
      <c r="P64" s="49" t="n">
        <f aca="false">IF('plan etatów'!$AA$86=0,0,'nowy format 2'!$C$12*'plan etatów'!P86/'plan etatów'!$AA$86)</f>
        <v>0</v>
      </c>
      <c r="Q64" s="49" t="n">
        <f aca="false">IF('plan etatów'!$AA$86=0,0,'nowy format 2'!$C$12*'plan etatów'!Q86/'plan etatów'!$AA$86)</f>
        <v>0</v>
      </c>
      <c r="R64" s="49" t="n">
        <f aca="false">IF('plan etatów'!$AA$86=0,0,'nowy format 2'!$C$12*'plan etatów'!R86/'plan etatów'!$AA$86)</f>
        <v>0</v>
      </c>
      <c r="S64" s="49" t="n">
        <f aca="false">IF('plan etatów'!$AA$86=0,0,'nowy format 2'!$C$12*'plan etatów'!S86/'plan etatów'!$AA$86)</f>
        <v>0</v>
      </c>
      <c r="T64" s="49" t="n">
        <f aca="false">IF('plan etatów'!$AA$86=0,0,'nowy format 2'!$C$12*'plan etatów'!T86/'plan etatów'!$AA$86)</f>
        <v>0</v>
      </c>
      <c r="U64" s="49" t="n">
        <f aca="false">IF('plan etatów'!$AA$86=0,0,'nowy format 2'!$C$12*'plan etatów'!U86/'plan etatów'!$AA$86)</f>
        <v>0</v>
      </c>
      <c r="V64" s="49" t="n">
        <f aca="false">IF('plan etatów'!$AA$86=0,0,'nowy format 2'!$C$12*'plan etatów'!V86/'plan etatów'!$AA$86)</f>
        <v>0</v>
      </c>
      <c r="W64" s="49" t="n">
        <f aca="false">IF('plan etatów'!$AA$86=0,0,'nowy format 2'!$C$12*'plan etatów'!W86/'plan etatów'!$AA$86)</f>
        <v>0</v>
      </c>
      <c r="X64" s="49" t="n">
        <f aca="false">IF('plan etatów'!$AA$86=0,0,'nowy format 2'!$C$12*'plan etatów'!X86/'plan etatów'!$AA$86)</f>
        <v>0</v>
      </c>
      <c r="Y64" s="49" t="n">
        <f aca="false">IF('plan etatów'!$AA$86=0,0,'nowy format 2'!$C$12*'plan etatów'!Y86/'plan etatów'!$AA$86)</f>
        <v>0</v>
      </c>
      <c r="Z64" s="49" t="n">
        <f aca="false">IF('plan etatów'!$AA$86=0,0,'nowy format 2'!$C$12*'plan etatów'!Z86/'plan etatów'!$AA$86)</f>
        <v>0</v>
      </c>
    </row>
    <row r="65" customFormat="false" ht="15" hidden="false" customHeight="false" outlineLevel="0" collapsed="false">
      <c r="A65" s="41" t="s">
        <v>24</v>
      </c>
      <c r="B65" s="41" t="n">
        <v>2</v>
      </c>
      <c r="C65" s="49" t="n">
        <f aca="false">SUM(D65:Z65)</f>
        <v>332400</v>
      </c>
      <c r="D65" s="49" t="n">
        <f aca="false">IF('plan etatów'!$AA$87=0,0,'nowy format 2'!$C$14*'plan etatów'!D87/'plan etatów'!$AA$87)</f>
        <v>0</v>
      </c>
      <c r="E65" s="49" t="n">
        <f aca="false">IF('plan etatów'!$AA$87=0,0,'nowy format 2'!$C$14*'plan etatów'!E87/'plan etatów'!$AA$87)</f>
        <v>0</v>
      </c>
      <c r="F65" s="49" t="n">
        <f aca="false">IF('plan etatów'!$AA$87=0,0,'nowy format 2'!$C$14*'plan etatów'!F87/'plan etatów'!$AA$87)</f>
        <v>0</v>
      </c>
      <c r="G65" s="49" t="n">
        <f aca="false">IF('plan etatów'!$AA$87=0,0,'nowy format 2'!$C$14*'plan etatów'!G87/'plan etatów'!$AA$87)</f>
        <v>0</v>
      </c>
      <c r="H65" s="49" t="n">
        <f aca="false">IF('plan etatów'!$AA$87=0,0,'nowy format 2'!$C$14*'plan etatów'!H87/'plan etatów'!$AA$87)</f>
        <v>0</v>
      </c>
      <c r="I65" s="49" t="n">
        <f aca="false">IF('plan etatów'!$AA$87=0,0,'nowy format 2'!$C$14*'plan etatów'!I87/'plan etatów'!$AA$87)</f>
        <v>55400</v>
      </c>
      <c r="J65" s="49" t="n">
        <f aca="false">IF('plan etatów'!$AA$87=0,0,'nowy format 2'!$C$14*'plan etatów'!J87/'plan etatów'!$AA$87)</f>
        <v>55400</v>
      </c>
      <c r="K65" s="49" t="n">
        <f aca="false">IF('plan etatów'!$AA$87=0,0,'nowy format 2'!$C$14*'plan etatów'!K87/'plan etatów'!$AA$87)</f>
        <v>55400</v>
      </c>
      <c r="L65" s="49" t="n">
        <f aca="false">IF('plan etatów'!$AA$87=0,0,'nowy format 2'!$C$14*'plan etatów'!L87/'plan etatów'!$AA$87)</f>
        <v>55400</v>
      </c>
      <c r="M65" s="49" t="n">
        <f aca="false">IF('plan etatów'!$AA$87=0,0,'nowy format 2'!$C$14*'plan etatów'!M87/'plan etatów'!$AA$87)</f>
        <v>55400</v>
      </c>
      <c r="N65" s="49" t="n">
        <f aca="false">IF('plan etatów'!$AA$87=0,0,'nowy format 2'!$C$14*'plan etatów'!N87/'plan etatów'!$AA$87)</f>
        <v>55400</v>
      </c>
      <c r="O65" s="49" t="n">
        <f aca="false">IF('plan etatów'!$AA$87=0,0,'nowy format 2'!$C$14*'plan etatów'!O87/'plan etatów'!$AA$87)</f>
        <v>0</v>
      </c>
      <c r="P65" s="49" t="n">
        <f aca="false">IF('plan etatów'!$AA$87=0,0,'nowy format 2'!$C$14*'plan etatów'!P87/'plan etatów'!$AA$87)</f>
        <v>0</v>
      </c>
      <c r="Q65" s="49" t="n">
        <f aca="false">IF('plan etatów'!$AA$87=0,0,'nowy format 2'!$C$14*'plan etatów'!Q87/'plan etatów'!$AA$87)</f>
        <v>0</v>
      </c>
      <c r="R65" s="49" t="n">
        <f aca="false">IF('plan etatów'!$AA$87=0,0,'nowy format 2'!$C$14*'plan etatów'!R87/'plan etatów'!$AA$87)</f>
        <v>0</v>
      </c>
      <c r="S65" s="49" t="n">
        <f aca="false">IF('plan etatów'!$AA$87=0,0,'nowy format 2'!$C$14*'plan etatów'!S87/'plan etatów'!$AA$87)</f>
        <v>0</v>
      </c>
      <c r="T65" s="49" t="n">
        <f aca="false">IF('plan etatów'!$AA$87=0,0,'nowy format 2'!$C$14*'plan etatów'!T87/'plan etatów'!$AA$87)</f>
        <v>0</v>
      </c>
      <c r="U65" s="49" t="n">
        <f aca="false">IF('plan etatów'!$AA$87=0,0,'nowy format 2'!$C$14*'plan etatów'!U87/'plan etatów'!$AA$87)</f>
        <v>0</v>
      </c>
      <c r="V65" s="49" t="n">
        <f aca="false">IF('plan etatów'!$AA$87=0,0,'nowy format 2'!$C$14*'plan etatów'!V87/'plan etatów'!$AA$87)</f>
        <v>0</v>
      </c>
      <c r="W65" s="49" t="n">
        <f aca="false">IF('plan etatów'!$AA$87=0,0,'nowy format 2'!$C$14*'plan etatów'!W87/'plan etatów'!$AA$87)</f>
        <v>0</v>
      </c>
      <c r="X65" s="49" t="n">
        <f aca="false">IF('plan etatów'!$AA$87=0,0,'nowy format 2'!$C$14*'plan etatów'!X87/'plan etatów'!$AA$87)</f>
        <v>0</v>
      </c>
      <c r="Y65" s="49" t="n">
        <f aca="false">IF('plan etatów'!$AA$87=0,0,'nowy format 2'!$C$14*'plan etatów'!Y87/'plan etatów'!$AA$87)</f>
        <v>0</v>
      </c>
      <c r="Z65" s="49" t="n">
        <f aca="false">IF('plan etatów'!$AA$87=0,0,'nowy format 2'!$C$14*'plan etatów'!Z87/'plan etatów'!$AA$87)</f>
        <v>0</v>
      </c>
    </row>
    <row r="66" customFormat="false" ht="15" hidden="false" customHeight="false" outlineLevel="0" collapsed="false">
      <c r="A66" s="41" t="s">
        <v>25</v>
      </c>
      <c r="B66" s="41" t="n">
        <v>2</v>
      </c>
      <c r="C66" s="49" t="n">
        <f aca="false">SUM(D66:Z66)</f>
        <v>113168.16</v>
      </c>
      <c r="D66" s="49" t="n">
        <f aca="false">IF('plan etatów'!$AA$88=0,0,'nowy format 2'!$C$15*'plan etatów'!D88/'plan etatów'!$AA$88)</f>
        <v>0</v>
      </c>
      <c r="E66" s="49" t="n">
        <f aca="false">IF('plan etatów'!$AA$88=0,0,'nowy format 2'!$C$15*'plan etatów'!E88/'plan etatów'!$AA$88)</f>
        <v>0</v>
      </c>
      <c r="F66" s="49" t="n">
        <f aca="false">IF('plan etatów'!$AA$88=0,0,'nowy format 2'!$C$15*'plan etatów'!F88/'plan etatów'!$AA$88)</f>
        <v>0</v>
      </c>
      <c r="G66" s="49" t="n">
        <f aca="false">IF('plan etatów'!$AA$88=0,0,'nowy format 2'!$C$15*'plan etatów'!G88/'plan etatów'!$AA$88)</f>
        <v>0</v>
      </c>
      <c r="H66" s="49" t="n">
        <f aca="false">IF('plan etatów'!$AA$88=0,0,'nowy format 2'!$C$15*'plan etatów'!H88/'plan etatów'!$AA$88)</f>
        <v>0</v>
      </c>
      <c r="I66" s="49" t="n">
        <f aca="false">IF('plan etatów'!$AA$88=0,0,'nowy format 2'!$C$15*'plan etatów'!I88/'plan etatów'!$AA$88)</f>
        <v>18861.36</v>
      </c>
      <c r="J66" s="49" t="n">
        <f aca="false">IF('plan etatów'!$AA$88=0,0,'nowy format 2'!$C$15*'plan etatów'!J88/'plan etatów'!$AA$88)</f>
        <v>18861.36</v>
      </c>
      <c r="K66" s="49" t="n">
        <f aca="false">IF('plan etatów'!$AA$88=0,0,'nowy format 2'!$C$15*'plan etatów'!K88/'plan etatów'!$AA$88)</f>
        <v>18861.36</v>
      </c>
      <c r="L66" s="49" t="n">
        <f aca="false">IF('plan etatów'!$AA$88=0,0,'nowy format 2'!$C$15*'plan etatów'!L88/'plan etatów'!$AA$88)</f>
        <v>18861.36</v>
      </c>
      <c r="M66" s="49" t="n">
        <f aca="false">IF('plan etatów'!$AA$88=0,0,'nowy format 2'!$C$15*'plan etatów'!M88/'plan etatów'!$AA$88)</f>
        <v>18861.36</v>
      </c>
      <c r="N66" s="49" t="n">
        <f aca="false">IF('plan etatów'!$AA$88=0,0,'nowy format 2'!$C$15*'plan etatów'!N88/'plan etatów'!$AA$88)</f>
        <v>18861.36</v>
      </c>
      <c r="O66" s="49" t="n">
        <f aca="false">IF('plan etatów'!$AA$88=0,0,'nowy format 2'!$C$15*'plan etatów'!O88/'plan etatów'!$AA$88)</f>
        <v>0</v>
      </c>
      <c r="P66" s="49" t="n">
        <f aca="false">IF('plan etatów'!$AA$88=0,0,'nowy format 2'!$C$15*'plan etatów'!P88/'plan etatów'!$AA$88)</f>
        <v>0</v>
      </c>
      <c r="Q66" s="49" t="n">
        <f aca="false">IF('plan etatów'!$AA$88=0,0,'nowy format 2'!$C$15*'plan etatów'!Q88/'plan etatów'!$AA$88)</f>
        <v>0</v>
      </c>
      <c r="R66" s="49" t="n">
        <f aca="false">IF('plan etatów'!$AA$88=0,0,'nowy format 2'!$C$15*'plan etatów'!R88/'plan etatów'!$AA$88)</f>
        <v>0</v>
      </c>
      <c r="S66" s="49" t="n">
        <f aca="false">IF('plan etatów'!$AA$88=0,0,'nowy format 2'!$C$15*'plan etatów'!S88/'plan etatów'!$AA$88)</f>
        <v>0</v>
      </c>
      <c r="T66" s="49" t="n">
        <f aca="false">IF('plan etatów'!$AA$88=0,0,'nowy format 2'!$C$15*'plan etatów'!T88/'plan etatów'!$AA$88)</f>
        <v>0</v>
      </c>
      <c r="U66" s="49" t="n">
        <f aca="false">IF('plan etatów'!$AA$88=0,0,'nowy format 2'!$C$15*'plan etatów'!U88/'plan etatów'!$AA$88)</f>
        <v>0</v>
      </c>
      <c r="V66" s="49" t="n">
        <f aca="false">IF('plan etatów'!$AA$88=0,0,'nowy format 2'!$C$15*'plan etatów'!V88/'plan etatów'!$AA$88)</f>
        <v>0</v>
      </c>
      <c r="W66" s="49" t="n">
        <f aca="false">IF('plan etatów'!$AA$88=0,0,'nowy format 2'!$C$15*'plan etatów'!W88/'plan etatów'!$AA$88)</f>
        <v>0</v>
      </c>
      <c r="X66" s="49" t="n">
        <f aca="false">IF('plan etatów'!$AA$88=0,0,'nowy format 2'!$C$15*'plan etatów'!X88/'plan etatów'!$AA$88)</f>
        <v>0</v>
      </c>
      <c r="Y66" s="49" t="n">
        <f aca="false">IF('plan etatów'!$AA$88=0,0,'nowy format 2'!$C$15*'plan etatów'!Y88/'plan etatów'!$AA$88)</f>
        <v>0</v>
      </c>
      <c r="Z66" s="49" t="n">
        <f aca="false">IF('plan etatów'!$AA$88=0,0,'nowy format 2'!$C$15*'plan etatów'!Z88/'plan etatów'!$AA$88)</f>
        <v>0</v>
      </c>
    </row>
    <row r="67" customFormat="false" ht="15" hidden="false" customHeight="false" outlineLevel="0" collapsed="false">
      <c r="A67" s="41" t="s">
        <v>26</v>
      </c>
      <c r="B67" s="41" t="n">
        <v>2</v>
      </c>
      <c r="C67" s="49" t="n">
        <f aca="false">SUM(D67:Z67)</f>
        <v>121024.78</v>
      </c>
      <c r="D67" s="49" t="n">
        <f aca="false">IF('plan etatów'!$AA$89=0,0,'nowy format 2'!$C$16*'plan etatów'!D89/'plan etatów'!$AA$89)</f>
        <v>0</v>
      </c>
      <c r="E67" s="49" t="n">
        <f aca="false">IF('plan etatów'!$AA$89=0,0,'nowy format 2'!$C$16*'plan etatów'!E89/'plan etatów'!$AA$89)</f>
        <v>0</v>
      </c>
      <c r="F67" s="49" t="n">
        <f aca="false">IF('plan etatów'!$AA$89=0,0,'nowy format 2'!$C$16*'plan etatów'!F89/'plan etatów'!$AA$89)</f>
        <v>0</v>
      </c>
      <c r="G67" s="49" t="n">
        <f aca="false">IF('plan etatów'!$AA$89=0,0,'nowy format 2'!$C$16*'plan etatów'!G89/'plan etatów'!$AA$89)</f>
        <v>0</v>
      </c>
      <c r="H67" s="49" t="n">
        <f aca="false">IF('plan etatów'!$AA$89=0,0,'nowy format 2'!$C$16*'plan etatów'!H89/'plan etatów'!$AA$89)</f>
        <v>0</v>
      </c>
      <c r="I67" s="49" t="n">
        <f aca="false">IF('plan etatów'!$AA$89=0,0,'nowy format 2'!$C$16*'plan etatów'!I89/'plan etatów'!$AA$89)</f>
        <v>20170.7966666667</v>
      </c>
      <c r="J67" s="49" t="n">
        <f aca="false">IF('plan etatów'!$AA$89=0,0,'nowy format 2'!$C$16*'plan etatów'!J89/'plan etatów'!$AA$89)</f>
        <v>20170.7966666667</v>
      </c>
      <c r="K67" s="49" t="n">
        <f aca="false">IF('plan etatów'!$AA$89=0,0,'nowy format 2'!$C$16*'plan etatów'!K89/'plan etatów'!$AA$89)</f>
        <v>20170.7966666667</v>
      </c>
      <c r="L67" s="49" t="n">
        <f aca="false">IF('plan etatów'!$AA$89=0,0,'nowy format 2'!$C$16*'plan etatów'!L89/'plan etatów'!$AA$89)</f>
        <v>20170.7966666667</v>
      </c>
      <c r="M67" s="49" t="n">
        <f aca="false">IF('plan etatów'!$AA$89=0,0,'nowy format 2'!$C$16*'plan etatów'!M89/'plan etatów'!$AA$89)</f>
        <v>20170.7966666667</v>
      </c>
      <c r="N67" s="49" t="n">
        <f aca="false">IF('plan etatów'!$AA$89=0,0,'nowy format 2'!$C$16*'plan etatów'!N89/'plan etatów'!$AA$89)</f>
        <v>20170.7966666667</v>
      </c>
      <c r="O67" s="49" t="n">
        <f aca="false">IF('plan etatów'!$AA$89=0,0,'nowy format 2'!$C$16*'plan etatów'!O89/'plan etatów'!$AA$89)</f>
        <v>0</v>
      </c>
      <c r="P67" s="49" t="n">
        <f aca="false">IF('plan etatów'!$AA$89=0,0,'nowy format 2'!$C$16*'plan etatów'!P89/'plan etatów'!$AA$89)</f>
        <v>0</v>
      </c>
      <c r="Q67" s="49" t="n">
        <f aca="false">IF('plan etatów'!$AA$89=0,0,'nowy format 2'!$C$16*'plan etatów'!Q89/'plan etatów'!$AA$89)</f>
        <v>0</v>
      </c>
      <c r="R67" s="49" t="n">
        <f aca="false">IF('plan etatów'!$AA$89=0,0,'nowy format 2'!$C$16*'plan etatów'!R89/'plan etatów'!$AA$89)</f>
        <v>0</v>
      </c>
      <c r="S67" s="49" t="n">
        <f aca="false">IF('plan etatów'!$AA$89=0,0,'nowy format 2'!$C$16*'plan etatów'!S89/'plan etatów'!$AA$89)</f>
        <v>0</v>
      </c>
      <c r="T67" s="49" t="n">
        <f aca="false">IF('plan etatów'!$AA$89=0,0,'nowy format 2'!$C$16*'plan etatów'!T89/'plan etatów'!$AA$89)</f>
        <v>0</v>
      </c>
      <c r="U67" s="49" t="n">
        <f aca="false">IF('plan etatów'!$AA$89=0,0,'nowy format 2'!$C$16*'plan etatów'!U89/'plan etatów'!$AA$89)</f>
        <v>0</v>
      </c>
      <c r="V67" s="49" t="n">
        <f aca="false">IF('plan etatów'!$AA$89=0,0,'nowy format 2'!$C$16*'plan etatów'!V89/'plan etatów'!$AA$89)</f>
        <v>0</v>
      </c>
      <c r="W67" s="49" t="n">
        <f aca="false">IF('plan etatów'!$AA$89=0,0,'nowy format 2'!$C$16*'plan etatów'!W89/'plan etatów'!$AA$89)</f>
        <v>0</v>
      </c>
      <c r="X67" s="49" t="n">
        <f aca="false">IF('plan etatów'!$AA$89=0,0,'nowy format 2'!$C$16*'plan etatów'!X89/'plan etatów'!$AA$89)</f>
        <v>0</v>
      </c>
      <c r="Y67" s="49" t="n">
        <f aca="false">IF('plan etatów'!$AA$89=0,0,'nowy format 2'!$C$16*'plan etatów'!Y89/'plan etatów'!$AA$89)</f>
        <v>0</v>
      </c>
      <c r="Z67" s="49" t="n">
        <f aca="false">IF('plan etatów'!$AA$89=0,0,'nowy format 2'!$C$16*'plan etatów'!Z89/'plan etatów'!$AA$89)</f>
        <v>0</v>
      </c>
    </row>
    <row r="68" customFormat="false" ht="15" hidden="false" customHeight="false" outlineLevel="0" collapsed="false">
      <c r="A68" s="41" t="s">
        <v>27</v>
      </c>
      <c r="B68" s="41" t="n">
        <v>2</v>
      </c>
      <c r="C68" s="49" t="n">
        <f aca="false">SUM(D68:Z68)</f>
        <v>123750</v>
      </c>
      <c r="D68" s="49" t="n">
        <f aca="false">IF('plan etatów'!$AA$90=0,0,'nowy format 2'!$C$17*'plan etatów'!D90/'plan etatów'!$AA$90)</f>
        <v>0</v>
      </c>
      <c r="E68" s="49" t="n">
        <f aca="false">IF('plan etatów'!$AA$90=0,0,'nowy format 2'!$C$17*'plan etatów'!E90/'plan etatów'!$AA$90)</f>
        <v>0</v>
      </c>
      <c r="F68" s="49" t="n">
        <f aca="false">IF('plan etatów'!$AA$90=0,0,'nowy format 2'!$C$17*'plan etatów'!F90/'plan etatów'!$AA$90)</f>
        <v>0</v>
      </c>
      <c r="G68" s="49" t="n">
        <f aca="false">IF('plan etatów'!$AA$90=0,0,'nowy format 2'!$C$17*'plan etatów'!G90/'plan etatów'!$AA$90)</f>
        <v>0</v>
      </c>
      <c r="H68" s="49" t="n">
        <f aca="false">IF('plan etatów'!$AA$90=0,0,'nowy format 2'!$C$17*'plan etatów'!H90/'plan etatów'!$AA$90)</f>
        <v>0</v>
      </c>
      <c r="I68" s="49" t="n">
        <f aca="false">IF('plan etatów'!$AA$90=0,0,'nowy format 2'!$C$17*'plan etatów'!I90/'plan etatów'!$AA$90)</f>
        <v>20625</v>
      </c>
      <c r="J68" s="49" t="n">
        <f aca="false">IF('plan etatów'!$AA$90=0,0,'nowy format 2'!$C$17*'plan etatów'!J90/'plan etatów'!$AA$90)</f>
        <v>20625</v>
      </c>
      <c r="K68" s="49" t="n">
        <f aca="false">IF('plan etatów'!$AA$90=0,0,'nowy format 2'!$C$17*'plan etatów'!K90/'plan etatów'!$AA$90)</f>
        <v>20625</v>
      </c>
      <c r="L68" s="49" t="n">
        <f aca="false">IF('plan etatów'!$AA$90=0,0,'nowy format 2'!$C$17*'plan etatów'!L90/'plan etatów'!$AA$90)</f>
        <v>20625</v>
      </c>
      <c r="M68" s="49" t="n">
        <f aca="false">IF('plan etatów'!$AA$90=0,0,'nowy format 2'!$C$17*'plan etatów'!M90/'plan etatów'!$AA$90)</f>
        <v>20625</v>
      </c>
      <c r="N68" s="49" t="n">
        <f aca="false">IF('plan etatów'!$AA$90=0,0,'nowy format 2'!$C$17*'plan etatów'!N90/'plan etatów'!$AA$90)</f>
        <v>20625</v>
      </c>
      <c r="O68" s="49" t="n">
        <f aca="false">IF('plan etatów'!$AA$90=0,0,'nowy format 2'!$C$17*'plan etatów'!O90/'plan etatów'!$AA$90)</f>
        <v>0</v>
      </c>
      <c r="P68" s="49" t="n">
        <f aca="false">IF('plan etatów'!$AA$90=0,0,'nowy format 2'!$C$17*'plan etatów'!P90/'plan etatów'!$AA$90)</f>
        <v>0</v>
      </c>
      <c r="Q68" s="49" t="n">
        <f aca="false">IF('plan etatów'!$AA$90=0,0,'nowy format 2'!$C$17*'plan etatów'!Q90/'plan etatów'!$AA$90)</f>
        <v>0</v>
      </c>
      <c r="R68" s="49" t="n">
        <f aca="false">IF('plan etatów'!$AA$90=0,0,'nowy format 2'!$C$17*'plan etatów'!R90/'plan etatów'!$AA$90)</f>
        <v>0</v>
      </c>
      <c r="S68" s="49" t="n">
        <f aca="false">IF('plan etatów'!$AA$90=0,0,'nowy format 2'!$C$17*'plan etatów'!S90/'plan etatów'!$AA$90)</f>
        <v>0</v>
      </c>
      <c r="T68" s="49" t="n">
        <f aca="false">IF('plan etatów'!$AA$90=0,0,'nowy format 2'!$C$17*'plan etatów'!T90/'plan etatów'!$AA$90)</f>
        <v>0</v>
      </c>
      <c r="U68" s="49" t="n">
        <f aca="false">IF('plan etatów'!$AA$90=0,0,'nowy format 2'!$C$17*'plan etatów'!U90/'plan etatów'!$AA$90)</f>
        <v>0</v>
      </c>
      <c r="V68" s="49" t="n">
        <f aca="false">IF('plan etatów'!$AA$90=0,0,'nowy format 2'!$C$17*'plan etatów'!V90/'plan etatów'!$AA$90)</f>
        <v>0</v>
      </c>
      <c r="W68" s="49" t="n">
        <f aca="false">IF('plan etatów'!$AA$90=0,0,'nowy format 2'!$C$17*'plan etatów'!W90/'plan etatów'!$AA$90)</f>
        <v>0</v>
      </c>
      <c r="X68" s="49" t="n">
        <f aca="false">IF('plan etatów'!$AA$90=0,0,'nowy format 2'!$C$17*'plan etatów'!X90/'plan etatów'!$AA$90)</f>
        <v>0</v>
      </c>
      <c r="Y68" s="49" t="n">
        <f aca="false">IF('plan etatów'!$AA$90=0,0,'nowy format 2'!$C$17*'plan etatów'!Y90/'plan etatów'!$AA$90)</f>
        <v>0</v>
      </c>
      <c r="Z68" s="49" t="n">
        <f aca="false">IF('plan etatów'!$AA$90=0,0,'nowy format 2'!$C$17*'plan etatów'!Z90/'plan etatów'!$AA$90)</f>
        <v>0</v>
      </c>
    </row>
    <row r="69" customFormat="false" ht="15" hidden="false" customHeight="false" outlineLevel="0" collapsed="false">
      <c r="A69" s="41" t="s">
        <v>28</v>
      </c>
      <c r="B69" s="41" t="n">
        <v>2</v>
      </c>
      <c r="C69" s="49" t="n">
        <f aca="false">SUM(D69:Z69)</f>
        <v>44388.77</v>
      </c>
      <c r="D69" s="49" t="n">
        <f aca="false">IF('plan etatów'!$AA$91=0,0,'nowy format 2'!$C$18*'plan etatów'!D91/'plan etatów'!$AA$91)</f>
        <v>0</v>
      </c>
      <c r="E69" s="49" t="n">
        <f aca="false">IF('plan etatów'!$AA$91=0,0,'nowy format 2'!$C$18*'plan etatów'!E91/'plan etatów'!$AA$91)</f>
        <v>0</v>
      </c>
      <c r="F69" s="49" t="n">
        <f aca="false">IF('plan etatów'!$AA$91=0,0,'nowy format 2'!$C$18*'plan etatów'!F91/'plan etatów'!$AA$91)</f>
        <v>0</v>
      </c>
      <c r="G69" s="49" t="n">
        <f aca="false">IF('plan etatów'!$AA$91=0,0,'nowy format 2'!$C$18*'plan etatów'!G91/'plan etatów'!$AA$91)</f>
        <v>0</v>
      </c>
      <c r="H69" s="49" t="n">
        <f aca="false">IF('plan etatów'!$AA$91=0,0,'nowy format 2'!$C$18*'plan etatów'!H91/'plan etatów'!$AA$91)</f>
        <v>0</v>
      </c>
      <c r="I69" s="49" t="n">
        <f aca="false">IF('plan etatów'!$AA$91=0,0,'nowy format 2'!$C$18*'plan etatów'!I91/'plan etatów'!$AA$91)</f>
        <v>7398.12833333333</v>
      </c>
      <c r="J69" s="49" t="n">
        <f aca="false">IF('plan etatów'!$AA$91=0,0,'nowy format 2'!$C$18*'plan etatów'!J91/'plan etatów'!$AA$91)</f>
        <v>7398.12833333333</v>
      </c>
      <c r="K69" s="49" t="n">
        <f aca="false">IF('plan etatów'!$AA$91=0,0,'nowy format 2'!$C$18*'plan etatów'!K91/'plan etatów'!$AA$91)</f>
        <v>7398.12833333333</v>
      </c>
      <c r="L69" s="49" t="n">
        <f aca="false">IF('plan etatów'!$AA$91=0,0,'nowy format 2'!$C$18*'plan etatów'!L91/'plan etatów'!$AA$91)</f>
        <v>7398.12833333333</v>
      </c>
      <c r="M69" s="49" t="n">
        <f aca="false">IF('plan etatów'!$AA$91=0,0,'nowy format 2'!$C$18*'plan etatów'!M91/'plan etatów'!$AA$91)</f>
        <v>7398.12833333333</v>
      </c>
      <c r="N69" s="49" t="n">
        <f aca="false">IF('plan etatów'!$AA$91=0,0,'nowy format 2'!$C$18*'plan etatów'!N91/'plan etatów'!$AA$91)</f>
        <v>7398.12833333333</v>
      </c>
      <c r="O69" s="49" t="n">
        <f aca="false">IF('plan etatów'!$AA$91=0,0,'nowy format 2'!$C$18*'plan etatów'!O91/'plan etatów'!$AA$91)</f>
        <v>0</v>
      </c>
      <c r="P69" s="49" t="n">
        <f aca="false">IF('plan etatów'!$AA$91=0,0,'nowy format 2'!$C$18*'plan etatów'!P91/'plan etatów'!$AA$91)</f>
        <v>0</v>
      </c>
      <c r="Q69" s="49" t="n">
        <f aca="false">IF('plan etatów'!$AA$91=0,0,'nowy format 2'!$C$18*'plan etatów'!Q91/'plan etatów'!$AA$91)</f>
        <v>0</v>
      </c>
      <c r="R69" s="49" t="n">
        <f aca="false">IF('plan etatów'!$AA$91=0,0,'nowy format 2'!$C$18*'plan etatów'!R91/'plan etatów'!$AA$91)</f>
        <v>0</v>
      </c>
      <c r="S69" s="49" t="n">
        <f aca="false">IF('plan etatów'!$AA$91=0,0,'nowy format 2'!$C$18*'plan etatów'!S91/'plan etatów'!$AA$91)</f>
        <v>0</v>
      </c>
      <c r="T69" s="49" t="n">
        <f aca="false">IF('plan etatów'!$AA$91=0,0,'nowy format 2'!$C$18*'plan etatów'!T91/'plan etatów'!$AA$91)</f>
        <v>0</v>
      </c>
      <c r="U69" s="49" t="n">
        <f aca="false">IF('plan etatów'!$AA$91=0,0,'nowy format 2'!$C$18*'plan etatów'!U91/'plan etatów'!$AA$91)</f>
        <v>0</v>
      </c>
      <c r="V69" s="49" t="n">
        <f aca="false">IF('plan etatów'!$AA$91=0,0,'nowy format 2'!$C$18*'plan etatów'!V91/'plan etatów'!$AA$91)</f>
        <v>0</v>
      </c>
      <c r="W69" s="49" t="n">
        <f aca="false">IF('plan etatów'!$AA$91=0,0,'nowy format 2'!$C$18*'plan etatów'!W91/'plan etatów'!$AA$91)</f>
        <v>0</v>
      </c>
      <c r="X69" s="49" t="n">
        <f aca="false">IF('plan etatów'!$AA$91=0,0,'nowy format 2'!$C$18*'plan etatów'!X91/'plan etatów'!$AA$91)</f>
        <v>0</v>
      </c>
      <c r="Y69" s="49" t="n">
        <f aca="false">IF('plan etatów'!$AA$91=0,0,'nowy format 2'!$C$18*'plan etatów'!Y91/'plan etatów'!$AA$91)</f>
        <v>0</v>
      </c>
      <c r="Z69" s="49" t="n">
        <f aca="false">IF('plan etatów'!$AA$91=0,0,'nowy format 2'!$C$18*'plan etatów'!Z91/'plan etatów'!$AA$91)</f>
        <v>0</v>
      </c>
    </row>
    <row r="70" customFormat="false" ht="15" hidden="false" customHeight="false" outlineLevel="0" collapsed="false">
      <c r="A70" s="41" t="s">
        <v>29</v>
      </c>
      <c r="B70" s="41" t="n">
        <v>2</v>
      </c>
      <c r="C70" s="49" t="n">
        <f aca="false">SUM(D70:Z70)</f>
        <v>123750</v>
      </c>
      <c r="D70" s="49" t="n">
        <f aca="false">IF('plan etatów'!$AA$92=0,0,'nowy format 2'!$C$19*'plan etatów'!D92/'plan etatów'!$AA$92)</f>
        <v>0</v>
      </c>
      <c r="E70" s="49" t="n">
        <f aca="false">IF('plan etatów'!$AA$92=0,0,'nowy format 2'!$C$19*'plan etatów'!E92/'plan etatów'!$AA$92)</f>
        <v>0</v>
      </c>
      <c r="F70" s="49" t="n">
        <f aca="false">IF('plan etatów'!$AA$92=0,0,'nowy format 2'!$C$19*'plan etatów'!F92/'plan etatów'!$AA$92)</f>
        <v>0</v>
      </c>
      <c r="G70" s="49" t="n">
        <f aca="false">IF('plan etatów'!$AA$92=0,0,'nowy format 2'!$C$19*'plan etatów'!G92/'plan etatów'!$AA$92)</f>
        <v>0</v>
      </c>
      <c r="H70" s="49" t="n">
        <f aca="false">IF('plan etatów'!$AA$92=0,0,'nowy format 2'!$C$19*'plan etatów'!H92/'plan etatów'!$AA$92)</f>
        <v>0</v>
      </c>
      <c r="I70" s="49" t="n">
        <f aca="false">IF('plan etatów'!$AA$92=0,0,'nowy format 2'!$C$19*'plan etatów'!I92/'plan etatów'!$AA$92)</f>
        <v>20625</v>
      </c>
      <c r="J70" s="49" t="n">
        <f aca="false">IF('plan etatów'!$AA$92=0,0,'nowy format 2'!$C$19*'plan etatów'!J92/'plan etatów'!$AA$92)</f>
        <v>20625</v>
      </c>
      <c r="K70" s="49" t="n">
        <f aca="false">IF('plan etatów'!$AA$92=0,0,'nowy format 2'!$C$19*'plan etatów'!K92/'plan etatów'!$AA$92)</f>
        <v>20625</v>
      </c>
      <c r="L70" s="49" t="n">
        <f aca="false">IF('plan etatów'!$AA$92=0,0,'nowy format 2'!$C$19*'plan etatów'!L92/'plan etatów'!$AA$92)</f>
        <v>20625</v>
      </c>
      <c r="M70" s="49" t="n">
        <f aca="false">IF('plan etatów'!$AA$92=0,0,'nowy format 2'!$C$19*'plan etatów'!M92/'plan etatów'!$AA$92)</f>
        <v>20625</v>
      </c>
      <c r="N70" s="49" t="n">
        <f aca="false">IF('plan etatów'!$AA$92=0,0,'nowy format 2'!$C$19*'plan etatów'!N92/'plan etatów'!$AA$92)</f>
        <v>20625</v>
      </c>
      <c r="O70" s="49" t="n">
        <f aca="false">IF('plan etatów'!$AA$92=0,0,'nowy format 2'!$C$19*'plan etatów'!O92/'plan etatów'!$AA$92)</f>
        <v>0</v>
      </c>
      <c r="P70" s="49" t="n">
        <f aca="false">IF('plan etatów'!$AA$92=0,0,'nowy format 2'!$C$19*'plan etatów'!P92/'plan etatów'!$AA$92)</f>
        <v>0</v>
      </c>
      <c r="Q70" s="49" t="n">
        <f aca="false">IF('plan etatów'!$AA$92=0,0,'nowy format 2'!$C$19*'plan etatów'!Q92/'plan etatów'!$AA$92)</f>
        <v>0</v>
      </c>
      <c r="R70" s="49" t="n">
        <f aca="false">IF('plan etatów'!$AA$92=0,0,'nowy format 2'!$C$19*'plan etatów'!R92/'plan etatów'!$AA$92)</f>
        <v>0</v>
      </c>
      <c r="S70" s="49" t="n">
        <f aca="false">IF('plan etatów'!$AA$92=0,0,'nowy format 2'!$C$19*'plan etatów'!S92/'plan etatów'!$AA$92)</f>
        <v>0</v>
      </c>
      <c r="T70" s="49" t="n">
        <f aca="false">IF('plan etatów'!$AA$92=0,0,'nowy format 2'!$C$19*'plan etatów'!T92/'plan etatów'!$AA$92)</f>
        <v>0</v>
      </c>
      <c r="U70" s="49" t="n">
        <f aca="false">IF('plan etatów'!$AA$92=0,0,'nowy format 2'!$C$19*'plan etatów'!U92/'plan etatów'!$AA$92)</f>
        <v>0</v>
      </c>
      <c r="V70" s="49" t="n">
        <f aca="false">IF('plan etatów'!$AA$92=0,0,'nowy format 2'!$C$19*'plan etatów'!V92/'plan etatów'!$AA$92)</f>
        <v>0</v>
      </c>
      <c r="W70" s="49" t="n">
        <f aca="false">IF('plan etatów'!$AA$92=0,0,'nowy format 2'!$C$19*'plan etatów'!W92/'plan etatów'!$AA$92)</f>
        <v>0</v>
      </c>
      <c r="X70" s="49" t="n">
        <f aca="false">IF('plan etatów'!$AA$92=0,0,'nowy format 2'!$C$19*'plan etatów'!X92/'plan etatów'!$AA$92)</f>
        <v>0</v>
      </c>
      <c r="Y70" s="49" t="n">
        <f aca="false">IF('plan etatów'!$AA$92=0,0,'nowy format 2'!$C$19*'plan etatów'!Y92/'plan etatów'!$AA$92)</f>
        <v>0</v>
      </c>
      <c r="Z70" s="49" t="n">
        <f aca="false">IF('plan etatów'!$AA$92=0,0,'nowy format 2'!$C$19*'plan etatów'!Z92/'plan etatów'!$AA$92)</f>
        <v>0</v>
      </c>
    </row>
    <row r="71" customFormat="false" ht="15" hidden="false" customHeight="false" outlineLevel="0" collapsed="false">
      <c r="A71" s="41" t="s">
        <v>30</v>
      </c>
      <c r="B71" s="41" t="n">
        <v>2</v>
      </c>
      <c r="C71" s="49" t="n">
        <f aca="false">SUM(D71:Z71)</f>
        <v>29517.79</v>
      </c>
      <c r="D71" s="49" t="n">
        <f aca="false">IF('plan etatów'!$AA$93=0,0,'nowy format 2'!$C$20*'plan etatów'!D93/'plan etatów'!$AA$93)</f>
        <v>0</v>
      </c>
      <c r="E71" s="49" t="n">
        <f aca="false">IF('plan etatów'!$AA$93=0,0,'nowy format 2'!$C$20*'plan etatów'!E93/'plan etatów'!$AA$93)</f>
        <v>0</v>
      </c>
      <c r="F71" s="49" t="n">
        <f aca="false">IF('plan etatów'!$AA$93=0,0,'nowy format 2'!$C$20*'plan etatów'!F93/'plan etatów'!$AA$93)</f>
        <v>0</v>
      </c>
      <c r="G71" s="49" t="n">
        <f aca="false">IF('plan etatów'!$AA$93=0,0,'nowy format 2'!$C$20*'plan etatów'!G93/'plan etatów'!$AA$93)</f>
        <v>0</v>
      </c>
      <c r="H71" s="49" t="n">
        <f aca="false">IF('plan etatów'!$AA$93=0,0,'nowy format 2'!$C$20*'plan etatów'!H93/'plan etatów'!$AA$93)</f>
        <v>0</v>
      </c>
      <c r="I71" s="49" t="n">
        <f aca="false">IF('plan etatów'!$AA$93=0,0,'nowy format 2'!$C$20*'plan etatów'!I93/'plan etatów'!$AA$93)</f>
        <v>4919.63166666667</v>
      </c>
      <c r="J71" s="49" t="n">
        <f aca="false">IF('plan etatów'!$AA$93=0,0,'nowy format 2'!$C$20*'plan etatów'!J93/'plan etatów'!$AA$93)</f>
        <v>4919.63166666667</v>
      </c>
      <c r="K71" s="49" t="n">
        <f aca="false">IF('plan etatów'!$AA$93=0,0,'nowy format 2'!$C$20*'plan etatów'!K93/'plan etatów'!$AA$93)</f>
        <v>4919.63166666667</v>
      </c>
      <c r="L71" s="49" t="n">
        <f aca="false">IF('plan etatów'!$AA$93=0,0,'nowy format 2'!$C$20*'plan etatów'!L93/'plan etatów'!$AA$93)</f>
        <v>4919.63166666667</v>
      </c>
      <c r="M71" s="49" t="n">
        <f aca="false">IF('plan etatów'!$AA$93=0,0,'nowy format 2'!$C$20*'plan etatów'!M93/'plan etatów'!$AA$93)</f>
        <v>4919.63166666667</v>
      </c>
      <c r="N71" s="49" t="n">
        <f aca="false">IF('plan etatów'!$AA$93=0,0,'nowy format 2'!$C$20*'plan etatów'!N93/'plan etatów'!$AA$93)</f>
        <v>4919.63166666667</v>
      </c>
      <c r="O71" s="49" t="n">
        <f aca="false">IF('plan etatów'!$AA$93=0,0,'nowy format 2'!$C$20*'plan etatów'!O93/'plan etatów'!$AA$93)</f>
        <v>0</v>
      </c>
      <c r="P71" s="49" t="n">
        <f aca="false">IF('plan etatów'!$AA$93=0,0,'nowy format 2'!$C$20*'plan etatów'!P93/'plan etatów'!$AA$93)</f>
        <v>0</v>
      </c>
      <c r="Q71" s="49" t="n">
        <f aca="false">IF('plan etatów'!$AA$93=0,0,'nowy format 2'!$C$20*'plan etatów'!Q93/'plan etatów'!$AA$93)</f>
        <v>0</v>
      </c>
      <c r="R71" s="49" t="n">
        <f aca="false">IF('plan etatów'!$AA$93=0,0,'nowy format 2'!$C$20*'plan etatów'!R93/'plan etatów'!$AA$93)</f>
        <v>0</v>
      </c>
      <c r="S71" s="49" t="n">
        <f aca="false">IF('plan etatów'!$AA$93=0,0,'nowy format 2'!$C$20*'plan etatów'!S93/'plan etatów'!$AA$93)</f>
        <v>0</v>
      </c>
      <c r="T71" s="49" t="n">
        <f aca="false">IF('plan etatów'!$AA$93=0,0,'nowy format 2'!$C$20*'plan etatów'!T93/'plan etatów'!$AA$93)</f>
        <v>0</v>
      </c>
      <c r="U71" s="49" t="n">
        <f aca="false">IF('plan etatów'!$AA$93=0,0,'nowy format 2'!$C$20*'plan etatów'!U93/'plan etatów'!$AA$93)</f>
        <v>0</v>
      </c>
      <c r="V71" s="49" t="n">
        <f aca="false">IF('plan etatów'!$AA$93=0,0,'nowy format 2'!$C$20*'plan etatów'!V93/'plan etatów'!$AA$93)</f>
        <v>0</v>
      </c>
      <c r="W71" s="49" t="n">
        <f aca="false">IF('plan etatów'!$AA$93=0,0,'nowy format 2'!$C$20*'plan etatów'!W93/'plan etatów'!$AA$93)</f>
        <v>0</v>
      </c>
      <c r="X71" s="49" t="n">
        <f aca="false">IF('plan etatów'!$AA$93=0,0,'nowy format 2'!$C$20*'plan etatów'!X93/'plan etatów'!$AA$93)</f>
        <v>0</v>
      </c>
      <c r="Y71" s="49" t="n">
        <f aca="false">IF('plan etatów'!$AA$93=0,0,'nowy format 2'!$C$20*'plan etatów'!Y93/'plan etatów'!$AA$93)</f>
        <v>0</v>
      </c>
      <c r="Z71" s="49" t="n">
        <f aca="false">IF('plan etatów'!$AA$93=0,0,'nowy format 2'!$C$20*'plan etatów'!Z93/'plan etatów'!$AA$93)</f>
        <v>0</v>
      </c>
    </row>
    <row r="72" customFormat="false" ht="15" hidden="false" customHeight="false" outlineLevel="0" collapsed="false">
      <c r="A72" s="41" t="s">
        <v>31</v>
      </c>
      <c r="B72" s="41" t="n">
        <v>2</v>
      </c>
      <c r="C72" s="49" t="n">
        <f aca="false">SUM(D72:Z72)</f>
        <v>630.08</v>
      </c>
      <c r="D72" s="49" t="n">
        <f aca="false">IF(D$4='plan etatów'!$E$5,założenia!$C$14,0)</f>
        <v>0</v>
      </c>
      <c r="E72" s="49" t="n">
        <f aca="false">IF(E$4='plan etatów'!$E$5,założenia!$C$14,0)</f>
        <v>0</v>
      </c>
      <c r="F72" s="49" t="n">
        <f aca="false">IF(F$4='plan etatów'!$E$5,założenia!$C$14,0)</f>
        <v>0</v>
      </c>
      <c r="G72" s="49" t="n">
        <f aca="false">IF(G$4='plan etatów'!$E$5,założenia!$C$14,0)</f>
        <v>0</v>
      </c>
      <c r="H72" s="49" t="n">
        <f aca="false">IF(H$4='plan etatów'!$E$5,założenia!$C$14,0)</f>
        <v>0</v>
      </c>
      <c r="I72" s="49" t="n">
        <f aca="false">IF(I$4='plan etatów'!$E$5,założenia!$C$14,0)</f>
        <v>0</v>
      </c>
      <c r="J72" s="49" t="n">
        <f aca="false">IF(J$4='plan etatów'!$E$5,założenia!$C$14,0)</f>
        <v>0</v>
      </c>
      <c r="K72" s="49" t="n">
        <f aca="false">IF(K$4='plan etatów'!$E$5,założenia!$C$14,0)</f>
        <v>0</v>
      </c>
      <c r="L72" s="49" t="n">
        <f aca="false">IF(L$4='plan etatów'!$E$5,założenia!$C$14,0)</f>
        <v>0</v>
      </c>
      <c r="M72" s="49" t="n">
        <f aca="false">IF(M$4='plan etatów'!$E$5,założenia!$C$14,0)</f>
        <v>0</v>
      </c>
      <c r="N72" s="49" t="n">
        <f aca="false">IF(N$4='plan etatów'!$E$5,założenia!$C$14,0)</f>
        <v>630.08</v>
      </c>
      <c r="O72" s="49" t="n">
        <f aca="false">IF(O$4='plan etatów'!$E$5,założenia!$C$14,0)</f>
        <v>0</v>
      </c>
      <c r="P72" s="49" t="n">
        <f aca="false">IF(P$4='plan etatów'!$E$5,założenia!$C$14,0)</f>
        <v>0</v>
      </c>
      <c r="Q72" s="49" t="n">
        <f aca="false">IF(Q$4='plan etatów'!$E$5,założenia!$C$14,0)</f>
        <v>0</v>
      </c>
      <c r="R72" s="49" t="n">
        <f aca="false">IF(R$4='plan etatów'!$E$5,założenia!$C$14,0)</f>
        <v>0</v>
      </c>
      <c r="S72" s="49" t="n">
        <f aca="false">IF(S$4='plan etatów'!$E$5,założenia!$C$14,0)</f>
        <v>0</v>
      </c>
      <c r="T72" s="49" t="n">
        <f aca="false">IF(T$4='plan etatów'!$E$5,założenia!$C$14,0)</f>
        <v>0</v>
      </c>
      <c r="U72" s="49" t="n">
        <f aca="false">IF(U$4='plan etatów'!$E$5,założenia!$C$14,0)</f>
        <v>0</v>
      </c>
      <c r="V72" s="49" t="n">
        <f aca="false">IF(V$4='plan etatów'!$E$5,założenia!$C$14,0)</f>
        <v>0</v>
      </c>
      <c r="W72" s="49" t="n">
        <f aca="false">IF(W$4='plan etatów'!$E$5,założenia!$C$14,0)</f>
        <v>0</v>
      </c>
      <c r="X72" s="49" t="n">
        <f aca="false">IF(X$4='plan etatów'!$E$5,założenia!$C$14,0)</f>
        <v>0</v>
      </c>
      <c r="Y72" s="49" t="n">
        <f aca="false">IF(Y$4='plan etatów'!$E$5,założenia!$C$14,0)</f>
        <v>0</v>
      </c>
      <c r="Z72" s="49" t="n">
        <f aca="false">IF(Z$4='plan etatów'!$E$5,założenia!$C$14,0)</f>
        <v>0</v>
      </c>
    </row>
    <row r="73" customFormat="false" ht="15" hidden="false" customHeight="false" outlineLevel="0" collapsed="false">
      <c r="A73" s="41" t="s">
        <v>32</v>
      </c>
      <c r="B73" s="41" t="n">
        <v>2</v>
      </c>
      <c r="C73" s="49" t="n">
        <f aca="false">SUM(D73:Z73)</f>
        <v>3414.12</v>
      </c>
      <c r="D73" s="49" t="n">
        <f aca="false">'plan etatów'!D95</f>
        <v>0</v>
      </c>
      <c r="E73" s="49" t="n">
        <f aca="false">'plan etatów'!E95</f>
        <v>0</v>
      </c>
      <c r="F73" s="49" t="n">
        <f aca="false">'plan etatów'!F95</f>
        <v>0</v>
      </c>
      <c r="G73" s="49" t="n">
        <f aca="false">'plan etatów'!G95</f>
        <v>0</v>
      </c>
      <c r="H73" s="49" t="n">
        <f aca="false">'plan etatów'!H95</f>
        <v>0</v>
      </c>
      <c r="I73" s="49" t="n">
        <f aca="false">'plan etatów'!I95</f>
        <v>569.02</v>
      </c>
      <c r="J73" s="49" t="n">
        <f aca="false">'plan etatów'!J95</f>
        <v>569.02</v>
      </c>
      <c r="K73" s="49" t="n">
        <f aca="false">'plan etatów'!K95</f>
        <v>569.02</v>
      </c>
      <c r="L73" s="49" t="n">
        <f aca="false">'plan etatów'!L95</f>
        <v>569.02</v>
      </c>
      <c r="M73" s="49" t="n">
        <f aca="false">'plan etatów'!M95</f>
        <v>569.02</v>
      </c>
      <c r="N73" s="49" t="n">
        <f aca="false">'plan etatów'!N95</f>
        <v>569.02</v>
      </c>
      <c r="O73" s="49" t="n">
        <f aca="false">'plan etatów'!O95</f>
        <v>0</v>
      </c>
      <c r="P73" s="49" t="n">
        <f aca="false">'plan etatów'!P95</f>
        <v>0</v>
      </c>
      <c r="Q73" s="49" t="n">
        <f aca="false">'plan etatów'!Q95</f>
        <v>0</v>
      </c>
      <c r="R73" s="49" t="n">
        <f aca="false">'plan etatów'!R95</f>
        <v>0</v>
      </c>
      <c r="S73" s="49" t="n">
        <f aca="false">'plan etatów'!S95</f>
        <v>0</v>
      </c>
      <c r="T73" s="49" t="n">
        <f aca="false">'plan etatów'!T95</f>
        <v>0</v>
      </c>
      <c r="U73" s="49" t="n">
        <f aca="false">'plan etatów'!U95</f>
        <v>0</v>
      </c>
      <c r="V73" s="49" t="n">
        <f aca="false">'plan etatów'!V95</f>
        <v>0</v>
      </c>
      <c r="W73" s="49" t="n">
        <f aca="false">'plan etatów'!W95</f>
        <v>0</v>
      </c>
      <c r="X73" s="49" t="n">
        <f aca="false">'plan etatów'!X95</f>
        <v>0</v>
      </c>
      <c r="Y73" s="49" t="n">
        <f aca="false">'plan etatów'!Y95</f>
        <v>0</v>
      </c>
      <c r="Z73" s="49" t="n">
        <f aca="false">'plan etatów'!Z95</f>
        <v>0</v>
      </c>
    </row>
    <row r="74" customFormat="false" ht="15" hidden="false" customHeight="false" outlineLevel="0" collapsed="false">
      <c r="A74" s="41" t="s">
        <v>33</v>
      </c>
      <c r="B74" s="41" t="n">
        <v>2</v>
      </c>
      <c r="C74" s="49" t="n">
        <f aca="false">SUM(D74:Z74)</f>
        <v>118493.71</v>
      </c>
      <c r="D74" s="49" t="n">
        <f aca="false">IF('plan etatów'!$AA$96=0,0,'nowy format 2'!$C$23*'plan etatów'!D96/'plan etatów'!$AA$96)</f>
        <v>0</v>
      </c>
      <c r="E74" s="49" t="n">
        <f aca="false">IF('plan etatów'!$AA$96=0,0,'nowy format 2'!$C$23*'plan etatów'!E96/'plan etatów'!$AA$96)</f>
        <v>0</v>
      </c>
      <c r="F74" s="49" t="n">
        <f aca="false">IF('plan etatów'!$AA$96=0,0,'nowy format 2'!$C$23*'plan etatów'!F96/'plan etatów'!$AA$96)</f>
        <v>0</v>
      </c>
      <c r="G74" s="49" t="n">
        <f aca="false">IF('plan etatów'!$AA$96=0,0,'nowy format 2'!$C$23*'plan etatów'!G96/'plan etatów'!$AA$96)</f>
        <v>0</v>
      </c>
      <c r="H74" s="49" t="n">
        <f aca="false">IF('plan etatów'!$AA$96=0,0,'nowy format 2'!$C$23*'plan etatów'!H96/'plan etatów'!$AA$96)</f>
        <v>0</v>
      </c>
      <c r="I74" s="49" t="n">
        <f aca="false">IF('plan etatów'!$AA$96=0,0,'nowy format 2'!$C$23*'plan etatów'!I96/'plan etatów'!$AA$96)</f>
        <v>19748.9516666667</v>
      </c>
      <c r="J74" s="49" t="n">
        <f aca="false">IF('plan etatów'!$AA$96=0,0,'nowy format 2'!$C$23*'plan etatów'!J96/'plan etatów'!$AA$96)</f>
        <v>19748.9516666667</v>
      </c>
      <c r="K74" s="49" t="n">
        <f aca="false">IF('plan etatów'!$AA$96=0,0,'nowy format 2'!$C$23*'plan etatów'!K96/'plan etatów'!$AA$96)</f>
        <v>19748.9516666667</v>
      </c>
      <c r="L74" s="49" t="n">
        <f aca="false">IF('plan etatów'!$AA$96=0,0,'nowy format 2'!$C$23*'plan etatów'!L96/'plan etatów'!$AA$96)</f>
        <v>19748.9516666667</v>
      </c>
      <c r="M74" s="49" t="n">
        <f aca="false">IF('plan etatów'!$AA$96=0,0,'nowy format 2'!$C$23*'plan etatów'!M96/'plan etatów'!$AA$96)</f>
        <v>19748.9516666667</v>
      </c>
      <c r="N74" s="49" t="n">
        <f aca="false">IF('plan etatów'!$AA$96=0,0,'nowy format 2'!$C$23*'plan etatów'!N96/'plan etatów'!$AA$96)</f>
        <v>19748.9516666667</v>
      </c>
      <c r="O74" s="49" t="n">
        <f aca="false">IF('plan etatów'!$AA$96=0,0,'nowy format 2'!$C$23*'plan etatów'!O96/'plan etatów'!$AA$96)</f>
        <v>0</v>
      </c>
      <c r="P74" s="49" t="n">
        <f aca="false">IF('plan etatów'!$AA$96=0,0,'nowy format 2'!$C$23*'plan etatów'!P96/'plan etatów'!$AA$96)</f>
        <v>0</v>
      </c>
      <c r="Q74" s="49" t="n">
        <f aca="false">IF('plan etatów'!$AA$96=0,0,'nowy format 2'!$C$23*'plan etatów'!Q96/'plan etatów'!$AA$96)</f>
        <v>0</v>
      </c>
      <c r="R74" s="49" t="n">
        <f aca="false">IF('plan etatów'!$AA$96=0,0,'nowy format 2'!$C$23*'plan etatów'!R96/'plan etatów'!$AA$96)</f>
        <v>0</v>
      </c>
      <c r="S74" s="49" t="n">
        <f aca="false">IF('plan etatów'!$AA$96=0,0,'nowy format 2'!$C$23*'plan etatów'!S96/'plan etatów'!$AA$96)</f>
        <v>0</v>
      </c>
      <c r="T74" s="49" t="n">
        <f aca="false">IF('plan etatów'!$AA$96=0,0,'nowy format 2'!$C$23*'plan etatów'!T96/'plan etatów'!$AA$96)</f>
        <v>0</v>
      </c>
      <c r="U74" s="49" t="n">
        <f aca="false">IF('plan etatów'!$AA$96=0,0,'nowy format 2'!$C$23*'plan etatów'!U96/'plan etatów'!$AA$96)</f>
        <v>0</v>
      </c>
      <c r="V74" s="49" t="n">
        <f aca="false">IF('plan etatów'!$AA$96=0,0,'nowy format 2'!$C$23*'plan etatów'!V96/'plan etatów'!$AA$96)</f>
        <v>0</v>
      </c>
      <c r="W74" s="49" t="n">
        <f aca="false">IF('plan etatów'!$AA$96=0,0,'nowy format 2'!$C$23*'plan etatów'!W96/'plan etatów'!$AA$96)</f>
        <v>0</v>
      </c>
      <c r="X74" s="49" t="n">
        <f aca="false">IF('plan etatów'!$AA$96=0,0,'nowy format 2'!$C$23*'plan etatów'!X96/'plan etatów'!$AA$96)</f>
        <v>0</v>
      </c>
      <c r="Y74" s="49" t="n">
        <f aca="false">IF('plan etatów'!$AA$96=0,0,'nowy format 2'!$C$23*'plan etatów'!Y96/'plan etatów'!$AA$96)</f>
        <v>0</v>
      </c>
      <c r="Z74" s="49" t="n">
        <f aca="false">IF('plan etatów'!$AA$96=0,0,'nowy format 2'!$C$23*'plan etatów'!Z96/'plan etatów'!$AA$96)</f>
        <v>0</v>
      </c>
    </row>
    <row r="75" customFormat="false" ht="15" hidden="false" customHeight="false" outlineLevel="0" collapsed="false">
      <c r="A75" s="41" t="s">
        <v>35</v>
      </c>
      <c r="B75" s="41" t="n">
        <v>3</v>
      </c>
      <c r="C75" s="49" t="n">
        <f aca="false">SUM(D75:Z75)</f>
        <v>443200</v>
      </c>
      <c r="D75" s="49" t="n">
        <f aca="false">'plan etatów'!D97</f>
        <v>0</v>
      </c>
      <c r="E75" s="49" t="n">
        <f aca="false">'plan etatów'!E97</f>
        <v>0</v>
      </c>
      <c r="F75" s="49" t="n">
        <f aca="false">'plan etatów'!F97</f>
        <v>0</v>
      </c>
      <c r="G75" s="49" t="n">
        <f aca="false">'plan etatów'!G97</f>
        <v>0</v>
      </c>
      <c r="H75" s="49" t="n">
        <f aca="false">'plan etatów'!H97</f>
        <v>0</v>
      </c>
      <c r="I75" s="49" t="n">
        <f aca="false">'plan etatów'!I97</f>
        <v>0</v>
      </c>
      <c r="J75" s="49" t="n">
        <f aca="false">'plan etatów'!J97</f>
        <v>0</v>
      </c>
      <c r="K75" s="49" t="n">
        <f aca="false">'plan etatów'!K97</f>
        <v>0</v>
      </c>
      <c r="L75" s="49" t="n">
        <f aca="false">'plan etatów'!L97</f>
        <v>0</v>
      </c>
      <c r="M75" s="49" t="n">
        <f aca="false">'plan etatów'!M97</f>
        <v>0</v>
      </c>
      <c r="N75" s="49" t="n">
        <f aca="false">'plan etatów'!N97</f>
        <v>0</v>
      </c>
      <c r="O75" s="49" t="n">
        <f aca="false">'plan etatów'!O97</f>
        <v>55400</v>
      </c>
      <c r="P75" s="49" t="n">
        <f aca="false">'plan etatów'!P97</f>
        <v>55400</v>
      </c>
      <c r="Q75" s="49" t="n">
        <f aca="false">'plan etatów'!Q97</f>
        <v>55400</v>
      </c>
      <c r="R75" s="49" t="n">
        <f aca="false">'plan etatów'!R97</f>
        <v>55400</v>
      </c>
      <c r="S75" s="49" t="n">
        <f aca="false">'plan etatów'!S97</f>
        <v>55400</v>
      </c>
      <c r="T75" s="49" t="n">
        <f aca="false">'plan etatów'!T97</f>
        <v>55400</v>
      </c>
      <c r="U75" s="49" t="n">
        <f aca="false">'plan etatów'!U97</f>
        <v>55400</v>
      </c>
      <c r="V75" s="49" t="n">
        <f aca="false">'plan etatów'!V97</f>
        <v>55400</v>
      </c>
      <c r="W75" s="49" t="n">
        <f aca="false">'plan etatów'!W97</f>
        <v>0</v>
      </c>
      <c r="X75" s="49" t="n">
        <f aca="false">'plan etatów'!X97</f>
        <v>0</v>
      </c>
      <c r="Y75" s="49" t="n">
        <f aca="false">'plan etatów'!Y97</f>
        <v>0</v>
      </c>
      <c r="Z75" s="49" t="n">
        <f aca="false">'plan etatów'!Z97</f>
        <v>0</v>
      </c>
    </row>
    <row r="76" customFormat="false" ht="15" hidden="false" customHeight="false" outlineLevel="0" collapsed="false">
      <c r="A76" s="41" t="s">
        <v>36</v>
      </c>
      <c r="B76" s="41" t="n">
        <v>3</v>
      </c>
      <c r="C76" s="49" t="n">
        <f aca="false">SUM(D76:Z76)</f>
        <v>150880</v>
      </c>
      <c r="D76" s="49" t="n">
        <f aca="false">'plan etatów'!D98</f>
        <v>0</v>
      </c>
      <c r="E76" s="49" t="n">
        <f aca="false">'plan etatów'!E98</f>
        <v>0</v>
      </c>
      <c r="F76" s="49" t="n">
        <f aca="false">'plan etatów'!F98</f>
        <v>0</v>
      </c>
      <c r="G76" s="49" t="n">
        <f aca="false">'plan etatów'!G98</f>
        <v>0</v>
      </c>
      <c r="H76" s="49" t="n">
        <f aca="false">'plan etatów'!H98</f>
        <v>0</v>
      </c>
      <c r="I76" s="49" t="n">
        <f aca="false">'plan etatów'!I98</f>
        <v>0</v>
      </c>
      <c r="J76" s="49" t="n">
        <f aca="false">'plan etatów'!J98</f>
        <v>0</v>
      </c>
      <c r="K76" s="49" t="n">
        <f aca="false">'plan etatów'!K98</f>
        <v>0</v>
      </c>
      <c r="L76" s="49" t="n">
        <f aca="false">'plan etatów'!L98</f>
        <v>0</v>
      </c>
      <c r="M76" s="49" t="n">
        <f aca="false">'plan etatów'!M98</f>
        <v>0</v>
      </c>
      <c r="N76" s="49" t="n">
        <f aca="false">'plan etatów'!N98</f>
        <v>0</v>
      </c>
      <c r="O76" s="49" t="n">
        <f aca="false">'plan etatów'!O98</f>
        <v>18860</v>
      </c>
      <c r="P76" s="49" t="n">
        <f aca="false">'plan etatów'!P98</f>
        <v>18860</v>
      </c>
      <c r="Q76" s="49" t="n">
        <f aca="false">'plan etatów'!Q98</f>
        <v>18860</v>
      </c>
      <c r="R76" s="49" t="n">
        <f aca="false">'plan etatów'!R98</f>
        <v>18860</v>
      </c>
      <c r="S76" s="49" t="n">
        <f aca="false">'plan etatów'!S98</f>
        <v>18860</v>
      </c>
      <c r="T76" s="49" t="n">
        <f aca="false">'plan etatów'!T98</f>
        <v>18860</v>
      </c>
      <c r="U76" s="49" t="n">
        <f aca="false">'plan etatów'!U98</f>
        <v>18860</v>
      </c>
      <c r="V76" s="49" t="n">
        <f aca="false">'plan etatów'!V98</f>
        <v>18860</v>
      </c>
      <c r="W76" s="49" t="n">
        <f aca="false">'plan etatów'!W98</f>
        <v>0</v>
      </c>
      <c r="X76" s="49" t="n">
        <f aca="false">'plan etatów'!X98</f>
        <v>0</v>
      </c>
      <c r="Y76" s="49" t="n">
        <f aca="false">'plan etatów'!Y98</f>
        <v>0</v>
      </c>
      <c r="Z76" s="49" t="n">
        <f aca="false">'plan etatów'!Z98</f>
        <v>0</v>
      </c>
    </row>
    <row r="77" customFormat="false" ht="15" hidden="false" customHeight="false" outlineLevel="0" collapsed="false">
      <c r="A77" s="41" t="s">
        <v>37</v>
      </c>
      <c r="B77" s="41" t="n">
        <v>3</v>
      </c>
      <c r="C77" s="49" t="n">
        <f aca="false">SUM(D77:Z77)</f>
        <v>203325</v>
      </c>
      <c r="D77" s="49" t="n">
        <f aca="false">'plan etatów'!D99</f>
        <v>0</v>
      </c>
      <c r="E77" s="49" t="n">
        <f aca="false">'plan etatów'!E99</f>
        <v>0</v>
      </c>
      <c r="F77" s="49" t="n">
        <f aca="false">'plan etatów'!F99</f>
        <v>0</v>
      </c>
      <c r="G77" s="49" t="n">
        <f aca="false">'plan etatów'!G99</f>
        <v>0</v>
      </c>
      <c r="H77" s="49" t="n">
        <f aca="false">'plan etatów'!H99</f>
        <v>0</v>
      </c>
      <c r="I77" s="49" t="n">
        <f aca="false">'plan etatów'!I99</f>
        <v>0</v>
      </c>
      <c r="J77" s="49" t="n">
        <f aca="false">'plan etatów'!J99</f>
        <v>0</v>
      </c>
      <c r="K77" s="49" t="n">
        <f aca="false">'plan etatów'!K99</f>
        <v>0</v>
      </c>
      <c r="L77" s="49" t="n">
        <f aca="false">'plan etatów'!L99</f>
        <v>0</v>
      </c>
      <c r="M77" s="49" t="n">
        <f aca="false">'plan etatów'!M99</f>
        <v>0</v>
      </c>
      <c r="N77" s="49" t="n">
        <f aca="false">'plan etatów'!N99</f>
        <v>0</v>
      </c>
      <c r="O77" s="49" t="n">
        <f aca="false">'plan etatów'!O99</f>
        <v>20332.5</v>
      </c>
      <c r="P77" s="49" t="n">
        <f aca="false">'plan etatów'!P99</f>
        <v>20332.5</v>
      </c>
      <c r="Q77" s="49" t="n">
        <f aca="false">'plan etatów'!Q99</f>
        <v>27110</v>
      </c>
      <c r="R77" s="49" t="n">
        <f aca="false">'plan etatów'!R99</f>
        <v>27110</v>
      </c>
      <c r="S77" s="49" t="n">
        <f aca="false">'plan etatów'!S99</f>
        <v>27110</v>
      </c>
      <c r="T77" s="49" t="n">
        <f aca="false">'plan etatów'!T99</f>
        <v>27110</v>
      </c>
      <c r="U77" s="49" t="n">
        <f aca="false">'plan etatów'!U99</f>
        <v>27110</v>
      </c>
      <c r="V77" s="49" t="n">
        <f aca="false">'plan etatów'!V99</f>
        <v>27110</v>
      </c>
      <c r="W77" s="49" t="n">
        <f aca="false">'plan etatów'!W99</f>
        <v>0</v>
      </c>
      <c r="X77" s="49" t="n">
        <f aca="false">'plan etatów'!X99</f>
        <v>0</v>
      </c>
      <c r="Y77" s="49" t="n">
        <f aca="false">'plan etatów'!Y99</f>
        <v>0</v>
      </c>
      <c r="Z77" s="49" t="n">
        <f aca="false">'plan etatów'!Z99</f>
        <v>0</v>
      </c>
    </row>
    <row r="78" customFormat="false" ht="15" hidden="false" customHeight="false" outlineLevel="0" collapsed="false">
      <c r="A78" s="41" t="s">
        <v>38</v>
      </c>
      <c r="B78" s="41" t="n">
        <v>3</v>
      </c>
      <c r="C78" s="49" t="n">
        <f aca="false">SUM(D78:Z78)</f>
        <v>165000</v>
      </c>
      <c r="D78" s="49" t="n">
        <f aca="false">'plan etatów'!D100</f>
        <v>0</v>
      </c>
      <c r="E78" s="49" t="n">
        <f aca="false">'plan etatów'!E100</f>
        <v>0</v>
      </c>
      <c r="F78" s="49" t="n">
        <f aca="false">'plan etatów'!F100</f>
        <v>0</v>
      </c>
      <c r="G78" s="49" t="n">
        <f aca="false">'plan etatów'!G100</f>
        <v>0</v>
      </c>
      <c r="H78" s="49" t="n">
        <f aca="false">'plan etatów'!H100</f>
        <v>0</v>
      </c>
      <c r="I78" s="49" t="n">
        <f aca="false">'plan etatów'!I100</f>
        <v>0</v>
      </c>
      <c r="J78" s="49" t="n">
        <f aca="false">'plan etatów'!J100</f>
        <v>0</v>
      </c>
      <c r="K78" s="49" t="n">
        <f aca="false">'plan etatów'!K100</f>
        <v>0</v>
      </c>
      <c r="L78" s="49" t="n">
        <f aca="false">'plan etatów'!L100</f>
        <v>0</v>
      </c>
      <c r="M78" s="49" t="n">
        <f aca="false">'plan etatów'!M100</f>
        <v>0</v>
      </c>
      <c r="N78" s="49" t="n">
        <f aca="false">'plan etatów'!N100</f>
        <v>0</v>
      </c>
      <c r="O78" s="49" t="n">
        <f aca="false">'plan etatów'!O100</f>
        <v>20625</v>
      </c>
      <c r="P78" s="49" t="n">
        <f aca="false">'plan etatów'!P100</f>
        <v>20625</v>
      </c>
      <c r="Q78" s="49" t="n">
        <f aca="false">'plan etatów'!Q100</f>
        <v>20625</v>
      </c>
      <c r="R78" s="49" t="n">
        <f aca="false">'plan etatów'!R100</f>
        <v>20625</v>
      </c>
      <c r="S78" s="49" t="n">
        <f aca="false">'plan etatów'!S100</f>
        <v>20625</v>
      </c>
      <c r="T78" s="49" t="n">
        <f aca="false">'plan etatów'!T100</f>
        <v>20625</v>
      </c>
      <c r="U78" s="49" t="n">
        <f aca="false">'plan etatów'!U100</f>
        <v>20625</v>
      </c>
      <c r="V78" s="49" t="n">
        <f aca="false">'plan etatów'!V100</f>
        <v>20625</v>
      </c>
      <c r="W78" s="49" t="n">
        <f aca="false">'plan etatów'!W100</f>
        <v>0</v>
      </c>
      <c r="X78" s="49" t="n">
        <f aca="false">'plan etatów'!X100</f>
        <v>0</v>
      </c>
      <c r="Y78" s="49" t="n">
        <f aca="false">'plan etatów'!Y100</f>
        <v>0</v>
      </c>
      <c r="Z78" s="49" t="n">
        <f aca="false">'plan etatów'!Z100</f>
        <v>0</v>
      </c>
    </row>
    <row r="79" customFormat="false" ht="15" hidden="false" customHeight="false" outlineLevel="0" collapsed="false">
      <c r="A79" s="41" t="s">
        <v>39</v>
      </c>
      <c r="B79" s="41" t="n">
        <v>3</v>
      </c>
      <c r="C79" s="49" t="n">
        <f aca="false">SUM(D79:Z79)</f>
        <v>59520</v>
      </c>
      <c r="D79" s="49" t="n">
        <f aca="false">'plan etatów'!D101</f>
        <v>0</v>
      </c>
      <c r="E79" s="49" t="n">
        <f aca="false">'plan etatów'!E101</f>
        <v>0</v>
      </c>
      <c r="F79" s="49" t="n">
        <f aca="false">'plan etatów'!F101</f>
        <v>0</v>
      </c>
      <c r="G79" s="49" t="n">
        <f aca="false">'plan etatów'!G101</f>
        <v>0</v>
      </c>
      <c r="H79" s="49" t="n">
        <f aca="false">'plan etatów'!H101</f>
        <v>0</v>
      </c>
      <c r="I79" s="49" t="n">
        <f aca="false">'plan etatów'!I101</f>
        <v>0</v>
      </c>
      <c r="J79" s="49" t="n">
        <f aca="false">'plan etatów'!J101</f>
        <v>0</v>
      </c>
      <c r="K79" s="49" t="n">
        <f aca="false">'plan etatów'!K101</f>
        <v>0</v>
      </c>
      <c r="L79" s="49" t="n">
        <f aca="false">'plan etatów'!L101</f>
        <v>0</v>
      </c>
      <c r="M79" s="49" t="n">
        <f aca="false">'plan etatów'!M101</f>
        <v>0</v>
      </c>
      <c r="N79" s="49" t="n">
        <f aca="false">'plan etatów'!N101</f>
        <v>0</v>
      </c>
      <c r="O79" s="49" t="n">
        <f aca="false">'plan etatów'!O101</f>
        <v>7440</v>
      </c>
      <c r="P79" s="49" t="n">
        <f aca="false">'plan etatów'!P101</f>
        <v>7440</v>
      </c>
      <c r="Q79" s="49" t="n">
        <f aca="false">'plan etatów'!Q101</f>
        <v>7440</v>
      </c>
      <c r="R79" s="49" t="n">
        <f aca="false">'plan etatów'!R101</f>
        <v>7440</v>
      </c>
      <c r="S79" s="49" t="n">
        <f aca="false">'plan etatów'!S101</f>
        <v>7440</v>
      </c>
      <c r="T79" s="49" t="n">
        <f aca="false">'plan etatów'!T101</f>
        <v>7440</v>
      </c>
      <c r="U79" s="49" t="n">
        <f aca="false">'plan etatów'!U101</f>
        <v>7440</v>
      </c>
      <c r="V79" s="49" t="n">
        <f aca="false">'plan etatów'!V101</f>
        <v>7440</v>
      </c>
      <c r="W79" s="49" t="n">
        <f aca="false">'plan etatów'!W101</f>
        <v>0</v>
      </c>
      <c r="X79" s="49" t="n">
        <f aca="false">'plan etatów'!X101</f>
        <v>0</v>
      </c>
      <c r="Y79" s="49" t="n">
        <f aca="false">'plan etatów'!Y101</f>
        <v>0</v>
      </c>
      <c r="Z79" s="49" t="n">
        <f aca="false">'plan etatów'!Z101</f>
        <v>0</v>
      </c>
    </row>
    <row r="80" customFormat="false" ht="15" hidden="false" customHeight="false" outlineLevel="0" collapsed="false">
      <c r="A80" s="41" t="s">
        <v>40</v>
      </c>
      <c r="B80" s="41" t="n">
        <v>3</v>
      </c>
      <c r="C80" s="49" t="n">
        <f aca="false">SUM(D80:Z80)</f>
        <v>165000</v>
      </c>
      <c r="D80" s="49" t="n">
        <f aca="false">'plan etatów'!D102</f>
        <v>0</v>
      </c>
      <c r="E80" s="49" t="n">
        <f aca="false">'plan etatów'!E102</f>
        <v>0</v>
      </c>
      <c r="F80" s="49" t="n">
        <f aca="false">'plan etatów'!F102</f>
        <v>0</v>
      </c>
      <c r="G80" s="49" t="n">
        <f aca="false">'plan etatów'!G102</f>
        <v>0</v>
      </c>
      <c r="H80" s="49" t="n">
        <f aca="false">'plan etatów'!H102</f>
        <v>0</v>
      </c>
      <c r="I80" s="49" t="n">
        <f aca="false">'plan etatów'!I102</f>
        <v>0</v>
      </c>
      <c r="J80" s="49" t="n">
        <f aca="false">'plan etatów'!J102</f>
        <v>0</v>
      </c>
      <c r="K80" s="49" t="n">
        <f aca="false">'plan etatów'!K102</f>
        <v>0</v>
      </c>
      <c r="L80" s="49" t="n">
        <f aca="false">'plan etatów'!L102</f>
        <v>0</v>
      </c>
      <c r="M80" s="49" t="n">
        <f aca="false">'plan etatów'!M102</f>
        <v>0</v>
      </c>
      <c r="N80" s="49" t="n">
        <f aca="false">'plan etatów'!N102</f>
        <v>0</v>
      </c>
      <c r="O80" s="49" t="n">
        <f aca="false">'plan etatów'!O102</f>
        <v>20625</v>
      </c>
      <c r="P80" s="49" t="n">
        <f aca="false">'plan etatów'!P102</f>
        <v>20625</v>
      </c>
      <c r="Q80" s="49" t="n">
        <f aca="false">'plan etatów'!Q102</f>
        <v>20625</v>
      </c>
      <c r="R80" s="49" t="n">
        <f aca="false">'plan etatów'!R102</f>
        <v>20625</v>
      </c>
      <c r="S80" s="49" t="n">
        <f aca="false">'plan etatów'!S102</f>
        <v>20625</v>
      </c>
      <c r="T80" s="49" t="n">
        <f aca="false">'plan etatów'!T102</f>
        <v>20625</v>
      </c>
      <c r="U80" s="49" t="n">
        <f aca="false">'plan etatów'!U102</f>
        <v>20625</v>
      </c>
      <c r="V80" s="49" t="n">
        <f aca="false">'plan etatów'!V102</f>
        <v>20625</v>
      </c>
      <c r="W80" s="49" t="n">
        <f aca="false">'plan etatów'!W102</f>
        <v>0</v>
      </c>
      <c r="X80" s="49" t="n">
        <f aca="false">'plan etatów'!X102</f>
        <v>0</v>
      </c>
      <c r="Y80" s="49" t="n">
        <f aca="false">'plan etatów'!Y102</f>
        <v>0</v>
      </c>
      <c r="Z80" s="49" t="n">
        <f aca="false">'plan etatów'!Z102</f>
        <v>0</v>
      </c>
    </row>
    <row r="81" customFormat="false" ht="15" hidden="false" customHeight="false" outlineLevel="0" collapsed="false">
      <c r="A81" s="41" t="s">
        <v>41</v>
      </c>
      <c r="B81" s="41" t="n">
        <v>3</v>
      </c>
      <c r="C81" s="49" t="n">
        <f aca="false">SUM(D81:Z81)</f>
        <v>39360</v>
      </c>
      <c r="D81" s="49" t="n">
        <f aca="false">'plan etatów'!D103</f>
        <v>0</v>
      </c>
      <c r="E81" s="49" t="n">
        <f aca="false">'plan etatów'!E103</f>
        <v>0</v>
      </c>
      <c r="F81" s="49" t="n">
        <f aca="false">'plan etatów'!F103</f>
        <v>0</v>
      </c>
      <c r="G81" s="49" t="n">
        <f aca="false">'plan etatów'!G103</f>
        <v>0</v>
      </c>
      <c r="H81" s="49" t="n">
        <f aca="false">'plan etatów'!H103</f>
        <v>0</v>
      </c>
      <c r="I81" s="49" t="n">
        <f aca="false">'plan etatów'!I103</f>
        <v>0</v>
      </c>
      <c r="J81" s="49" t="n">
        <f aca="false">'plan etatów'!J103</f>
        <v>0</v>
      </c>
      <c r="K81" s="49" t="n">
        <f aca="false">'plan etatów'!K103</f>
        <v>0</v>
      </c>
      <c r="L81" s="49" t="n">
        <f aca="false">'plan etatów'!L103</f>
        <v>0</v>
      </c>
      <c r="M81" s="49" t="n">
        <f aca="false">'plan etatów'!M103</f>
        <v>0</v>
      </c>
      <c r="N81" s="49" t="n">
        <f aca="false">'plan etatów'!N103</f>
        <v>0</v>
      </c>
      <c r="O81" s="49" t="n">
        <f aca="false">'plan etatów'!O103</f>
        <v>4920</v>
      </c>
      <c r="P81" s="49" t="n">
        <f aca="false">'plan etatów'!P103</f>
        <v>4920</v>
      </c>
      <c r="Q81" s="49" t="n">
        <f aca="false">'plan etatów'!Q103</f>
        <v>4920</v>
      </c>
      <c r="R81" s="49" t="n">
        <f aca="false">'plan etatów'!R103</f>
        <v>4920</v>
      </c>
      <c r="S81" s="49" t="n">
        <f aca="false">'plan etatów'!S103</f>
        <v>4920</v>
      </c>
      <c r="T81" s="49" t="n">
        <f aca="false">'plan etatów'!T103</f>
        <v>4920</v>
      </c>
      <c r="U81" s="49" t="n">
        <f aca="false">'plan etatów'!U103</f>
        <v>4920</v>
      </c>
      <c r="V81" s="49" t="n">
        <f aca="false">'plan etatów'!V103</f>
        <v>4920</v>
      </c>
      <c r="W81" s="49" t="n">
        <f aca="false">'plan etatów'!W103</f>
        <v>0</v>
      </c>
      <c r="X81" s="49" t="n">
        <f aca="false">'plan etatów'!X103</f>
        <v>0</v>
      </c>
      <c r="Y81" s="49" t="n">
        <f aca="false">'plan etatów'!Y103</f>
        <v>0</v>
      </c>
      <c r="Z81" s="49" t="n">
        <f aca="false">'plan etatów'!Z103</f>
        <v>0</v>
      </c>
    </row>
    <row r="82" customFormat="false" ht="15" hidden="false" customHeight="false" outlineLevel="0" collapsed="false">
      <c r="A82" s="41" t="s">
        <v>42</v>
      </c>
      <c r="B82" s="41" t="n">
        <v>3</v>
      </c>
      <c r="C82" s="49" t="n">
        <f aca="false">SUM(D82:Z82)</f>
        <v>4552.16</v>
      </c>
      <c r="D82" s="49" t="n">
        <f aca="false">'plan etatów'!D104</f>
        <v>0</v>
      </c>
      <c r="E82" s="49" t="n">
        <f aca="false">'plan etatów'!E104</f>
        <v>0</v>
      </c>
      <c r="F82" s="49" t="n">
        <f aca="false">'plan etatów'!F104</f>
        <v>0</v>
      </c>
      <c r="G82" s="49" t="n">
        <f aca="false">'plan etatów'!G104</f>
        <v>0</v>
      </c>
      <c r="H82" s="49" t="n">
        <f aca="false">'plan etatów'!H104</f>
        <v>0</v>
      </c>
      <c r="I82" s="49" t="n">
        <f aca="false">'plan etatów'!I104</f>
        <v>0</v>
      </c>
      <c r="J82" s="49" t="n">
        <f aca="false">'plan etatów'!J104</f>
        <v>0</v>
      </c>
      <c r="K82" s="49" t="n">
        <f aca="false">'plan etatów'!K104</f>
        <v>0</v>
      </c>
      <c r="L82" s="49" t="n">
        <f aca="false">'plan etatów'!L104</f>
        <v>0</v>
      </c>
      <c r="M82" s="49" t="n">
        <f aca="false">'plan etatów'!M104</f>
        <v>0</v>
      </c>
      <c r="N82" s="49" t="n">
        <f aca="false">'plan etatów'!N104</f>
        <v>0</v>
      </c>
      <c r="O82" s="49" t="n">
        <f aca="false">'plan etatów'!O104</f>
        <v>569.02</v>
      </c>
      <c r="P82" s="49" t="n">
        <f aca="false">'plan etatów'!P104</f>
        <v>569.02</v>
      </c>
      <c r="Q82" s="49" t="n">
        <f aca="false">'plan etatów'!Q104</f>
        <v>569.02</v>
      </c>
      <c r="R82" s="49" t="n">
        <f aca="false">'plan etatów'!R104</f>
        <v>569.02</v>
      </c>
      <c r="S82" s="49" t="n">
        <f aca="false">'plan etatów'!S104</f>
        <v>569.02</v>
      </c>
      <c r="T82" s="49" t="n">
        <f aca="false">'plan etatów'!T104</f>
        <v>569.02</v>
      </c>
      <c r="U82" s="49" t="n">
        <f aca="false">'plan etatów'!U104</f>
        <v>569.02</v>
      </c>
      <c r="V82" s="49" t="n">
        <f aca="false">'plan etatów'!V104</f>
        <v>569.02</v>
      </c>
      <c r="W82" s="49" t="n">
        <f aca="false">'plan etatów'!W104</f>
        <v>0</v>
      </c>
      <c r="X82" s="49" t="n">
        <f aca="false">'plan etatów'!X104</f>
        <v>0</v>
      </c>
      <c r="Y82" s="49" t="n">
        <f aca="false">'plan etatów'!Y104</f>
        <v>0</v>
      </c>
      <c r="Z82" s="49" t="n">
        <f aca="false">'plan etatów'!Z104</f>
        <v>0</v>
      </c>
    </row>
    <row r="83" customFormat="false" ht="15" hidden="false" customHeight="false" outlineLevel="0" collapsed="false">
      <c r="A83" s="41" t="s">
        <v>43</v>
      </c>
      <c r="B83" s="41" t="n">
        <v>3</v>
      </c>
      <c r="C83" s="49" t="n">
        <f aca="false">SUM(D83:Z83)</f>
        <v>158000</v>
      </c>
      <c r="D83" s="49" t="n">
        <f aca="false">'plan etatów'!D105</f>
        <v>0</v>
      </c>
      <c r="E83" s="49" t="n">
        <f aca="false">'plan etatów'!E105</f>
        <v>0</v>
      </c>
      <c r="F83" s="49" t="n">
        <f aca="false">'plan etatów'!F105</f>
        <v>0</v>
      </c>
      <c r="G83" s="49" t="n">
        <f aca="false">'plan etatów'!G105</f>
        <v>0</v>
      </c>
      <c r="H83" s="49" t="n">
        <f aca="false">'plan etatów'!H105</f>
        <v>0</v>
      </c>
      <c r="I83" s="49" t="n">
        <f aca="false">'plan etatów'!I105</f>
        <v>0</v>
      </c>
      <c r="J83" s="49" t="n">
        <f aca="false">'plan etatów'!J105</f>
        <v>0</v>
      </c>
      <c r="K83" s="49" t="n">
        <f aca="false">'plan etatów'!K105</f>
        <v>0</v>
      </c>
      <c r="L83" s="49" t="n">
        <f aca="false">'plan etatów'!L105</f>
        <v>0</v>
      </c>
      <c r="M83" s="49" t="n">
        <f aca="false">'plan etatów'!M105</f>
        <v>0</v>
      </c>
      <c r="N83" s="49" t="n">
        <f aca="false">'plan etatów'!N105</f>
        <v>0</v>
      </c>
      <c r="O83" s="49" t="n">
        <f aca="false">'plan etatów'!O105</f>
        <v>19750</v>
      </c>
      <c r="P83" s="49" t="n">
        <f aca="false">'plan etatów'!P105</f>
        <v>19750</v>
      </c>
      <c r="Q83" s="49" t="n">
        <f aca="false">'plan etatów'!Q105</f>
        <v>19750</v>
      </c>
      <c r="R83" s="49" t="n">
        <f aca="false">'plan etatów'!R105</f>
        <v>19750</v>
      </c>
      <c r="S83" s="49" t="n">
        <f aca="false">'plan etatów'!S105</f>
        <v>19750</v>
      </c>
      <c r="T83" s="49" t="n">
        <f aca="false">'plan etatów'!T105</f>
        <v>19750</v>
      </c>
      <c r="U83" s="49" t="n">
        <f aca="false">'plan etatów'!U105</f>
        <v>19750</v>
      </c>
      <c r="V83" s="49" t="n">
        <f aca="false">'plan etatów'!V105</f>
        <v>19750</v>
      </c>
      <c r="W83" s="49" t="n">
        <f aca="false">'plan etatów'!W105</f>
        <v>0</v>
      </c>
      <c r="X83" s="49" t="n">
        <f aca="false">'plan etatów'!X105</f>
        <v>0</v>
      </c>
      <c r="Y83" s="49" t="n">
        <f aca="false">'plan etatów'!Y105</f>
        <v>0</v>
      </c>
      <c r="Z83" s="49" t="n">
        <f aca="false">'plan etatów'!Z105</f>
        <v>0</v>
      </c>
    </row>
    <row r="84" customFormat="false" ht="15" hidden="false" customHeight="false" outlineLevel="0" collapsed="false">
      <c r="A84" s="41" t="s">
        <v>45</v>
      </c>
      <c r="B84" s="41" t="n">
        <v>4</v>
      </c>
      <c r="C84" s="49" t="n">
        <f aca="false">SUM(D84:Z84)</f>
        <v>221600</v>
      </c>
      <c r="D84" s="49" t="n">
        <f aca="false">'plan etatów'!D106</f>
        <v>0</v>
      </c>
      <c r="E84" s="49" t="n">
        <f aca="false">'plan etatów'!E106</f>
        <v>0</v>
      </c>
      <c r="F84" s="49" t="n">
        <f aca="false">'plan etatów'!F106</f>
        <v>0</v>
      </c>
      <c r="G84" s="49" t="n">
        <f aca="false">'plan etatów'!G106</f>
        <v>0</v>
      </c>
      <c r="H84" s="49" t="n">
        <f aca="false">'plan etatów'!H106</f>
        <v>0</v>
      </c>
      <c r="I84" s="49" t="n">
        <f aca="false">'plan etatów'!I106</f>
        <v>0</v>
      </c>
      <c r="J84" s="49" t="n">
        <f aca="false">'plan etatów'!J106</f>
        <v>0</v>
      </c>
      <c r="K84" s="49" t="n">
        <f aca="false">'plan etatów'!K106</f>
        <v>0</v>
      </c>
      <c r="L84" s="49" t="n">
        <f aca="false">'plan etatów'!L106</f>
        <v>0</v>
      </c>
      <c r="M84" s="49" t="n">
        <f aca="false">'plan etatów'!M106</f>
        <v>0</v>
      </c>
      <c r="N84" s="49" t="n">
        <f aca="false">'plan etatów'!N106</f>
        <v>0</v>
      </c>
      <c r="O84" s="49" t="n">
        <f aca="false">'plan etatów'!O106</f>
        <v>0</v>
      </c>
      <c r="P84" s="49" t="n">
        <f aca="false">'plan etatów'!P106</f>
        <v>0</v>
      </c>
      <c r="Q84" s="49" t="n">
        <f aca="false">'plan etatów'!Q106</f>
        <v>0</v>
      </c>
      <c r="R84" s="49" t="n">
        <f aca="false">'plan etatów'!R106</f>
        <v>0</v>
      </c>
      <c r="S84" s="49" t="n">
        <f aca="false">'plan etatów'!S106</f>
        <v>0</v>
      </c>
      <c r="T84" s="49" t="n">
        <f aca="false">'plan etatów'!T106</f>
        <v>0</v>
      </c>
      <c r="U84" s="49" t="n">
        <f aca="false">'plan etatów'!U106</f>
        <v>0</v>
      </c>
      <c r="V84" s="49" t="n">
        <f aca="false">'plan etatów'!V106</f>
        <v>0</v>
      </c>
      <c r="W84" s="49" t="n">
        <f aca="false">'plan etatów'!W106</f>
        <v>55400</v>
      </c>
      <c r="X84" s="49" t="n">
        <f aca="false">'plan etatów'!X106</f>
        <v>55400</v>
      </c>
      <c r="Y84" s="49" t="n">
        <f aca="false">'plan etatów'!Y106</f>
        <v>55400</v>
      </c>
      <c r="Z84" s="49" t="n">
        <f aca="false">'plan etatów'!Z106</f>
        <v>55400</v>
      </c>
    </row>
    <row r="85" customFormat="false" ht="15" hidden="false" customHeight="false" outlineLevel="0" collapsed="false">
      <c r="A85" s="41" t="s">
        <v>46</v>
      </c>
      <c r="B85" s="41" t="n">
        <v>4</v>
      </c>
      <c r="C85" s="49" t="n">
        <f aca="false">SUM(D85:Z85)</f>
        <v>37720</v>
      </c>
      <c r="D85" s="49" t="n">
        <f aca="false">'plan etatów'!D107</f>
        <v>0</v>
      </c>
      <c r="E85" s="49" t="n">
        <f aca="false">'plan etatów'!E107</f>
        <v>0</v>
      </c>
      <c r="F85" s="49" t="n">
        <f aca="false">'plan etatów'!F107</f>
        <v>0</v>
      </c>
      <c r="G85" s="49" t="n">
        <f aca="false">'plan etatów'!G107</f>
        <v>0</v>
      </c>
      <c r="H85" s="49" t="n">
        <f aca="false">'plan etatów'!H107</f>
        <v>0</v>
      </c>
      <c r="I85" s="49" t="n">
        <f aca="false">'plan etatów'!I107</f>
        <v>0</v>
      </c>
      <c r="J85" s="49" t="n">
        <f aca="false">'plan etatów'!J107</f>
        <v>0</v>
      </c>
      <c r="K85" s="49" t="n">
        <f aca="false">'plan etatów'!K107</f>
        <v>0</v>
      </c>
      <c r="L85" s="49" t="n">
        <f aca="false">'plan etatów'!L107</f>
        <v>0</v>
      </c>
      <c r="M85" s="49" t="n">
        <f aca="false">'plan etatów'!M107</f>
        <v>0</v>
      </c>
      <c r="N85" s="49" t="n">
        <f aca="false">'plan etatów'!N107</f>
        <v>0</v>
      </c>
      <c r="O85" s="49" t="n">
        <f aca="false">'plan etatów'!O107</f>
        <v>0</v>
      </c>
      <c r="P85" s="49" t="n">
        <f aca="false">'plan etatów'!P107</f>
        <v>0</v>
      </c>
      <c r="Q85" s="49" t="n">
        <f aca="false">'plan etatów'!Q107</f>
        <v>0</v>
      </c>
      <c r="R85" s="49" t="n">
        <f aca="false">'plan etatów'!R107</f>
        <v>0</v>
      </c>
      <c r="S85" s="49" t="n">
        <f aca="false">'plan etatów'!S107</f>
        <v>0</v>
      </c>
      <c r="T85" s="49" t="n">
        <f aca="false">'plan etatów'!T107</f>
        <v>0</v>
      </c>
      <c r="U85" s="49" t="n">
        <f aca="false">'plan etatów'!U107</f>
        <v>0</v>
      </c>
      <c r="V85" s="49" t="n">
        <f aca="false">'plan etatów'!V107</f>
        <v>0</v>
      </c>
      <c r="W85" s="49" t="n">
        <f aca="false">'plan etatów'!W107</f>
        <v>9430</v>
      </c>
      <c r="X85" s="49" t="n">
        <f aca="false">'plan etatów'!X107</f>
        <v>9430</v>
      </c>
      <c r="Y85" s="49" t="n">
        <f aca="false">'plan etatów'!Y107</f>
        <v>9430</v>
      </c>
      <c r="Z85" s="49" t="n">
        <f aca="false">'plan etatów'!Z107</f>
        <v>9430</v>
      </c>
    </row>
    <row r="86" customFormat="false" ht="15" hidden="false" customHeight="false" outlineLevel="0" collapsed="false">
      <c r="A86" s="41" t="s">
        <v>47</v>
      </c>
      <c r="B86" s="41" t="n">
        <v>4</v>
      </c>
      <c r="C86" s="49" t="n">
        <f aca="false">SUM(D86:Z86)</f>
        <v>108440</v>
      </c>
      <c r="D86" s="49" t="n">
        <f aca="false">'plan etatów'!D108</f>
        <v>0</v>
      </c>
      <c r="E86" s="49" t="n">
        <f aca="false">'plan etatów'!E108</f>
        <v>0</v>
      </c>
      <c r="F86" s="49" t="n">
        <f aca="false">'plan etatów'!F108</f>
        <v>0</v>
      </c>
      <c r="G86" s="49" t="n">
        <f aca="false">'plan etatów'!G108</f>
        <v>0</v>
      </c>
      <c r="H86" s="49" t="n">
        <f aca="false">'plan etatów'!H108</f>
        <v>0</v>
      </c>
      <c r="I86" s="49" t="n">
        <f aca="false">'plan etatów'!I108</f>
        <v>0</v>
      </c>
      <c r="J86" s="49" t="n">
        <f aca="false">'plan etatów'!J108</f>
        <v>0</v>
      </c>
      <c r="K86" s="49" t="n">
        <f aca="false">'plan etatów'!K108</f>
        <v>0</v>
      </c>
      <c r="L86" s="49" t="n">
        <f aca="false">'plan etatów'!L108</f>
        <v>0</v>
      </c>
      <c r="M86" s="49" t="n">
        <f aca="false">'plan etatów'!M108</f>
        <v>0</v>
      </c>
      <c r="N86" s="49" t="n">
        <f aca="false">'plan etatów'!N108</f>
        <v>0</v>
      </c>
      <c r="O86" s="49" t="n">
        <f aca="false">'plan etatów'!O108</f>
        <v>0</v>
      </c>
      <c r="P86" s="49" t="n">
        <f aca="false">'plan etatów'!P108</f>
        <v>0</v>
      </c>
      <c r="Q86" s="49" t="n">
        <f aca="false">'plan etatów'!Q108</f>
        <v>0</v>
      </c>
      <c r="R86" s="49" t="n">
        <f aca="false">'plan etatów'!R108</f>
        <v>0</v>
      </c>
      <c r="S86" s="49" t="n">
        <f aca="false">'plan etatów'!S108</f>
        <v>0</v>
      </c>
      <c r="T86" s="49" t="n">
        <f aca="false">'plan etatów'!T108</f>
        <v>0</v>
      </c>
      <c r="U86" s="49" t="n">
        <f aca="false">'plan etatów'!U108</f>
        <v>0</v>
      </c>
      <c r="V86" s="49" t="n">
        <f aca="false">'plan etatów'!V108</f>
        <v>0</v>
      </c>
      <c r="W86" s="49" t="n">
        <f aca="false">'plan etatów'!W108</f>
        <v>27110</v>
      </c>
      <c r="X86" s="49" t="n">
        <f aca="false">'plan etatów'!X108</f>
        <v>27110</v>
      </c>
      <c r="Y86" s="49" t="n">
        <f aca="false">'plan etatów'!Y108</f>
        <v>27110</v>
      </c>
      <c r="Z86" s="49" t="n">
        <f aca="false">'plan etatów'!Z108</f>
        <v>27110</v>
      </c>
    </row>
    <row r="87" customFormat="false" ht="15" hidden="false" customHeight="false" outlineLevel="0" collapsed="false">
      <c r="A87" s="41" t="s">
        <v>48</v>
      </c>
      <c r="B87" s="41" t="n">
        <v>4</v>
      </c>
      <c r="C87" s="49" t="n">
        <f aca="false">SUM(D87:Z87)</f>
        <v>82500</v>
      </c>
      <c r="D87" s="49" t="n">
        <f aca="false">'plan etatów'!D109</f>
        <v>0</v>
      </c>
      <c r="E87" s="49" t="n">
        <f aca="false">'plan etatów'!E109</f>
        <v>0</v>
      </c>
      <c r="F87" s="49" t="n">
        <f aca="false">'plan etatów'!F109</f>
        <v>0</v>
      </c>
      <c r="G87" s="49" t="n">
        <f aca="false">'plan etatów'!G109</f>
        <v>0</v>
      </c>
      <c r="H87" s="49" t="n">
        <f aca="false">'plan etatów'!H109</f>
        <v>0</v>
      </c>
      <c r="I87" s="49" t="n">
        <f aca="false">'plan etatów'!I109</f>
        <v>0</v>
      </c>
      <c r="J87" s="49" t="n">
        <f aca="false">'plan etatów'!J109</f>
        <v>0</v>
      </c>
      <c r="K87" s="49" t="n">
        <f aca="false">'plan etatów'!K109</f>
        <v>0</v>
      </c>
      <c r="L87" s="49" t="n">
        <f aca="false">'plan etatów'!L109</f>
        <v>0</v>
      </c>
      <c r="M87" s="49" t="n">
        <f aca="false">'plan etatów'!M109</f>
        <v>0</v>
      </c>
      <c r="N87" s="49" t="n">
        <f aca="false">'plan etatów'!N109</f>
        <v>0</v>
      </c>
      <c r="O87" s="49" t="n">
        <f aca="false">'plan etatów'!O109</f>
        <v>0</v>
      </c>
      <c r="P87" s="49" t="n">
        <f aca="false">'plan etatów'!P109</f>
        <v>0</v>
      </c>
      <c r="Q87" s="49" t="n">
        <f aca="false">'plan etatów'!Q109</f>
        <v>0</v>
      </c>
      <c r="R87" s="49" t="n">
        <f aca="false">'plan etatów'!R109</f>
        <v>0</v>
      </c>
      <c r="S87" s="49" t="n">
        <f aca="false">'plan etatów'!S109</f>
        <v>0</v>
      </c>
      <c r="T87" s="49" t="n">
        <f aca="false">'plan etatów'!T109</f>
        <v>0</v>
      </c>
      <c r="U87" s="49" t="n">
        <f aca="false">'plan etatów'!U109</f>
        <v>0</v>
      </c>
      <c r="V87" s="49" t="n">
        <f aca="false">'plan etatów'!V109</f>
        <v>0</v>
      </c>
      <c r="W87" s="49" t="n">
        <f aca="false">'plan etatów'!W109</f>
        <v>20625</v>
      </c>
      <c r="X87" s="49" t="n">
        <f aca="false">'plan etatów'!X109</f>
        <v>20625</v>
      </c>
      <c r="Y87" s="49" t="n">
        <f aca="false">'plan etatów'!Y109</f>
        <v>20625</v>
      </c>
      <c r="Z87" s="49" t="n">
        <f aca="false">'plan etatów'!Z109</f>
        <v>20625</v>
      </c>
    </row>
    <row r="88" customFormat="false" ht="15" hidden="false" customHeight="false" outlineLevel="0" collapsed="false">
      <c r="A88" s="41" t="s">
        <v>49</v>
      </c>
      <c r="B88" s="41" t="n">
        <v>4</v>
      </c>
      <c r="C88" s="49" t="n">
        <f aca="false">SUM(D88:Z88)</f>
        <v>29760</v>
      </c>
      <c r="D88" s="49" t="n">
        <f aca="false">'plan etatów'!D110</f>
        <v>0</v>
      </c>
      <c r="E88" s="49" t="n">
        <f aca="false">'plan etatów'!E110</f>
        <v>0</v>
      </c>
      <c r="F88" s="49" t="n">
        <f aca="false">'plan etatów'!F110</f>
        <v>0</v>
      </c>
      <c r="G88" s="49" t="n">
        <f aca="false">'plan etatów'!G110</f>
        <v>0</v>
      </c>
      <c r="H88" s="49" t="n">
        <f aca="false">'plan etatów'!H110</f>
        <v>0</v>
      </c>
      <c r="I88" s="49" t="n">
        <f aca="false">'plan etatów'!I110</f>
        <v>0</v>
      </c>
      <c r="J88" s="49" t="n">
        <f aca="false">'plan etatów'!J110</f>
        <v>0</v>
      </c>
      <c r="K88" s="49" t="n">
        <f aca="false">'plan etatów'!K110</f>
        <v>0</v>
      </c>
      <c r="L88" s="49" t="n">
        <f aca="false">'plan etatów'!L110</f>
        <v>0</v>
      </c>
      <c r="M88" s="49" t="n">
        <f aca="false">'plan etatów'!M110</f>
        <v>0</v>
      </c>
      <c r="N88" s="49" t="n">
        <f aca="false">'plan etatów'!N110</f>
        <v>0</v>
      </c>
      <c r="O88" s="49" t="n">
        <f aca="false">'plan etatów'!O110</f>
        <v>0</v>
      </c>
      <c r="P88" s="49" t="n">
        <f aca="false">'plan etatów'!P110</f>
        <v>0</v>
      </c>
      <c r="Q88" s="49" t="n">
        <f aca="false">'plan etatów'!Q110</f>
        <v>0</v>
      </c>
      <c r="R88" s="49" t="n">
        <f aca="false">'plan etatów'!R110</f>
        <v>0</v>
      </c>
      <c r="S88" s="49" t="n">
        <f aca="false">'plan etatów'!S110</f>
        <v>0</v>
      </c>
      <c r="T88" s="49" t="n">
        <f aca="false">'plan etatów'!T110</f>
        <v>0</v>
      </c>
      <c r="U88" s="49" t="n">
        <f aca="false">'plan etatów'!U110</f>
        <v>0</v>
      </c>
      <c r="V88" s="49" t="n">
        <f aca="false">'plan etatów'!V110</f>
        <v>0</v>
      </c>
      <c r="W88" s="49" t="n">
        <f aca="false">'plan etatów'!W110</f>
        <v>7440</v>
      </c>
      <c r="X88" s="49" t="n">
        <f aca="false">'plan etatów'!X110</f>
        <v>7440</v>
      </c>
      <c r="Y88" s="49" t="n">
        <f aca="false">'plan etatów'!Y110</f>
        <v>7440</v>
      </c>
      <c r="Z88" s="49" t="n">
        <f aca="false">'plan etatów'!Z110</f>
        <v>7440</v>
      </c>
    </row>
    <row r="89" customFormat="false" ht="15" hidden="false" customHeight="false" outlineLevel="0" collapsed="false">
      <c r="A89" s="41" t="s">
        <v>50</v>
      </c>
      <c r="B89" s="41" t="n">
        <v>4</v>
      </c>
      <c r="C89" s="49" t="n">
        <f aca="false">SUM(D89:Z89)</f>
        <v>82500</v>
      </c>
      <c r="D89" s="49" t="n">
        <f aca="false">'plan etatów'!D111</f>
        <v>0</v>
      </c>
      <c r="E89" s="49" t="n">
        <f aca="false">'plan etatów'!E111</f>
        <v>0</v>
      </c>
      <c r="F89" s="49" t="n">
        <f aca="false">'plan etatów'!F111</f>
        <v>0</v>
      </c>
      <c r="G89" s="49" t="n">
        <f aca="false">'plan etatów'!G111</f>
        <v>0</v>
      </c>
      <c r="H89" s="49" t="n">
        <f aca="false">'plan etatów'!H111</f>
        <v>0</v>
      </c>
      <c r="I89" s="49" t="n">
        <f aca="false">'plan etatów'!I111</f>
        <v>0</v>
      </c>
      <c r="J89" s="49" t="n">
        <f aca="false">'plan etatów'!J111</f>
        <v>0</v>
      </c>
      <c r="K89" s="49" t="n">
        <f aca="false">'plan etatów'!K111</f>
        <v>0</v>
      </c>
      <c r="L89" s="49" t="n">
        <f aca="false">'plan etatów'!L111</f>
        <v>0</v>
      </c>
      <c r="M89" s="49" t="n">
        <f aca="false">'plan etatów'!M111</f>
        <v>0</v>
      </c>
      <c r="N89" s="49" t="n">
        <f aca="false">'plan etatów'!N111</f>
        <v>0</v>
      </c>
      <c r="O89" s="49" t="n">
        <f aca="false">'plan etatów'!O111</f>
        <v>0</v>
      </c>
      <c r="P89" s="49" t="n">
        <f aca="false">'plan etatów'!P111</f>
        <v>0</v>
      </c>
      <c r="Q89" s="49" t="n">
        <f aca="false">'plan etatów'!Q111</f>
        <v>0</v>
      </c>
      <c r="R89" s="49" t="n">
        <f aca="false">'plan etatów'!R111</f>
        <v>0</v>
      </c>
      <c r="S89" s="49" t="n">
        <f aca="false">'plan etatów'!S111</f>
        <v>0</v>
      </c>
      <c r="T89" s="49" t="n">
        <f aca="false">'plan etatów'!T111</f>
        <v>0</v>
      </c>
      <c r="U89" s="49" t="n">
        <f aca="false">'plan etatów'!U111</f>
        <v>0</v>
      </c>
      <c r="V89" s="49" t="n">
        <f aca="false">'plan etatów'!V111</f>
        <v>0</v>
      </c>
      <c r="W89" s="49" t="n">
        <f aca="false">'plan etatów'!W111</f>
        <v>20625</v>
      </c>
      <c r="X89" s="49" t="n">
        <f aca="false">'plan etatów'!X111</f>
        <v>20625</v>
      </c>
      <c r="Y89" s="49" t="n">
        <f aca="false">'plan etatów'!Y111</f>
        <v>20625</v>
      </c>
      <c r="Z89" s="49" t="n">
        <f aca="false">'plan etatów'!Z111</f>
        <v>20625</v>
      </c>
    </row>
    <row r="90" customFormat="false" ht="15" hidden="false" customHeight="false" outlineLevel="0" collapsed="false">
      <c r="A90" s="41" t="s">
        <v>51</v>
      </c>
      <c r="B90" s="41" t="n">
        <v>4</v>
      </c>
      <c r="C90" s="49" t="n">
        <f aca="false">SUM(D90:Z90)</f>
        <v>2276.08</v>
      </c>
      <c r="D90" s="49" t="n">
        <f aca="false">'plan etatów'!D112</f>
        <v>0</v>
      </c>
      <c r="E90" s="49" t="n">
        <f aca="false">'plan etatów'!E112</f>
        <v>0</v>
      </c>
      <c r="F90" s="49" t="n">
        <f aca="false">'plan etatów'!F112</f>
        <v>0</v>
      </c>
      <c r="G90" s="49" t="n">
        <f aca="false">'plan etatów'!G112</f>
        <v>0</v>
      </c>
      <c r="H90" s="49" t="n">
        <f aca="false">'plan etatów'!H112</f>
        <v>0</v>
      </c>
      <c r="I90" s="49" t="n">
        <f aca="false">'plan etatów'!I112</f>
        <v>0</v>
      </c>
      <c r="J90" s="49" t="n">
        <f aca="false">'plan etatów'!J112</f>
        <v>0</v>
      </c>
      <c r="K90" s="49" t="n">
        <f aca="false">'plan etatów'!K112</f>
        <v>0</v>
      </c>
      <c r="L90" s="49" t="n">
        <f aca="false">'plan etatów'!L112</f>
        <v>0</v>
      </c>
      <c r="M90" s="49" t="n">
        <f aca="false">'plan etatów'!M112</f>
        <v>0</v>
      </c>
      <c r="N90" s="49" t="n">
        <f aca="false">'plan etatów'!N112</f>
        <v>0</v>
      </c>
      <c r="O90" s="49" t="n">
        <f aca="false">'plan etatów'!O112</f>
        <v>0</v>
      </c>
      <c r="P90" s="49" t="n">
        <f aca="false">'plan etatów'!P112</f>
        <v>0</v>
      </c>
      <c r="Q90" s="49" t="n">
        <f aca="false">'plan etatów'!Q112</f>
        <v>0</v>
      </c>
      <c r="R90" s="49" t="n">
        <f aca="false">'plan etatów'!R112</f>
        <v>0</v>
      </c>
      <c r="S90" s="49" t="n">
        <f aca="false">'plan etatów'!S112</f>
        <v>0</v>
      </c>
      <c r="T90" s="49" t="n">
        <f aca="false">'plan etatów'!T112</f>
        <v>0</v>
      </c>
      <c r="U90" s="49" t="n">
        <f aca="false">'plan etatów'!U112</f>
        <v>0</v>
      </c>
      <c r="V90" s="49" t="n">
        <f aca="false">'plan etatów'!V112</f>
        <v>0</v>
      </c>
      <c r="W90" s="49" t="n">
        <f aca="false">'plan etatów'!W112</f>
        <v>569.02</v>
      </c>
      <c r="X90" s="49" t="n">
        <f aca="false">'plan etatów'!X112</f>
        <v>569.02</v>
      </c>
      <c r="Y90" s="49" t="n">
        <f aca="false">'plan etatów'!Y112</f>
        <v>569.02</v>
      </c>
      <c r="Z90" s="49" t="n">
        <f aca="false">'plan etatów'!Z112</f>
        <v>569.02</v>
      </c>
    </row>
    <row r="91" customFormat="false" ht="15" hidden="false" customHeight="false" outlineLevel="0" collapsed="false">
      <c r="A91" s="41" t="s">
        <v>52</v>
      </c>
      <c r="B91" s="41" t="n">
        <v>4</v>
      </c>
      <c r="C91" s="49" t="n">
        <f aca="false">SUM(D91:Z91)</f>
        <v>79000</v>
      </c>
      <c r="D91" s="49" t="n">
        <f aca="false">'plan etatów'!D113</f>
        <v>0</v>
      </c>
      <c r="E91" s="49" t="n">
        <f aca="false">'plan etatów'!E113</f>
        <v>0</v>
      </c>
      <c r="F91" s="49" t="n">
        <f aca="false">'plan etatów'!F113</f>
        <v>0</v>
      </c>
      <c r="G91" s="49" t="n">
        <f aca="false">'plan etatów'!G113</f>
        <v>0</v>
      </c>
      <c r="H91" s="49" t="n">
        <f aca="false">'plan etatów'!H113</f>
        <v>0</v>
      </c>
      <c r="I91" s="49" t="n">
        <f aca="false">'plan etatów'!I113</f>
        <v>0</v>
      </c>
      <c r="J91" s="49" t="n">
        <f aca="false">'plan etatów'!J113</f>
        <v>0</v>
      </c>
      <c r="K91" s="49" t="n">
        <f aca="false">'plan etatów'!K113</f>
        <v>0</v>
      </c>
      <c r="L91" s="49" t="n">
        <f aca="false">'plan etatów'!L113</f>
        <v>0</v>
      </c>
      <c r="M91" s="49" t="n">
        <f aca="false">'plan etatów'!M113</f>
        <v>0</v>
      </c>
      <c r="N91" s="49" t="n">
        <f aca="false">'plan etatów'!N113</f>
        <v>0</v>
      </c>
      <c r="O91" s="49" t="n">
        <f aca="false">'plan etatów'!O113</f>
        <v>0</v>
      </c>
      <c r="P91" s="49" t="n">
        <f aca="false">'plan etatów'!P113</f>
        <v>0</v>
      </c>
      <c r="Q91" s="49" t="n">
        <f aca="false">'plan etatów'!Q113</f>
        <v>0</v>
      </c>
      <c r="R91" s="49" t="n">
        <f aca="false">'plan etatów'!R113</f>
        <v>0</v>
      </c>
      <c r="S91" s="49" t="n">
        <f aca="false">'plan etatów'!S113</f>
        <v>0</v>
      </c>
      <c r="T91" s="49" t="n">
        <f aca="false">'plan etatów'!T113</f>
        <v>0</v>
      </c>
      <c r="U91" s="49" t="n">
        <f aca="false">'plan etatów'!U113</f>
        <v>0</v>
      </c>
      <c r="V91" s="49" t="n">
        <f aca="false">'plan etatów'!V113</f>
        <v>0</v>
      </c>
      <c r="W91" s="49" t="n">
        <f aca="false">'plan etatów'!W113</f>
        <v>19750</v>
      </c>
      <c r="X91" s="49" t="n">
        <f aca="false">'plan etatów'!X113</f>
        <v>19750</v>
      </c>
      <c r="Y91" s="49" t="n">
        <f aca="false">'plan etatów'!Y113</f>
        <v>19750</v>
      </c>
      <c r="Z91" s="49" t="n">
        <f aca="false">'plan etatów'!Z113</f>
        <v>19750</v>
      </c>
    </row>
    <row r="92" customFormat="false" ht="15" hidden="false" customHeight="false" outlineLevel="0" collapsed="false">
      <c r="A92" s="41" t="s">
        <v>53</v>
      </c>
      <c r="B92" s="41" t="n">
        <v>4</v>
      </c>
      <c r="C92" s="49" t="n">
        <f aca="false">SUM(D92:Z92)</f>
        <v>13715.58</v>
      </c>
      <c r="D92" s="49" t="n">
        <f aca="false">'plan etatów'!D114*założenia!$C$19</f>
        <v>0</v>
      </c>
      <c r="E92" s="49" t="n">
        <f aca="false">'plan etatów'!E114*założenia!$C$19</f>
        <v>0</v>
      </c>
      <c r="F92" s="49" t="n">
        <f aca="false">'plan etatów'!F114*założenia!$C$19</f>
        <v>0</v>
      </c>
      <c r="G92" s="49" t="n">
        <f aca="false">'plan etatów'!G114*założenia!$C$19</f>
        <v>0</v>
      </c>
      <c r="H92" s="49" t="n">
        <f aca="false">'plan etatów'!H114*założenia!$C$19</f>
        <v>0</v>
      </c>
      <c r="I92" s="49" t="n">
        <f aca="false">'plan etatów'!I114*założenia!$C$19</f>
        <v>0</v>
      </c>
      <c r="J92" s="49" t="n">
        <f aca="false">'plan etatów'!J114*założenia!$C$19</f>
        <v>0</v>
      </c>
      <c r="K92" s="49" t="n">
        <f aca="false">'plan etatów'!K114*założenia!$C$19</f>
        <v>0</v>
      </c>
      <c r="L92" s="49" t="n">
        <f aca="false">'plan etatów'!L114*założenia!$C$19</f>
        <v>0</v>
      </c>
      <c r="M92" s="49" t="n">
        <f aca="false">'plan etatów'!M114*założenia!$C$19</f>
        <v>0</v>
      </c>
      <c r="N92" s="49" t="n">
        <f aca="false">'plan etatów'!N114*założenia!$C$19</f>
        <v>0</v>
      </c>
      <c r="O92" s="49" t="n">
        <f aca="false">'plan etatów'!O114*założenia!$C$19</f>
        <v>0</v>
      </c>
      <c r="P92" s="49" t="n">
        <f aca="false">'plan etatów'!P114*założenia!$C$19</f>
        <v>0</v>
      </c>
      <c r="Q92" s="49" t="n">
        <f aca="false">'plan etatów'!Q114*założenia!$C$19</f>
        <v>0</v>
      </c>
      <c r="R92" s="49" t="n">
        <f aca="false">'plan etatów'!R114*założenia!$C$19</f>
        <v>0</v>
      </c>
      <c r="S92" s="49" t="n">
        <f aca="false">'plan etatów'!S114*założenia!$C$19</f>
        <v>0</v>
      </c>
      <c r="T92" s="49" t="n">
        <f aca="false">'plan etatów'!T114*założenia!$C$19</f>
        <v>0</v>
      </c>
      <c r="U92" s="49" t="n">
        <f aca="false">'plan etatów'!U114*założenia!$C$19</f>
        <v>0</v>
      </c>
      <c r="V92" s="49" t="n">
        <f aca="false">'plan etatów'!V114*założenia!$C$19</f>
        <v>0</v>
      </c>
      <c r="W92" s="49" t="n">
        <f aca="false">'plan etatów'!W114*założenia!$C$19</f>
        <v>3428.895</v>
      </c>
      <c r="X92" s="49" t="n">
        <f aca="false">'plan etatów'!X114*założenia!$C$19</f>
        <v>3428.895</v>
      </c>
      <c r="Y92" s="49" t="n">
        <f aca="false">'plan etatów'!Y114*założenia!$C$19</f>
        <v>3428.895</v>
      </c>
      <c r="Z92" s="49" t="n">
        <f aca="false">'plan etatów'!Z114*założenia!$C$19</f>
        <v>3428.895</v>
      </c>
    </row>
    <row r="93" customFormat="false" ht="15" hidden="false" customHeight="false" outlineLevel="0" collapsed="false">
      <c r="A93" s="40" t="s">
        <v>231</v>
      </c>
      <c r="B93" s="40" t="n">
        <v>1</v>
      </c>
      <c r="C93" s="63" t="n">
        <f aca="false">SUMIF($B$56:$B$92,1,C$56:C$92)</f>
        <v>807424.87</v>
      </c>
      <c r="D93" s="63" t="n">
        <f aca="false">SUMIF($B$56:$B$92,1,D$56:D$92)</f>
        <v>164195.973555556</v>
      </c>
      <c r="E93" s="63" t="n">
        <f aca="false">SUMIF($B$56:$B$92,1,E$56:E$92)</f>
        <v>164195.973555556</v>
      </c>
      <c r="F93" s="63" t="n">
        <f aca="false">SUMIF($B$56:$B$92,1,F$56:F$92)</f>
        <v>164195.973555556</v>
      </c>
      <c r="G93" s="63" t="n">
        <f aca="false">SUMIF($B$56:$B$92,1,G$56:G$92)</f>
        <v>157418.474666667</v>
      </c>
      <c r="H93" s="63" t="n">
        <f aca="false">SUMIF($B$56:$B$92,1,H$56:H$92)</f>
        <v>157418.474666667</v>
      </c>
      <c r="I93" s="63" t="n">
        <f aca="false">SUMIF($B$56:$B$92,1,I$56:I$92)</f>
        <v>0</v>
      </c>
      <c r="J93" s="63" t="n">
        <f aca="false">SUMIF($B$56:$B$92,1,J$56:J$92)</f>
        <v>0</v>
      </c>
      <c r="K93" s="63" t="n">
        <f aca="false">SUMIF($B$56:$B$92,1,K$56:K$92)</f>
        <v>0</v>
      </c>
      <c r="L93" s="63" t="n">
        <f aca="false">SUMIF($B$56:$B$92,1,L$56:L$92)</f>
        <v>0</v>
      </c>
      <c r="M93" s="63" t="n">
        <f aca="false">SUMIF($B$56:$B$92,1,M$56:M$92)</f>
        <v>0</v>
      </c>
      <c r="N93" s="63" t="n">
        <f aca="false">SUMIF($B$56:$B$92,1,N$56:N$92)</f>
        <v>0</v>
      </c>
      <c r="O93" s="63" t="n">
        <f aca="false">SUMIF($B$56:$B$92,1,O$56:O$92)</f>
        <v>0</v>
      </c>
      <c r="P93" s="63" t="n">
        <f aca="false">SUMIF($B$56:$B$92,1,P$56:P$92)</f>
        <v>0</v>
      </c>
      <c r="Q93" s="63" t="n">
        <f aca="false">SUMIF($B$56:$B$92,1,Q$56:Q$92)</f>
        <v>0</v>
      </c>
      <c r="R93" s="63" t="n">
        <f aca="false">SUMIF($B$56:$B$92,1,R$56:R$92)</f>
        <v>0</v>
      </c>
      <c r="S93" s="63" t="n">
        <f aca="false">SUMIF($B$56:$B$92,1,S$56:S$92)</f>
        <v>0</v>
      </c>
      <c r="T93" s="63" t="n">
        <f aca="false">SUMIF($B$56:$B$92,1,T$56:T$92)</f>
        <v>0</v>
      </c>
      <c r="U93" s="63" t="n">
        <f aca="false">SUMIF($B$56:$B$92,1,U$56:U$92)</f>
        <v>0</v>
      </c>
      <c r="V93" s="63" t="n">
        <f aca="false">SUMIF($B$56:$B$92,1,V$56:V$92)</f>
        <v>0</v>
      </c>
      <c r="W93" s="63" t="n">
        <f aca="false">SUMIF($B$56:$B$92,1,W$56:W$92)</f>
        <v>0</v>
      </c>
      <c r="X93" s="63" t="n">
        <f aca="false">SUMIF($B$56:$B$92,1,X$56:X$92)</f>
        <v>0</v>
      </c>
      <c r="Y93" s="63" t="n">
        <f aca="false">SUMIF($B$56:$B$92,1,Y$56:Y$92)</f>
        <v>0</v>
      </c>
      <c r="Z93" s="63" t="n">
        <f aca="false">SUMIF($B$56:$B$92,1,Z$56:Z$92)</f>
        <v>0</v>
      </c>
    </row>
    <row r="94" customFormat="false" ht="15" hidden="false" customHeight="false" outlineLevel="0" collapsed="false">
      <c r="A94" s="40" t="s">
        <v>232</v>
      </c>
      <c r="B94" s="40" t="n">
        <v>2</v>
      </c>
      <c r="C94" s="63" t="n">
        <f aca="false">SUMIF($B$56:$B$92,2,C$56:C$92)</f>
        <v>1010537.41</v>
      </c>
      <c r="D94" s="63" t="n">
        <f aca="false">SUMIF($B$56:$B$92,2,D$56:D$92)</f>
        <v>0</v>
      </c>
      <c r="E94" s="63" t="n">
        <f aca="false">SUMIF($B$56:$B$92,2,E$56:E$92)</f>
        <v>0</v>
      </c>
      <c r="F94" s="63" t="n">
        <f aca="false">SUMIF($B$56:$B$92,2,F$56:F$92)</f>
        <v>0</v>
      </c>
      <c r="G94" s="63" t="n">
        <f aca="false">SUMIF($B$56:$B$92,2,G$56:G$92)</f>
        <v>0</v>
      </c>
      <c r="H94" s="63" t="n">
        <f aca="false">SUMIF($B$56:$B$92,2,H$56:H$92)</f>
        <v>0</v>
      </c>
      <c r="I94" s="63" t="n">
        <f aca="false">SUMIF($B$56:$B$92,2,I$56:I$92)</f>
        <v>168317.888333333</v>
      </c>
      <c r="J94" s="63" t="n">
        <f aca="false">SUMIF($B$56:$B$92,2,J$56:J$92)</f>
        <v>168317.888333333</v>
      </c>
      <c r="K94" s="63" t="n">
        <f aca="false">SUMIF($B$56:$B$92,2,K$56:K$92)</f>
        <v>168317.888333333</v>
      </c>
      <c r="L94" s="63" t="n">
        <f aca="false">SUMIF($B$56:$B$92,2,L$56:L$92)</f>
        <v>168317.888333333</v>
      </c>
      <c r="M94" s="63" t="n">
        <f aca="false">SUMIF($B$56:$B$92,2,M$56:M$92)</f>
        <v>168317.888333333</v>
      </c>
      <c r="N94" s="63" t="n">
        <f aca="false">SUMIF($B$56:$B$92,2,N$56:N$92)</f>
        <v>168947.968333333</v>
      </c>
      <c r="O94" s="63" t="n">
        <f aca="false">SUMIF($B$56:$B$92,2,O$56:O$92)</f>
        <v>0</v>
      </c>
      <c r="P94" s="63" t="n">
        <f aca="false">SUMIF($B$56:$B$92,2,P$56:P$92)</f>
        <v>0</v>
      </c>
      <c r="Q94" s="63" t="n">
        <f aca="false">SUMIF($B$56:$B$92,2,Q$56:Q$92)</f>
        <v>0</v>
      </c>
      <c r="R94" s="63" t="n">
        <f aca="false">SUMIF($B$56:$B$92,2,R$56:R$92)</f>
        <v>0</v>
      </c>
      <c r="S94" s="63" t="n">
        <f aca="false">SUMIF($B$56:$B$92,2,S$56:S$92)</f>
        <v>0</v>
      </c>
      <c r="T94" s="63" t="n">
        <f aca="false">SUMIF($B$56:$B$92,2,T$56:T$92)</f>
        <v>0</v>
      </c>
      <c r="U94" s="63" t="n">
        <f aca="false">SUMIF($B$56:$B$92,2,U$56:U$92)</f>
        <v>0</v>
      </c>
      <c r="V94" s="63" t="n">
        <f aca="false">SUMIF($B$56:$B$92,2,V$56:V$92)</f>
        <v>0</v>
      </c>
      <c r="W94" s="63" t="n">
        <f aca="false">SUMIF($B$56:$B$92,2,W$56:W$92)</f>
        <v>0</v>
      </c>
      <c r="X94" s="63" t="n">
        <f aca="false">SUMIF($B$56:$B$92,2,X$56:X$92)</f>
        <v>0</v>
      </c>
      <c r="Y94" s="63" t="n">
        <f aca="false">SUMIF($B$56:$B$92,2,Y$56:Y$92)</f>
        <v>0</v>
      </c>
      <c r="Z94" s="63" t="n">
        <f aca="false">SUMIF($B$56:$B$92,2,Z$56:Z$92)</f>
        <v>0</v>
      </c>
    </row>
    <row r="95" customFormat="false" ht="15" hidden="false" customHeight="false" outlineLevel="0" collapsed="false">
      <c r="A95" s="40" t="s">
        <v>233</v>
      </c>
      <c r="B95" s="40" t="n">
        <v>3</v>
      </c>
      <c r="C95" s="63" t="n">
        <f aca="false">SUMIF($B$56:$B$92,3,C$56:C$92)</f>
        <v>1388837.16</v>
      </c>
      <c r="D95" s="63" t="n">
        <f aca="false">SUMIF($B$56:$B$92,3,D$56:D$92)</f>
        <v>0</v>
      </c>
      <c r="E95" s="63" t="n">
        <f aca="false">SUMIF($B$56:$B$92,3,E$56:E$92)</f>
        <v>0</v>
      </c>
      <c r="F95" s="63" t="n">
        <f aca="false">SUMIF($B$56:$B$92,3,F$56:F$92)</f>
        <v>0</v>
      </c>
      <c r="G95" s="63" t="n">
        <f aca="false">SUMIF($B$56:$B$92,3,G$56:G$92)</f>
        <v>0</v>
      </c>
      <c r="H95" s="63" t="n">
        <f aca="false">SUMIF($B$56:$B$92,3,H$56:H$92)</f>
        <v>0</v>
      </c>
      <c r="I95" s="63" t="n">
        <f aca="false">SUMIF($B$56:$B$92,3,I$56:I$92)</f>
        <v>0</v>
      </c>
      <c r="J95" s="63" t="n">
        <f aca="false">SUMIF($B$56:$B$92,3,J$56:J$92)</f>
        <v>0</v>
      </c>
      <c r="K95" s="63" t="n">
        <f aca="false">SUMIF($B$56:$B$92,3,K$56:K$92)</f>
        <v>0</v>
      </c>
      <c r="L95" s="63" t="n">
        <f aca="false">SUMIF($B$56:$B$92,3,L$56:L$92)</f>
        <v>0</v>
      </c>
      <c r="M95" s="63" t="n">
        <f aca="false">SUMIF($B$56:$B$92,3,M$56:M$92)</f>
        <v>0</v>
      </c>
      <c r="N95" s="63" t="n">
        <f aca="false">SUMIF($B$56:$B$92,3,N$56:N$92)</f>
        <v>0</v>
      </c>
      <c r="O95" s="63" t="n">
        <f aca="false">SUMIF($B$56:$B$92,3,O$56:O$92)</f>
        <v>168521.52</v>
      </c>
      <c r="P95" s="63" t="n">
        <f aca="false">SUMIF($B$56:$B$92,3,P$56:P$92)</f>
        <v>168521.52</v>
      </c>
      <c r="Q95" s="63" t="n">
        <f aca="false">SUMIF($B$56:$B$92,3,Q$56:Q$92)</f>
        <v>175299.02</v>
      </c>
      <c r="R95" s="63" t="n">
        <f aca="false">SUMIF($B$56:$B$92,3,R$56:R$92)</f>
        <v>175299.02</v>
      </c>
      <c r="S95" s="63" t="n">
        <f aca="false">SUMIF($B$56:$B$92,3,S$56:S$92)</f>
        <v>175299.02</v>
      </c>
      <c r="T95" s="63" t="n">
        <f aca="false">SUMIF($B$56:$B$92,3,T$56:T$92)</f>
        <v>175299.02</v>
      </c>
      <c r="U95" s="63" t="n">
        <f aca="false">SUMIF($B$56:$B$92,3,U$56:U$92)</f>
        <v>175299.02</v>
      </c>
      <c r="V95" s="63" t="n">
        <f aca="false">SUMIF($B$56:$B$92,3,V$56:V$92)</f>
        <v>175299.02</v>
      </c>
      <c r="W95" s="63" t="n">
        <f aca="false">SUMIF($B$56:$B$92,3,W$56:W$92)</f>
        <v>0</v>
      </c>
      <c r="X95" s="63" t="n">
        <f aca="false">SUMIF($B$56:$B$92,3,X$56:X$92)</f>
        <v>0</v>
      </c>
      <c r="Y95" s="63" t="n">
        <f aca="false">SUMIF($B$56:$B$92,3,Y$56:Y$92)</f>
        <v>0</v>
      </c>
      <c r="Z95" s="63" t="n">
        <f aca="false">SUMIF($B$56:$B$92,3,Z$56:Z$92)</f>
        <v>0</v>
      </c>
    </row>
    <row r="96" customFormat="false" ht="15" hidden="false" customHeight="false" outlineLevel="0" collapsed="false">
      <c r="A96" s="40" t="s">
        <v>234</v>
      </c>
      <c r="B96" s="40" t="n">
        <v>4</v>
      </c>
      <c r="C96" s="63" t="n">
        <f aca="false">SUMIF($B$56:$B$92,4,C$56:C$92)</f>
        <v>657511.66</v>
      </c>
      <c r="D96" s="63" t="n">
        <f aca="false">SUMIF($B$56:$B$92,4,D$56:D$92)</f>
        <v>0</v>
      </c>
      <c r="E96" s="63" t="n">
        <f aca="false">SUMIF($B$56:$B$92,4,E$56:E$92)</f>
        <v>0</v>
      </c>
      <c r="F96" s="63" t="n">
        <f aca="false">SUMIF($B$56:$B$92,4,F$56:F$92)</f>
        <v>0</v>
      </c>
      <c r="G96" s="63" t="n">
        <f aca="false">SUMIF($B$56:$B$92,4,G$56:G$92)</f>
        <v>0</v>
      </c>
      <c r="H96" s="63" t="n">
        <f aca="false">SUMIF($B$56:$B$92,4,H$56:H$92)</f>
        <v>0</v>
      </c>
      <c r="I96" s="63" t="n">
        <f aca="false">SUMIF($B$56:$B$92,4,I$56:I$92)</f>
        <v>0</v>
      </c>
      <c r="J96" s="63" t="n">
        <f aca="false">SUMIF($B$56:$B$92,4,J$56:J$92)</f>
        <v>0</v>
      </c>
      <c r="K96" s="63" t="n">
        <f aca="false">SUMIF($B$56:$B$92,4,K$56:K$92)</f>
        <v>0</v>
      </c>
      <c r="L96" s="63" t="n">
        <f aca="false">SUMIF($B$56:$B$92,4,L$56:L$92)</f>
        <v>0</v>
      </c>
      <c r="M96" s="63" t="n">
        <f aca="false">SUMIF($B$56:$B$92,4,M$56:M$92)</f>
        <v>0</v>
      </c>
      <c r="N96" s="63" t="n">
        <f aca="false">SUMIF($B$56:$B$92,4,N$56:N$92)</f>
        <v>0</v>
      </c>
      <c r="O96" s="63" t="n">
        <f aca="false">SUMIF($B$56:$B$92,4,O$56:O$92)</f>
        <v>0</v>
      </c>
      <c r="P96" s="63" t="n">
        <f aca="false">SUMIF($B$56:$B$92,4,P$56:P$92)</f>
        <v>0</v>
      </c>
      <c r="Q96" s="63" t="n">
        <f aca="false">SUMIF($B$56:$B$92,4,Q$56:Q$92)</f>
        <v>0</v>
      </c>
      <c r="R96" s="63" t="n">
        <f aca="false">SUMIF($B$56:$B$92,4,R$56:R$92)</f>
        <v>0</v>
      </c>
      <c r="S96" s="63" t="n">
        <f aca="false">SUMIF($B$56:$B$92,4,S$56:S$92)</f>
        <v>0</v>
      </c>
      <c r="T96" s="63" t="n">
        <f aca="false">SUMIF($B$56:$B$92,4,T$56:T$92)</f>
        <v>0</v>
      </c>
      <c r="U96" s="63" t="n">
        <f aca="false">SUMIF($B$56:$B$92,4,U$56:U$92)</f>
        <v>0</v>
      </c>
      <c r="V96" s="63" t="n">
        <f aca="false">SUMIF($B$56:$B$92,4,V$56:V$92)</f>
        <v>0</v>
      </c>
      <c r="W96" s="63" t="n">
        <f aca="false">SUMIF($B$56:$B$92,4,W$56:W$92)</f>
        <v>164377.915</v>
      </c>
      <c r="X96" s="63" t="n">
        <f aca="false">SUMIF($B$56:$B$92,4,X$56:X$92)</f>
        <v>164377.915</v>
      </c>
      <c r="Y96" s="63" t="n">
        <f aca="false">SUMIF($B$56:$B$92,4,Y$56:Y$92)</f>
        <v>164377.915</v>
      </c>
      <c r="Z96" s="63" t="n">
        <f aca="false">SUMIF($B$56:$B$92,4,Z$56:Z$92)</f>
        <v>164377.915</v>
      </c>
    </row>
    <row r="97" customFormat="false" ht="15" hidden="false" customHeight="false" outlineLevel="0" collapsed="false">
      <c r="A97" s="40" t="s">
        <v>60</v>
      </c>
      <c r="B97" s="40"/>
      <c r="C97" s="63" t="n">
        <f aca="false">SUM(C93:C96)</f>
        <v>3864311.1</v>
      </c>
      <c r="D97" s="63" t="n">
        <f aca="false">SUM(D93:D96)</f>
        <v>164195.973555556</v>
      </c>
      <c r="E97" s="63" t="n">
        <f aca="false">SUM(E93:E96)</f>
        <v>164195.973555556</v>
      </c>
      <c r="F97" s="63" t="n">
        <f aca="false">SUM(F93:F96)</f>
        <v>164195.973555556</v>
      </c>
      <c r="G97" s="63" t="n">
        <f aca="false">SUM(G93:G96)</f>
        <v>157418.474666667</v>
      </c>
      <c r="H97" s="63" t="n">
        <f aca="false">SUM(H93:H96)</f>
        <v>157418.474666667</v>
      </c>
      <c r="I97" s="63" t="n">
        <f aca="false">SUM(I93:I96)</f>
        <v>168317.888333333</v>
      </c>
      <c r="J97" s="63" t="n">
        <f aca="false">SUM(J93:J96)</f>
        <v>168317.888333333</v>
      </c>
      <c r="K97" s="63" t="n">
        <f aca="false">SUM(K93:K96)</f>
        <v>168317.888333333</v>
      </c>
      <c r="L97" s="63" t="n">
        <f aca="false">SUM(L93:L96)</f>
        <v>168317.888333333</v>
      </c>
      <c r="M97" s="63" t="n">
        <f aca="false">SUM(M93:M96)</f>
        <v>168317.888333333</v>
      </c>
      <c r="N97" s="63" t="n">
        <f aca="false">SUM(N93:N96)</f>
        <v>168947.968333333</v>
      </c>
      <c r="O97" s="63" t="n">
        <f aca="false">SUM(O93:O96)</f>
        <v>168521.52</v>
      </c>
      <c r="P97" s="63" t="n">
        <f aca="false">SUM(P93:P96)</f>
        <v>168521.52</v>
      </c>
      <c r="Q97" s="63" t="n">
        <f aca="false">SUM(Q93:Q96)</f>
        <v>175299.02</v>
      </c>
      <c r="R97" s="63" t="n">
        <f aca="false">SUM(R93:R96)</f>
        <v>175299.02</v>
      </c>
      <c r="S97" s="63" t="n">
        <f aca="false">SUM(S93:S96)</f>
        <v>175299.02</v>
      </c>
      <c r="T97" s="63" t="n">
        <f aca="false">SUM(T93:T96)</f>
        <v>175299.02</v>
      </c>
      <c r="U97" s="63" t="n">
        <f aca="false">SUM(U93:U96)</f>
        <v>175299.02</v>
      </c>
      <c r="V97" s="63" t="n">
        <f aca="false">SUM(V93:V96)</f>
        <v>175299.02</v>
      </c>
      <c r="W97" s="63" t="n">
        <f aca="false">SUM(W93:W96)</f>
        <v>164377.915</v>
      </c>
      <c r="X97" s="63" t="n">
        <f aca="false">SUM(X93:X96)</f>
        <v>164377.915</v>
      </c>
      <c r="Y97" s="63" t="n">
        <f aca="false">SUM(Y93:Y96)</f>
        <v>164377.915</v>
      </c>
      <c r="Z97" s="63" t="n">
        <f aca="false">SUM(Z93:Z96)</f>
        <v>164377.915</v>
      </c>
    </row>
    <row r="98" customFormat="false" ht="15" hidden="false" customHeight="false" outlineLevel="0" collapsed="false">
      <c r="A98" s="40" t="s">
        <v>235</v>
      </c>
      <c r="B98" s="40"/>
      <c r="C98" s="63" t="n">
        <f aca="false">0.25*C97</f>
        <v>966077.775</v>
      </c>
      <c r="D98" s="63" t="n">
        <f aca="false">0.25*D97</f>
        <v>41048.9933888889</v>
      </c>
      <c r="E98" s="63" t="n">
        <f aca="false">0.25*E97</f>
        <v>41048.9933888889</v>
      </c>
      <c r="F98" s="63" t="n">
        <f aca="false">0.25*F97</f>
        <v>41048.9933888889</v>
      </c>
      <c r="G98" s="63" t="n">
        <f aca="false">0.25*G97</f>
        <v>39354.6186666667</v>
      </c>
      <c r="H98" s="63" t="n">
        <f aca="false">0.25*H97</f>
        <v>39354.6186666667</v>
      </c>
      <c r="I98" s="63" t="n">
        <f aca="false">0.25*I97</f>
        <v>42079.4720833333</v>
      </c>
      <c r="J98" s="63" t="n">
        <f aca="false">0.25*J97</f>
        <v>42079.4720833333</v>
      </c>
      <c r="K98" s="63" t="n">
        <f aca="false">0.25*K97</f>
        <v>42079.4720833333</v>
      </c>
      <c r="L98" s="63" t="n">
        <f aca="false">0.25*L97</f>
        <v>42079.4720833333</v>
      </c>
      <c r="M98" s="63" t="n">
        <f aca="false">0.25*M97</f>
        <v>42079.4720833333</v>
      </c>
      <c r="N98" s="63" t="n">
        <f aca="false">0.25*N97</f>
        <v>42236.9920833333</v>
      </c>
      <c r="O98" s="63" t="n">
        <f aca="false">0.25*O97</f>
        <v>42130.38</v>
      </c>
      <c r="P98" s="63" t="n">
        <f aca="false">0.25*P97</f>
        <v>42130.38</v>
      </c>
      <c r="Q98" s="63" t="n">
        <f aca="false">0.25*Q97</f>
        <v>43824.755</v>
      </c>
      <c r="R98" s="63" t="n">
        <f aca="false">0.25*R97</f>
        <v>43824.755</v>
      </c>
      <c r="S98" s="63" t="n">
        <f aca="false">0.25*S97</f>
        <v>43824.755</v>
      </c>
      <c r="T98" s="63" t="n">
        <f aca="false">0.25*T97</f>
        <v>43824.755</v>
      </c>
      <c r="U98" s="63" t="n">
        <f aca="false">0.25*U97</f>
        <v>43824.755</v>
      </c>
      <c r="V98" s="63" t="n">
        <f aca="false">0.25*V97</f>
        <v>43824.755</v>
      </c>
      <c r="W98" s="63" t="n">
        <f aca="false">0.25*W97</f>
        <v>41094.47875</v>
      </c>
      <c r="X98" s="63" t="n">
        <f aca="false">0.25*X97</f>
        <v>41094.47875</v>
      </c>
      <c r="Y98" s="63" t="n">
        <f aca="false">0.25*Y97</f>
        <v>41094.47875</v>
      </c>
      <c r="Z98" s="63" t="n">
        <f aca="false">0.25*Z97</f>
        <v>41094.47875</v>
      </c>
    </row>
    <row r="99" customFormat="false" ht="15" hidden="false" customHeight="false" outlineLevel="0" collapsed="false">
      <c r="A99" s="40" t="s">
        <v>236</v>
      </c>
      <c r="B99" s="40"/>
      <c r="C99" s="63" t="n">
        <f aca="false">C97+C98</f>
        <v>4830388.875</v>
      </c>
      <c r="D99" s="63" t="n">
        <f aca="false">D97+D98</f>
        <v>205244.966944444</v>
      </c>
      <c r="E99" s="63" t="n">
        <f aca="false">E97+E98</f>
        <v>205244.966944444</v>
      </c>
      <c r="F99" s="63" t="n">
        <f aca="false">F97+F98</f>
        <v>205244.966944444</v>
      </c>
      <c r="G99" s="63" t="n">
        <f aca="false">G97+G98</f>
        <v>196773.093333333</v>
      </c>
      <c r="H99" s="63" t="n">
        <f aca="false">H97+H98</f>
        <v>196773.093333333</v>
      </c>
      <c r="I99" s="63" t="n">
        <f aca="false">I97+I98</f>
        <v>210397.360416667</v>
      </c>
      <c r="J99" s="63" t="n">
        <f aca="false">J97+J98</f>
        <v>210397.360416667</v>
      </c>
      <c r="K99" s="63" t="n">
        <f aca="false">K97+K98</f>
        <v>210397.360416667</v>
      </c>
      <c r="L99" s="63" t="n">
        <f aca="false">L97+L98</f>
        <v>210397.360416667</v>
      </c>
      <c r="M99" s="63" t="n">
        <f aca="false">M97+M98</f>
        <v>210397.360416667</v>
      </c>
      <c r="N99" s="63" t="n">
        <f aca="false">N97+N98</f>
        <v>211184.960416667</v>
      </c>
      <c r="O99" s="63" t="n">
        <f aca="false">O97+O98</f>
        <v>210651.9</v>
      </c>
      <c r="P99" s="63" t="n">
        <f aca="false">P97+P98</f>
        <v>210651.9</v>
      </c>
      <c r="Q99" s="63" t="n">
        <f aca="false">Q97+Q98</f>
        <v>219123.775</v>
      </c>
      <c r="R99" s="63" t="n">
        <f aca="false">R97+R98</f>
        <v>219123.775</v>
      </c>
      <c r="S99" s="63" t="n">
        <f aca="false">S97+S98</f>
        <v>219123.775</v>
      </c>
      <c r="T99" s="63" t="n">
        <f aca="false">T97+T98</f>
        <v>219123.775</v>
      </c>
      <c r="U99" s="63" t="n">
        <f aca="false">U97+U98</f>
        <v>219123.775</v>
      </c>
      <c r="V99" s="63" t="n">
        <f aca="false">V97+V98</f>
        <v>219123.775</v>
      </c>
      <c r="W99" s="63" t="n">
        <f aca="false">W97+W98</f>
        <v>205472.39375</v>
      </c>
      <c r="X99" s="63" t="n">
        <f aca="false">X97+X98</f>
        <v>205472.39375</v>
      </c>
      <c r="Y99" s="63" t="n">
        <f aca="false">Y97+Y98</f>
        <v>205472.39375</v>
      </c>
      <c r="Z99" s="63" t="n">
        <f aca="false">Z97+Z98</f>
        <v>205472.39375</v>
      </c>
    </row>
    <row r="100" customFormat="false" ht="15" hidden="false" customHeight="false" outlineLevel="0" collapsed="false">
      <c r="A100" s="40" t="s">
        <v>237</v>
      </c>
      <c r="B100" s="40"/>
      <c r="C100" s="63"/>
      <c r="D100" s="63" t="n">
        <f aca="false">D99</f>
        <v>205244.966944444</v>
      </c>
      <c r="E100" s="63" t="n">
        <f aca="false">D100+E99</f>
        <v>410489.933888889</v>
      </c>
      <c r="F100" s="63" t="n">
        <f aca="false">E100+F99</f>
        <v>615734.900833333</v>
      </c>
      <c r="G100" s="63" t="n">
        <f aca="false">F100+G99</f>
        <v>812507.994166667</v>
      </c>
      <c r="H100" s="63" t="n">
        <f aca="false">G100+H99</f>
        <v>1009281.0875</v>
      </c>
      <c r="I100" s="63" t="n">
        <f aca="false">H100+I99</f>
        <v>1219678.44791667</v>
      </c>
      <c r="J100" s="63" t="n">
        <f aca="false">I100+J99</f>
        <v>1430075.80833333</v>
      </c>
      <c r="K100" s="63" t="n">
        <f aca="false">J100+K99</f>
        <v>1640473.16875</v>
      </c>
      <c r="L100" s="63" t="n">
        <f aca="false">K100+L99</f>
        <v>1850870.52916667</v>
      </c>
      <c r="M100" s="63" t="n">
        <f aca="false">L100+M99</f>
        <v>2061267.88958333</v>
      </c>
      <c r="N100" s="63" t="n">
        <f aca="false">M100+N99</f>
        <v>2272452.85</v>
      </c>
      <c r="O100" s="63" t="n">
        <f aca="false">N100+O99</f>
        <v>2483104.75</v>
      </c>
      <c r="P100" s="63" t="n">
        <f aca="false">O100+P99</f>
        <v>2693756.65</v>
      </c>
      <c r="Q100" s="63" t="n">
        <f aca="false">P100+Q99</f>
        <v>2912880.425</v>
      </c>
      <c r="R100" s="63" t="n">
        <f aca="false">Q100+R99</f>
        <v>3132004.2</v>
      </c>
      <c r="S100" s="63" t="n">
        <f aca="false">R100+S99</f>
        <v>3351127.975</v>
      </c>
      <c r="T100" s="63" t="n">
        <f aca="false">S100+T99</f>
        <v>3570251.75</v>
      </c>
      <c r="U100" s="63" t="n">
        <f aca="false">T100+U99</f>
        <v>3789375.525</v>
      </c>
      <c r="V100" s="63" t="n">
        <f aca="false">U100+V99</f>
        <v>4008499.3</v>
      </c>
      <c r="W100" s="63" t="n">
        <f aca="false">V100+W99</f>
        <v>4213971.69375</v>
      </c>
      <c r="X100" s="63" t="n">
        <f aca="false">W100+X99</f>
        <v>4419444.0875</v>
      </c>
      <c r="Y100" s="63" t="n">
        <f aca="false">X100+Y99</f>
        <v>4624916.48125</v>
      </c>
      <c r="Z100" s="63" t="n">
        <f aca="false">Y100+Z99</f>
        <v>4830388.875</v>
      </c>
    </row>
    <row r="101" customFormat="false" ht="15" hidden="false" customHeight="false" outlineLevel="0" collapsed="false">
      <c r="A101" s="41"/>
      <c r="B101" s="41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customFormat="false" ht="15" hidden="false" customHeight="false" outlineLevel="0" collapsed="false">
      <c r="A102" s="60" t="s">
        <v>239</v>
      </c>
      <c r="B102" s="61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customFormat="false" ht="15" hidden="false" customHeight="false" outlineLevel="0" collapsed="false">
      <c r="A103" s="41" t="s">
        <v>14</v>
      </c>
      <c r="B103" s="41" t="n">
        <v>1</v>
      </c>
      <c r="C103" s="49" t="n">
        <f aca="false">SUM(D103:Z103)</f>
        <v>221600</v>
      </c>
      <c r="D103" s="49" t="n">
        <f aca="false">IF('plan etatów'!$AA$37=0,0,Podsumowanie!$E$10*'plan etatów'!D37/'plan etatów'!$AA$37)</f>
        <v>44320</v>
      </c>
      <c r="E103" s="49" t="n">
        <f aca="false">IF('plan etatów'!$AA$37=0,0,Podsumowanie!$E$10*'plan etatów'!E37/'plan etatów'!$AA$37)</f>
        <v>44320</v>
      </c>
      <c r="F103" s="49" t="n">
        <f aca="false">IF('plan etatów'!$AA$37=0,0,Podsumowanie!$E$10*'plan etatów'!F37/'plan etatów'!$AA$37)</f>
        <v>44320</v>
      </c>
      <c r="G103" s="49" t="n">
        <f aca="false">IF('plan etatów'!$AA$37=0,0,Podsumowanie!$E$10*'plan etatów'!G37/'plan etatów'!$AA$37)</f>
        <v>44320</v>
      </c>
      <c r="H103" s="49" t="n">
        <f aca="false">IF('plan etatów'!$AA$37=0,0,Podsumowanie!$E$10*'plan etatów'!H37/'plan etatów'!$AA$37)</f>
        <v>44320</v>
      </c>
      <c r="I103" s="49" t="n">
        <f aca="false">IF('plan etatów'!$AA$37=0,0,Podsumowanie!$E$10*'plan etatów'!I37/'plan etatów'!$AA$37)</f>
        <v>0</v>
      </c>
      <c r="J103" s="49" t="n">
        <f aca="false">IF('plan etatów'!$AA$37=0,0,Podsumowanie!$E$10*'plan etatów'!J37/'plan etatów'!$AA$37)</f>
        <v>0</v>
      </c>
      <c r="K103" s="49" t="n">
        <f aca="false">IF('plan etatów'!$AA$37=0,0,Podsumowanie!$E$10*'plan etatów'!K37/'plan etatów'!$AA$37)</f>
        <v>0</v>
      </c>
      <c r="L103" s="49" t="n">
        <f aca="false">IF('plan etatów'!$AA$37=0,0,Podsumowanie!$E$10*'plan etatów'!L37/'plan etatów'!$AA$37)</f>
        <v>0</v>
      </c>
      <c r="M103" s="49" t="n">
        <f aca="false">IF('plan etatów'!$AA$37=0,0,Podsumowanie!$E$10*'plan etatów'!M37/'plan etatów'!$AA$37)</f>
        <v>0</v>
      </c>
      <c r="N103" s="49" t="n">
        <f aca="false">IF('plan etatów'!$AA$37=0,0,Podsumowanie!$E$10*'plan etatów'!N37/'plan etatów'!$AA$37)</f>
        <v>0</v>
      </c>
      <c r="O103" s="49" t="n">
        <f aca="false">IF('plan etatów'!$AA$37=0,0,Podsumowanie!$E$10*'plan etatów'!O37/'plan etatów'!$AA$37)</f>
        <v>0</v>
      </c>
      <c r="P103" s="49" t="n">
        <f aca="false">IF('plan etatów'!$AA$37=0,0,Podsumowanie!$E$10*'plan etatów'!P37/'plan etatów'!$AA$37)</f>
        <v>0</v>
      </c>
      <c r="Q103" s="49" t="n">
        <f aca="false">IF('plan etatów'!$AA$37=0,0,Podsumowanie!$E$10*'plan etatów'!Q37/'plan etatów'!$AA$37)</f>
        <v>0</v>
      </c>
      <c r="R103" s="49" t="n">
        <f aca="false">IF('plan etatów'!$AA$37=0,0,Podsumowanie!$E$10*'plan etatów'!R37/'plan etatów'!$AA$37)</f>
        <v>0</v>
      </c>
      <c r="S103" s="49" t="n">
        <f aca="false">IF('plan etatów'!$AA$37=0,0,Podsumowanie!$E$10*'plan etatów'!S37/'plan etatów'!$AA$37)</f>
        <v>0</v>
      </c>
      <c r="T103" s="49" t="n">
        <f aca="false">IF('plan etatów'!$AA$37=0,0,Podsumowanie!$E$10*'plan etatów'!T37/'plan etatów'!$AA$37)</f>
        <v>0</v>
      </c>
      <c r="U103" s="49" t="n">
        <f aca="false">IF('plan etatów'!$AA$37=0,0,Podsumowanie!$E$10*'plan etatów'!U37/'plan etatów'!$AA$37)</f>
        <v>0</v>
      </c>
      <c r="V103" s="49" t="n">
        <f aca="false">IF('plan etatów'!$AA$37=0,0,Podsumowanie!$E$10*'plan etatów'!V37/'plan etatów'!$AA$37)</f>
        <v>0</v>
      </c>
      <c r="W103" s="49" t="n">
        <f aca="false">IF('plan etatów'!$AA$37=0,0,Podsumowanie!$E$10*'plan etatów'!W37/'plan etatów'!$AA$37)</f>
        <v>0</v>
      </c>
      <c r="X103" s="49" t="n">
        <f aca="false">IF('plan etatów'!$AA$37=0,0,Podsumowanie!$E$10*'plan etatów'!X37/'plan etatów'!$AA$37)</f>
        <v>0</v>
      </c>
      <c r="Y103" s="49" t="n">
        <f aca="false">IF('plan etatów'!$AA$37=0,0,Podsumowanie!$E$10*'plan etatów'!Y37/'plan etatów'!$AA$37)</f>
        <v>0</v>
      </c>
      <c r="Z103" s="49" t="n">
        <f aca="false">IF('plan etatów'!$AA$37=0,0,Podsumowanie!$E$10*'plan etatów'!Z37/'plan etatów'!$AA$37)</f>
        <v>0</v>
      </c>
    </row>
    <row r="104" customFormat="false" ht="15" hidden="false" customHeight="false" outlineLevel="0" collapsed="false">
      <c r="A104" s="41" t="s">
        <v>15</v>
      </c>
      <c r="B104" s="41" t="n">
        <v>1</v>
      </c>
      <c r="C104" s="49" t="n">
        <f aca="false">SUM(D104:Z104)</f>
        <v>75440</v>
      </c>
      <c r="D104" s="49" t="n">
        <f aca="false">IF('plan etatów'!$AA$38=0,0,Podsumowanie!$E$13*'plan etatów'!D38/'plan etatów'!$AA$38)</f>
        <v>15088</v>
      </c>
      <c r="E104" s="49" t="n">
        <f aca="false">IF('plan etatów'!$AA$38=0,0,Podsumowanie!$E$13*'plan etatów'!E38/'plan etatów'!$AA$38)</f>
        <v>15088</v>
      </c>
      <c r="F104" s="49" t="n">
        <f aca="false">IF('plan etatów'!$AA$38=0,0,Podsumowanie!$E$13*'plan etatów'!F38/'plan etatów'!$AA$38)</f>
        <v>15088</v>
      </c>
      <c r="G104" s="49" t="n">
        <f aca="false">IF('plan etatów'!$AA$38=0,0,Podsumowanie!$E$13*'plan etatów'!G38/'plan etatów'!$AA$38)</f>
        <v>15088</v>
      </c>
      <c r="H104" s="49" t="n">
        <f aca="false">IF('plan etatów'!$AA$38=0,0,Podsumowanie!$E$13*'plan etatów'!H38/'plan etatów'!$AA$38)</f>
        <v>15088</v>
      </c>
      <c r="I104" s="49" t="n">
        <f aca="false">IF('plan etatów'!$AA$38=0,0,Podsumowanie!$E$13*'plan etatów'!I38/'plan etatów'!$AA$38)</f>
        <v>0</v>
      </c>
      <c r="J104" s="49" t="n">
        <f aca="false">IF('plan etatów'!$AA$38=0,0,Podsumowanie!$E$13*'plan etatów'!J38/'plan etatów'!$AA$38)</f>
        <v>0</v>
      </c>
      <c r="K104" s="49" t="n">
        <f aca="false">IF('plan etatów'!$AA$38=0,0,Podsumowanie!$E$13*'plan etatów'!K38/'plan etatów'!$AA$38)</f>
        <v>0</v>
      </c>
      <c r="L104" s="49" t="n">
        <f aca="false">IF('plan etatów'!$AA$38=0,0,Podsumowanie!$E$13*'plan etatów'!L38/'plan etatów'!$AA$38)</f>
        <v>0</v>
      </c>
      <c r="M104" s="49" t="n">
        <f aca="false">IF('plan etatów'!$AA$38=0,0,Podsumowanie!$E$13*'plan etatów'!M38/'plan etatów'!$AA$38)</f>
        <v>0</v>
      </c>
      <c r="N104" s="49" t="n">
        <f aca="false">IF('plan etatów'!$AA$38=0,0,Podsumowanie!$E$13*'plan etatów'!N38/'plan etatów'!$AA$38)</f>
        <v>0</v>
      </c>
      <c r="O104" s="49" t="n">
        <f aca="false">IF('plan etatów'!$AA$38=0,0,Podsumowanie!$E$13*'plan etatów'!O38/'plan etatów'!$AA$38)</f>
        <v>0</v>
      </c>
      <c r="P104" s="49" t="n">
        <f aca="false">IF('plan etatów'!$AA$38=0,0,Podsumowanie!$E$13*'plan etatów'!P38/'plan etatów'!$AA$38)</f>
        <v>0</v>
      </c>
      <c r="Q104" s="49" t="n">
        <f aca="false">IF('plan etatów'!$AA$38=0,0,Podsumowanie!$E$13*'plan etatów'!Q38/'plan etatów'!$AA$38)</f>
        <v>0</v>
      </c>
      <c r="R104" s="49" t="n">
        <f aca="false">IF('plan etatów'!$AA$38=0,0,Podsumowanie!$E$13*'plan etatów'!R38/'plan etatów'!$AA$38)</f>
        <v>0</v>
      </c>
      <c r="S104" s="49" t="n">
        <f aca="false">IF('plan etatów'!$AA$38=0,0,Podsumowanie!$E$13*'plan etatów'!S38/'plan etatów'!$AA$38)</f>
        <v>0</v>
      </c>
      <c r="T104" s="49" t="n">
        <f aca="false">IF('plan etatów'!$AA$38=0,0,Podsumowanie!$E$13*'plan etatów'!T38/'plan etatów'!$AA$38)</f>
        <v>0</v>
      </c>
      <c r="U104" s="49" t="n">
        <f aca="false">IF('plan etatów'!$AA$38=0,0,Podsumowanie!$E$13*'plan etatów'!U38/'plan etatów'!$AA$38)</f>
        <v>0</v>
      </c>
      <c r="V104" s="49" t="n">
        <f aca="false">IF('plan etatów'!$AA$38=0,0,Podsumowanie!$E$13*'plan etatów'!V38/'plan etatów'!$AA$38)</f>
        <v>0</v>
      </c>
      <c r="W104" s="49" t="n">
        <f aca="false">IF('plan etatów'!$AA$38=0,0,Podsumowanie!$E$13*'plan etatów'!W38/'plan etatów'!$AA$38)</f>
        <v>0</v>
      </c>
      <c r="X104" s="49" t="n">
        <f aca="false">IF('plan etatów'!$AA$38=0,0,Podsumowanie!$E$13*'plan etatów'!X38/'plan etatów'!$AA$38)</f>
        <v>0</v>
      </c>
      <c r="Y104" s="49" t="n">
        <f aca="false">IF('plan etatów'!$AA$38=0,0,Podsumowanie!$E$13*'plan etatów'!Y38/'plan etatów'!$AA$38)</f>
        <v>0</v>
      </c>
      <c r="Z104" s="49" t="n">
        <f aca="false">IF('plan etatów'!$AA$38=0,0,Podsumowanie!$E$13*'plan etatów'!Z38/'plan etatów'!$AA$38)</f>
        <v>0</v>
      </c>
    </row>
    <row r="105" customFormat="false" ht="15" hidden="false" customHeight="false" outlineLevel="0" collapsed="false">
      <c r="A105" s="41" t="s">
        <v>16</v>
      </c>
      <c r="B105" s="41" t="n">
        <v>1</v>
      </c>
      <c r="C105" s="49" t="n">
        <f aca="false">SUM(D105:Z105)</f>
        <v>108440</v>
      </c>
      <c r="D105" s="49" t="n">
        <f aca="false">IF('plan etatów'!$AA$39=0,0,Podsumowanie!$E$16*'plan etatów'!D39/'plan etatów'!$AA$39)</f>
        <v>21688</v>
      </c>
      <c r="E105" s="49" t="n">
        <f aca="false">IF('plan etatów'!$AA$39=0,0,Podsumowanie!$E$16*'plan etatów'!E39/'plan etatów'!$AA$39)</f>
        <v>21688</v>
      </c>
      <c r="F105" s="49" t="n">
        <f aca="false">IF('plan etatów'!$AA$39=0,0,Podsumowanie!$E$16*'plan etatów'!F39/'plan etatów'!$AA$39)</f>
        <v>21688</v>
      </c>
      <c r="G105" s="49" t="n">
        <f aca="false">IF('plan etatów'!$AA$39=0,0,Podsumowanie!$E$16*'plan etatów'!G39/'plan etatów'!$AA$39)</f>
        <v>21688</v>
      </c>
      <c r="H105" s="49" t="n">
        <f aca="false">IF('plan etatów'!$AA$39=0,0,Podsumowanie!$E$16*'plan etatów'!H39/'plan etatów'!$AA$39)</f>
        <v>21688</v>
      </c>
      <c r="I105" s="49" t="n">
        <f aca="false">IF('plan etatów'!$AA$39=0,0,Podsumowanie!$E$16*'plan etatów'!I39/'plan etatów'!$AA$39)</f>
        <v>0</v>
      </c>
      <c r="J105" s="49" t="n">
        <f aca="false">IF('plan etatów'!$AA$39=0,0,Podsumowanie!$E$16*'plan etatów'!J39/'plan etatów'!$AA$39)</f>
        <v>0</v>
      </c>
      <c r="K105" s="49" t="n">
        <f aca="false">IF('plan etatów'!$AA$39=0,0,Podsumowanie!$E$16*'plan etatów'!K39/'plan etatów'!$AA$39)</f>
        <v>0</v>
      </c>
      <c r="L105" s="49" t="n">
        <f aca="false">IF('plan etatów'!$AA$39=0,0,Podsumowanie!$E$16*'plan etatów'!L39/'plan etatów'!$AA$39)</f>
        <v>0</v>
      </c>
      <c r="M105" s="49" t="n">
        <f aca="false">IF('plan etatów'!$AA$39=0,0,Podsumowanie!$E$16*'plan etatów'!M39/'plan etatów'!$AA$39)</f>
        <v>0</v>
      </c>
      <c r="N105" s="49" t="n">
        <f aca="false">IF('plan etatów'!$AA$39=0,0,Podsumowanie!$E$16*'plan etatów'!N39/'plan etatów'!$AA$39)</f>
        <v>0</v>
      </c>
      <c r="O105" s="49" t="n">
        <f aca="false">IF('plan etatów'!$AA$39=0,0,Podsumowanie!$E$16*'plan etatów'!O39/'plan etatów'!$AA$39)</f>
        <v>0</v>
      </c>
      <c r="P105" s="49" t="n">
        <f aca="false">IF('plan etatów'!$AA$39=0,0,Podsumowanie!$E$16*'plan etatów'!P39/'plan etatów'!$AA$39)</f>
        <v>0</v>
      </c>
      <c r="Q105" s="49" t="n">
        <f aca="false">IF('plan etatów'!$AA$39=0,0,Podsumowanie!$E$16*'plan etatów'!Q39/'plan etatów'!$AA$39)</f>
        <v>0</v>
      </c>
      <c r="R105" s="49" t="n">
        <f aca="false">IF('plan etatów'!$AA$39=0,0,Podsumowanie!$E$16*'plan etatów'!R39/'plan etatów'!$AA$39)</f>
        <v>0</v>
      </c>
      <c r="S105" s="49" t="n">
        <f aca="false">IF('plan etatów'!$AA$39=0,0,Podsumowanie!$E$16*'plan etatów'!S39/'plan etatów'!$AA$39)</f>
        <v>0</v>
      </c>
      <c r="T105" s="49" t="n">
        <f aca="false">IF('plan etatów'!$AA$39=0,0,Podsumowanie!$E$16*'plan etatów'!T39/'plan etatów'!$AA$39)</f>
        <v>0</v>
      </c>
      <c r="U105" s="49" t="n">
        <f aca="false">IF('plan etatów'!$AA$39=0,0,Podsumowanie!$E$16*'plan etatów'!U39/'plan etatów'!$AA$39)</f>
        <v>0</v>
      </c>
      <c r="V105" s="49" t="n">
        <f aca="false">IF('plan etatów'!$AA$39=0,0,Podsumowanie!$E$16*'plan etatów'!V39/'plan etatów'!$AA$39)</f>
        <v>0</v>
      </c>
      <c r="W105" s="49" t="n">
        <f aca="false">IF('plan etatów'!$AA$39=0,0,Podsumowanie!$E$16*'plan etatów'!W39/'plan etatów'!$AA$39)</f>
        <v>0</v>
      </c>
      <c r="X105" s="49" t="n">
        <f aca="false">IF('plan etatów'!$AA$39=0,0,Podsumowanie!$E$16*'plan etatów'!X39/'plan etatów'!$AA$39)</f>
        <v>0</v>
      </c>
      <c r="Y105" s="49" t="n">
        <f aca="false">IF('plan etatów'!$AA$39=0,0,Podsumowanie!$E$16*'plan etatów'!Y39/'plan etatów'!$AA$39)</f>
        <v>0</v>
      </c>
      <c r="Z105" s="49" t="n">
        <f aca="false">IF('plan etatów'!$AA$39=0,0,Podsumowanie!$E$16*'plan etatów'!Z39/'plan etatów'!$AA$39)</f>
        <v>0</v>
      </c>
    </row>
    <row r="106" customFormat="false" ht="15" hidden="false" customHeight="false" outlineLevel="0" collapsed="false">
      <c r="A106" s="41" t="s">
        <v>17</v>
      </c>
      <c r="B106" s="41" t="n">
        <v>1</v>
      </c>
      <c r="C106" s="49" t="n">
        <f aca="false">SUM(D106:Z106)</f>
        <v>41250</v>
      </c>
      <c r="D106" s="49" t="n">
        <f aca="false">IF('plan etatów'!$AA$40=0,0,Podsumowanie!$E$19*'plan etatów'!D40/'plan etatów'!$AA$40)</f>
        <v>8250</v>
      </c>
      <c r="E106" s="49" t="n">
        <f aca="false">IF('plan etatów'!$AA$40=0,0,Podsumowanie!$E$19*'plan etatów'!E40/'plan etatów'!$AA$40)</f>
        <v>8250</v>
      </c>
      <c r="F106" s="49" t="n">
        <f aca="false">IF('plan etatów'!$AA$40=0,0,Podsumowanie!$E$19*'plan etatów'!F40/'plan etatów'!$AA$40)</f>
        <v>8250</v>
      </c>
      <c r="G106" s="49" t="n">
        <f aca="false">IF('plan etatów'!$AA$40=0,0,Podsumowanie!$E$19*'plan etatów'!G40/'plan etatów'!$AA$40)</f>
        <v>8250</v>
      </c>
      <c r="H106" s="49" t="n">
        <f aca="false">IF('plan etatów'!$AA$40=0,0,Podsumowanie!$E$19*'plan etatów'!H40/'plan etatów'!$AA$40)</f>
        <v>8250</v>
      </c>
      <c r="I106" s="49" t="n">
        <f aca="false">IF('plan etatów'!$AA$40=0,0,Podsumowanie!$E$19*'plan etatów'!I40/'plan etatów'!$AA$40)</f>
        <v>0</v>
      </c>
      <c r="J106" s="49" t="n">
        <f aca="false">IF('plan etatów'!$AA$40=0,0,Podsumowanie!$E$19*'plan etatów'!J40/'plan etatów'!$AA$40)</f>
        <v>0</v>
      </c>
      <c r="K106" s="49" t="n">
        <f aca="false">IF('plan etatów'!$AA$40=0,0,Podsumowanie!$E$19*'plan etatów'!K40/'plan etatów'!$AA$40)</f>
        <v>0</v>
      </c>
      <c r="L106" s="49" t="n">
        <f aca="false">IF('plan etatów'!$AA$40=0,0,Podsumowanie!$E$19*'plan etatów'!L40/'plan etatów'!$AA$40)</f>
        <v>0</v>
      </c>
      <c r="M106" s="49" t="n">
        <f aca="false">IF('plan etatów'!$AA$40=0,0,Podsumowanie!$E$19*'plan etatów'!M40/'plan etatów'!$AA$40)</f>
        <v>0</v>
      </c>
      <c r="N106" s="49" t="n">
        <f aca="false">IF('plan etatów'!$AA$40=0,0,Podsumowanie!$E$19*'plan etatów'!N40/'plan etatów'!$AA$40)</f>
        <v>0</v>
      </c>
      <c r="O106" s="49" t="n">
        <f aca="false">IF('plan etatów'!$AA$40=0,0,Podsumowanie!$E$19*'plan etatów'!O40/'plan etatów'!$AA$40)</f>
        <v>0</v>
      </c>
      <c r="P106" s="49" t="n">
        <f aca="false">IF('plan etatów'!$AA$40=0,0,Podsumowanie!$E$19*'plan etatów'!P40/'plan etatów'!$AA$40)</f>
        <v>0</v>
      </c>
      <c r="Q106" s="49" t="n">
        <f aca="false">IF('plan etatów'!$AA$40=0,0,Podsumowanie!$E$19*'plan etatów'!Q40/'plan etatów'!$AA$40)</f>
        <v>0</v>
      </c>
      <c r="R106" s="49" t="n">
        <f aca="false">IF('plan etatów'!$AA$40=0,0,Podsumowanie!$E$19*'plan etatów'!R40/'plan etatów'!$AA$40)</f>
        <v>0</v>
      </c>
      <c r="S106" s="49" t="n">
        <f aca="false">IF('plan etatów'!$AA$40=0,0,Podsumowanie!$E$19*'plan etatów'!S40/'plan etatów'!$AA$40)</f>
        <v>0</v>
      </c>
      <c r="T106" s="49" t="n">
        <f aca="false">IF('plan etatów'!$AA$40=0,0,Podsumowanie!$E$19*'plan etatów'!T40/'plan etatów'!$AA$40)</f>
        <v>0</v>
      </c>
      <c r="U106" s="49" t="n">
        <f aca="false">IF('plan etatów'!$AA$40=0,0,Podsumowanie!$E$19*'plan etatów'!U40/'plan etatów'!$AA$40)</f>
        <v>0</v>
      </c>
      <c r="V106" s="49" t="n">
        <f aca="false">IF('plan etatów'!$AA$40=0,0,Podsumowanie!$E$19*'plan etatów'!V40/'plan etatów'!$AA$40)</f>
        <v>0</v>
      </c>
      <c r="W106" s="49" t="n">
        <f aca="false">IF('plan etatów'!$AA$40=0,0,Podsumowanie!$E$19*'plan etatów'!W40/'plan etatów'!$AA$40)</f>
        <v>0</v>
      </c>
      <c r="X106" s="49" t="n">
        <f aca="false">IF('plan etatów'!$AA$40=0,0,Podsumowanie!$E$19*'plan etatów'!X40/'plan etatów'!$AA$40)</f>
        <v>0</v>
      </c>
      <c r="Y106" s="49" t="n">
        <f aca="false">IF('plan etatów'!$AA$40=0,0,Podsumowanie!$E$19*'plan etatów'!Y40/'plan etatów'!$AA$40)</f>
        <v>0</v>
      </c>
      <c r="Z106" s="49" t="n">
        <f aca="false">IF('plan etatów'!$AA$40=0,0,Podsumowanie!$E$19*'plan etatów'!Z40/'plan etatów'!$AA$40)</f>
        <v>0</v>
      </c>
    </row>
    <row r="107" customFormat="false" ht="15" hidden="false" customHeight="false" outlineLevel="0" collapsed="false">
      <c r="A107" s="41" t="s">
        <v>18</v>
      </c>
      <c r="B107" s="41" t="n">
        <v>1</v>
      </c>
      <c r="C107" s="49" t="n">
        <f aca="false">SUM(D107:Z107)</f>
        <v>29760</v>
      </c>
      <c r="D107" s="49" t="n">
        <f aca="false">IF('plan etatów'!$AA$41=0,0,Podsumowanie!$E$22*'plan etatów'!D41/'plan etatów'!$AA$41)</f>
        <v>5952</v>
      </c>
      <c r="E107" s="49" t="n">
        <f aca="false">IF('plan etatów'!$AA$41=0,0,Podsumowanie!$E$22*'plan etatów'!E41/'plan etatów'!$AA$41)</f>
        <v>5952</v>
      </c>
      <c r="F107" s="49" t="n">
        <f aca="false">IF('plan etatów'!$AA$41=0,0,Podsumowanie!$E$22*'plan etatów'!F41/'plan etatów'!$AA$41)</f>
        <v>5952</v>
      </c>
      <c r="G107" s="49" t="n">
        <f aca="false">IF('plan etatów'!$AA$41=0,0,Podsumowanie!$E$22*'plan etatów'!G41/'plan etatów'!$AA$41)</f>
        <v>5952</v>
      </c>
      <c r="H107" s="49" t="n">
        <f aca="false">IF('plan etatów'!$AA$41=0,0,Podsumowanie!$E$22*'plan etatów'!H41/'plan etatów'!$AA$41)</f>
        <v>5952</v>
      </c>
      <c r="I107" s="49" t="n">
        <f aca="false">IF('plan etatów'!$AA$41=0,0,Podsumowanie!$E$22*'plan etatów'!I41/'plan etatów'!$AA$41)</f>
        <v>0</v>
      </c>
      <c r="J107" s="49" t="n">
        <f aca="false">IF('plan etatów'!$AA$41=0,0,Podsumowanie!$E$22*'plan etatów'!J41/'plan etatów'!$AA$41)</f>
        <v>0</v>
      </c>
      <c r="K107" s="49" t="n">
        <f aca="false">IF('plan etatów'!$AA$41=0,0,Podsumowanie!$E$22*'plan etatów'!K41/'plan etatów'!$AA$41)</f>
        <v>0</v>
      </c>
      <c r="L107" s="49" t="n">
        <f aca="false">IF('plan etatów'!$AA$41=0,0,Podsumowanie!$E$22*'plan etatów'!L41/'plan etatów'!$AA$41)</f>
        <v>0</v>
      </c>
      <c r="M107" s="49" t="n">
        <f aca="false">IF('plan etatów'!$AA$41=0,0,Podsumowanie!$E$22*'plan etatów'!M41/'plan etatów'!$AA$41)</f>
        <v>0</v>
      </c>
      <c r="N107" s="49" t="n">
        <f aca="false">IF('plan etatów'!$AA$41=0,0,Podsumowanie!$E$22*'plan etatów'!N41/'plan etatów'!$AA$41)</f>
        <v>0</v>
      </c>
      <c r="O107" s="49" t="n">
        <f aca="false">IF('plan etatów'!$AA$41=0,0,Podsumowanie!$E$22*'plan etatów'!O41/'plan etatów'!$AA$41)</f>
        <v>0</v>
      </c>
      <c r="P107" s="49" t="n">
        <f aca="false">IF('plan etatów'!$AA$41=0,0,Podsumowanie!$E$22*'plan etatów'!P41/'plan etatów'!$AA$41)</f>
        <v>0</v>
      </c>
      <c r="Q107" s="49" t="n">
        <f aca="false">IF('plan etatów'!$AA$41=0,0,Podsumowanie!$E$22*'plan etatów'!Q41/'plan etatów'!$AA$41)</f>
        <v>0</v>
      </c>
      <c r="R107" s="49" t="n">
        <f aca="false">IF('plan etatów'!$AA$41=0,0,Podsumowanie!$E$22*'plan etatów'!R41/'plan etatów'!$AA$41)</f>
        <v>0</v>
      </c>
      <c r="S107" s="49" t="n">
        <f aca="false">IF('plan etatów'!$AA$41=0,0,Podsumowanie!$E$22*'plan etatów'!S41/'plan etatów'!$AA$41)</f>
        <v>0</v>
      </c>
      <c r="T107" s="49" t="n">
        <f aca="false">IF('plan etatów'!$AA$41=0,0,Podsumowanie!$E$22*'plan etatów'!T41/'plan etatów'!$AA$41)</f>
        <v>0</v>
      </c>
      <c r="U107" s="49" t="n">
        <f aca="false">IF('plan etatów'!$AA$41=0,0,Podsumowanie!$E$22*'plan etatów'!U41/'plan etatów'!$AA$41)</f>
        <v>0</v>
      </c>
      <c r="V107" s="49" t="n">
        <f aca="false">IF('plan etatów'!$AA$41=0,0,Podsumowanie!$E$22*'plan etatów'!V41/'plan etatów'!$AA$41)</f>
        <v>0</v>
      </c>
      <c r="W107" s="49" t="n">
        <f aca="false">IF('plan etatów'!$AA$41=0,0,Podsumowanie!$E$22*'plan etatów'!W41/'plan etatów'!$AA$41)</f>
        <v>0</v>
      </c>
      <c r="X107" s="49" t="n">
        <f aca="false">IF('plan etatów'!$AA$41=0,0,Podsumowanie!$E$22*'plan etatów'!X41/'plan etatów'!$AA$41)</f>
        <v>0</v>
      </c>
      <c r="Y107" s="49" t="n">
        <f aca="false">IF('plan etatów'!$AA$41=0,0,Podsumowanie!$E$22*'plan etatów'!Y41/'plan etatów'!$AA$41)</f>
        <v>0</v>
      </c>
      <c r="Z107" s="49" t="n">
        <f aca="false">IF('plan etatów'!$AA$41=0,0,Podsumowanie!$E$22*'plan etatów'!Z41/'plan etatów'!$AA$41)</f>
        <v>0</v>
      </c>
    </row>
    <row r="108" customFormat="false" ht="15" hidden="false" customHeight="false" outlineLevel="0" collapsed="false">
      <c r="A108" s="41" t="s">
        <v>19</v>
      </c>
      <c r="B108" s="41" t="n">
        <v>1</v>
      </c>
      <c r="C108" s="49" t="n">
        <f aca="false">SUM(D108:Z108)</f>
        <v>53860</v>
      </c>
      <c r="D108" s="49" t="n">
        <f aca="false">IF('plan etatów'!$AA$42=0,0,Podsumowanie!$E$25*'plan etatów'!D42/'plan etatów'!$AA$42)</f>
        <v>10772</v>
      </c>
      <c r="E108" s="49" t="n">
        <f aca="false">IF('plan etatów'!$AA$42=0,0,Podsumowanie!$E$25*'plan etatów'!E42/'plan etatów'!$AA$42)</f>
        <v>10772</v>
      </c>
      <c r="F108" s="49" t="n">
        <f aca="false">IF('plan etatów'!$AA$42=0,0,Podsumowanie!$E$25*'plan etatów'!F42/'plan etatów'!$AA$42)</f>
        <v>10772</v>
      </c>
      <c r="G108" s="49" t="n">
        <f aca="false">IF('plan etatów'!$AA$42=0,0,Podsumowanie!$E$25*'plan etatów'!G42/'plan etatów'!$AA$42)</f>
        <v>10772</v>
      </c>
      <c r="H108" s="49" t="n">
        <f aca="false">IF('plan etatów'!$AA$42=0,0,Podsumowanie!$E$25*'plan etatów'!H42/'plan etatów'!$AA$42)</f>
        <v>10772</v>
      </c>
      <c r="I108" s="49" t="n">
        <f aca="false">IF('plan etatów'!$AA$42=0,0,Podsumowanie!$E$25*'plan etatów'!I42/'plan etatów'!$AA$42)</f>
        <v>0</v>
      </c>
      <c r="J108" s="49" t="n">
        <f aca="false">IF('plan etatów'!$AA$42=0,0,Podsumowanie!$E$25*'plan etatów'!J42/'plan etatów'!$AA$42)</f>
        <v>0</v>
      </c>
      <c r="K108" s="49" t="n">
        <f aca="false">IF('plan etatów'!$AA$42=0,0,Podsumowanie!$E$25*'plan etatów'!K42/'plan etatów'!$AA$42)</f>
        <v>0</v>
      </c>
      <c r="L108" s="49" t="n">
        <f aca="false">IF('plan etatów'!$AA$42=0,0,Podsumowanie!$E$25*'plan etatów'!L42/'plan etatów'!$AA$42)</f>
        <v>0</v>
      </c>
      <c r="M108" s="49" t="n">
        <f aca="false">IF('plan etatów'!$AA$42=0,0,Podsumowanie!$E$25*'plan etatów'!M42/'plan etatów'!$AA$42)</f>
        <v>0</v>
      </c>
      <c r="N108" s="49" t="n">
        <f aca="false">IF('plan etatów'!$AA$42=0,0,Podsumowanie!$E$25*'plan etatów'!N42/'plan etatów'!$AA$42)</f>
        <v>0</v>
      </c>
      <c r="O108" s="49" t="n">
        <f aca="false">IF('plan etatów'!$AA$42=0,0,Podsumowanie!$E$25*'plan etatów'!O42/'plan etatów'!$AA$42)</f>
        <v>0</v>
      </c>
      <c r="P108" s="49" t="n">
        <f aca="false">IF('plan etatów'!$AA$42=0,0,Podsumowanie!$E$25*'plan etatów'!P42/'plan etatów'!$AA$42)</f>
        <v>0</v>
      </c>
      <c r="Q108" s="49" t="n">
        <f aca="false">IF('plan etatów'!$AA$42=0,0,Podsumowanie!$E$25*'plan etatów'!Q42/'plan etatów'!$AA$42)</f>
        <v>0</v>
      </c>
      <c r="R108" s="49" t="n">
        <f aca="false">IF('plan etatów'!$AA$42=0,0,Podsumowanie!$E$25*'plan etatów'!R42/'plan etatów'!$AA$42)</f>
        <v>0</v>
      </c>
      <c r="S108" s="49" t="n">
        <f aca="false">IF('plan etatów'!$AA$42=0,0,Podsumowanie!$E$25*'plan etatów'!S42/'plan etatów'!$AA$42)</f>
        <v>0</v>
      </c>
      <c r="T108" s="49" t="n">
        <f aca="false">IF('plan etatów'!$AA$42=0,0,Podsumowanie!$E$25*'plan etatów'!T42/'plan etatów'!$AA$42)</f>
        <v>0</v>
      </c>
      <c r="U108" s="49" t="n">
        <f aca="false">IF('plan etatów'!$AA$42=0,0,Podsumowanie!$E$25*'plan etatów'!U42/'plan etatów'!$AA$42)</f>
        <v>0</v>
      </c>
      <c r="V108" s="49" t="n">
        <f aca="false">IF('plan etatów'!$AA$42=0,0,Podsumowanie!$E$25*'plan etatów'!V42/'plan etatów'!$AA$42)</f>
        <v>0</v>
      </c>
      <c r="W108" s="49" t="n">
        <f aca="false">IF('plan etatów'!$AA$42=0,0,Podsumowanie!$E$25*'plan etatów'!W42/'plan etatów'!$AA$42)</f>
        <v>0</v>
      </c>
      <c r="X108" s="49" t="n">
        <f aca="false">IF('plan etatów'!$AA$42=0,0,Podsumowanie!$E$25*'plan etatów'!X42/'plan etatów'!$AA$42)</f>
        <v>0</v>
      </c>
      <c r="Y108" s="49" t="n">
        <f aca="false">IF('plan etatów'!$AA$42=0,0,Podsumowanie!$E$25*'plan etatów'!Y42/'plan etatów'!$AA$42)</f>
        <v>0</v>
      </c>
      <c r="Z108" s="49" t="n">
        <f aca="false">IF('plan etatów'!$AA$42=0,0,Podsumowanie!$E$25*'plan etatów'!Z42/'plan etatów'!$AA$42)</f>
        <v>0</v>
      </c>
    </row>
    <row r="109" customFormat="false" ht="15" hidden="false" customHeight="false" outlineLevel="0" collapsed="false">
      <c r="A109" s="41" t="s">
        <v>20</v>
      </c>
      <c r="B109" s="41" t="n">
        <v>1</v>
      </c>
      <c r="C109" s="49" t="n">
        <f aca="false">SUM(D109:Z109)</f>
        <v>82500</v>
      </c>
      <c r="D109" s="49" t="n">
        <f aca="false">IF('plan etatów'!$AA$43=0,0,Podsumowanie!$E$28*'plan etatów'!D43/'plan etatów'!$AA$43)</f>
        <v>16500</v>
      </c>
      <c r="E109" s="49" t="n">
        <f aca="false">IF('plan etatów'!$AA$43=0,0,Podsumowanie!$E$28*'plan etatów'!E43/'plan etatów'!$AA$43)</f>
        <v>16500</v>
      </c>
      <c r="F109" s="49" t="n">
        <f aca="false">IF('plan etatów'!$AA$43=0,0,Podsumowanie!$E$28*'plan etatów'!F43/'plan etatów'!$AA$43)</f>
        <v>16500</v>
      </c>
      <c r="G109" s="49" t="n">
        <f aca="false">IF('plan etatów'!$AA$43=0,0,Podsumowanie!$E$28*'plan etatów'!G43/'plan etatów'!$AA$43)</f>
        <v>16500</v>
      </c>
      <c r="H109" s="49" t="n">
        <f aca="false">IF('plan etatów'!$AA$43=0,0,Podsumowanie!$E$28*'plan etatów'!H43/'plan etatów'!$AA$43)</f>
        <v>16500</v>
      </c>
      <c r="I109" s="49" t="n">
        <f aca="false">IF('plan etatów'!$AA$43=0,0,Podsumowanie!$E$28*'plan etatów'!I43/'plan etatów'!$AA$43)</f>
        <v>0</v>
      </c>
      <c r="J109" s="49" t="n">
        <f aca="false">IF('plan etatów'!$AA$43=0,0,Podsumowanie!$E$28*'plan etatów'!J43/'plan etatów'!$AA$43)</f>
        <v>0</v>
      </c>
      <c r="K109" s="49" t="n">
        <f aca="false">IF('plan etatów'!$AA$43=0,0,Podsumowanie!$E$28*'plan etatów'!K43/'plan etatów'!$AA$43)</f>
        <v>0</v>
      </c>
      <c r="L109" s="49" t="n">
        <f aca="false">IF('plan etatów'!$AA$43=0,0,Podsumowanie!$E$28*'plan etatów'!L43/'plan etatów'!$AA$43)</f>
        <v>0</v>
      </c>
      <c r="M109" s="49" t="n">
        <f aca="false">IF('plan etatów'!$AA$43=0,0,Podsumowanie!$E$28*'plan etatów'!M43/'plan etatów'!$AA$43)</f>
        <v>0</v>
      </c>
      <c r="N109" s="49" t="n">
        <f aca="false">IF('plan etatów'!$AA$43=0,0,Podsumowanie!$E$28*'plan etatów'!N43/'plan etatów'!$AA$43)</f>
        <v>0</v>
      </c>
      <c r="O109" s="49" t="n">
        <f aca="false">IF('plan etatów'!$AA$43=0,0,Podsumowanie!$E$28*'plan etatów'!O43/'plan etatów'!$AA$43)</f>
        <v>0</v>
      </c>
      <c r="P109" s="49" t="n">
        <f aca="false">IF('plan etatów'!$AA$43=0,0,Podsumowanie!$E$28*'plan etatów'!P43/'plan etatów'!$AA$43)</f>
        <v>0</v>
      </c>
      <c r="Q109" s="49" t="n">
        <f aca="false">IF('plan etatów'!$AA$43=0,0,Podsumowanie!$E$28*'plan etatów'!Q43/'plan etatów'!$AA$43)</f>
        <v>0</v>
      </c>
      <c r="R109" s="49" t="n">
        <f aca="false">IF('plan etatów'!$AA$43=0,0,Podsumowanie!$E$28*'plan etatów'!R43/'plan etatów'!$AA$43)</f>
        <v>0</v>
      </c>
      <c r="S109" s="49" t="n">
        <f aca="false">IF('plan etatów'!$AA$43=0,0,Podsumowanie!$E$28*'plan etatów'!S43/'plan etatów'!$AA$43)</f>
        <v>0</v>
      </c>
      <c r="T109" s="49" t="n">
        <f aca="false">IF('plan etatów'!$AA$43=0,0,Podsumowanie!$E$28*'plan etatów'!T43/'plan etatów'!$AA$43)</f>
        <v>0</v>
      </c>
      <c r="U109" s="49" t="n">
        <f aca="false">IF('plan etatów'!$AA$43=0,0,Podsumowanie!$E$28*'plan etatów'!U43/'plan etatów'!$AA$43)</f>
        <v>0</v>
      </c>
      <c r="V109" s="49" t="n">
        <f aca="false">IF('plan etatów'!$AA$43=0,0,Podsumowanie!$E$28*'plan etatów'!V43/'plan etatów'!$AA$43)</f>
        <v>0</v>
      </c>
      <c r="W109" s="49" t="n">
        <f aca="false">IF('plan etatów'!$AA$43=0,0,Podsumowanie!$E$28*'plan etatów'!W43/'plan etatów'!$AA$43)</f>
        <v>0</v>
      </c>
      <c r="X109" s="49" t="n">
        <f aca="false">IF('plan etatów'!$AA$43=0,0,Podsumowanie!$E$28*'plan etatów'!X43/'plan etatów'!$AA$43)</f>
        <v>0</v>
      </c>
      <c r="Y109" s="49" t="n">
        <f aca="false">IF('plan etatów'!$AA$43=0,0,Podsumowanie!$E$28*'plan etatów'!Y43/'plan etatów'!$AA$43)</f>
        <v>0</v>
      </c>
      <c r="Z109" s="49" t="n">
        <f aca="false">IF('plan etatów'!$AA$43=0,0,Podsumowanie!$E$28*'plan etatów'!Z43/'plan etatów'!$AA$43)</f>
        <v>0</v>
      </c>
    </row>
    <row r="110" customFormat="false" ht="15" hidden="false" customHeight="false" outlineLevel="0" collapsed="false">
      <c r="A110" s="41" t="s">
        <v>21</v>
      </c>
      <c r="B110" s="41" t="n">
        <v>1</v>
      </c>
      <c r="C110" s="49" t="n">
        <f aca="false">SUM(D110:Z110)</f>
        <v>2857.14</v>
      </c>
      <c r="D110" s="49" t="n">
        <f aca="false">IF('plan etatów'!$AA$44=0,0,Podsumowanie!$E$31*'plan etatów'!D44/'plan etatów'!$AA$44)</f>
        <v>571.428</v>
      </c>
      <c r="E110" s="49" t="n">
        <f aca="false">IF('plan etatów'!$AA$44=0,0,Podsumowanie!$E$31*'plan etatów'!E44/'plan etatów'!$AA$44)</f>
        <v>571.428</v>
      </c>
      <c r="F110" s="49" t="n">
        <f aca="false">IF('plan etatów'!$AA$44=0,0,Podsumowanie!$E$31*'plan etatów'!F44/'plan etatów'!$AA$44)</f>
        <v>571.428</v>
      </c>
      <c r="G110" s="49" t="n">
        <f aca="false">IF('plan etatów'!$AA$44=0,0,Podsumowanie!$E$31*'plan etatów'!G44/'plan etatów'!$AA$44)</f>
        <v>571.428</v>
      </c>
      <c r="H110" s="49" t="n">
        <f aca="false">IF('plan etatów'!$AA$44=0,0,Podsumowanie!$E$31*'plan etatów'!H44/'plan etatów'!$AA$44)</f>
        <v>571.428</v>
      </c>
      <c r="I110" s="49" t="n">
        <f aca="false">IF('plan etatów'!$AA$44=0,0,Podsumowanie!$E$31*'plan etatów'!I44/'plan etatów'!$AA$44)</f>
        <v>0</v>
      </c>
      <c r="J110" s="49" t="n">
        <f aca="false">IF('plan etatów'!$AA$44=0,0,Podsumowanie!$E$31*'plan etatów'!J44/'plan etatów'!$AA$44)</f>
        <v>0</v>
      </c>
      <c r="K110" s="49" t="n">
        <f aca="false">IF('plan etatów'!$AA$44=0,0,Podsumowanie!$E$31*'plan etatów'!K44/'plan etatów'!$AA$44)</f>
        <v>0</v>
      </c>
      <c r="L110" s="49" t="n">
        <f aca="false">IF('plan etatów'!$AA$44=0,0,Podsumowanie!$E$31*'plan etatów'!L44/'plan etatów'!$AA$44)</f>
        <v>0</v>
      </c>
      <c r="M110" s="49" t="n">
        <f aca="false">IF('plan etatów'!$AA$44=0,0,Podsumowanie!$E$31*'plan etatów'!M44/'plan etatów'!$AA$44)</f>
        <v>0</v>
      </c>
      <c r="N110" s="49" t="n">
        <f aca="false">IF('plan etatów'!$AA$44=0,0,Podsumowanie!$E$31*'plan etatów'!N44/'plan etatów'!$AA$44)</f>
        <v>0</v>
      </c>
      <c r="O110" s="49" t="n">
        <f aca="false">IF('plan etatów'!$AA$44=0,0,Podsumowanie!$E$31*'plan etatów'!O44/'plan etatów'!$AA$44)</f>
        <v>0</v>
      </c>
      <c r="P110" s="49" t="n">
        <f aca="false">IF('plan etatów'!$AA$44=0,0,Podsumowanie!$E$31*'plan etatów'!P44/'plan etatów'!$AA$44)</f>
        <v>0</v>
      </c>
      <c r="Q110" s="49" t="n">
        <f aca="false">IF('plan etatów'!$AA$44=0,0,Podsumowanie!$E$31*'plan etatów'!Q44/'plan etatów'!$AA$44)</f>
        <v>0</v>
      </c>
      <c r="R110" s="49" t="n">
        <f aca="false">IF('plan etatów'!$AA$44=0,0,Podsumowanie!$E$31*'plan etatów'!R44/'plan etatów'!$AA$44)</f>
        <v>0</v>
      </c>
      <c r="S110" s="49" t="n">
        <f aca="false">IF('plan etatów'!$AA$44=0,0,Podsumowanie!$E$31*'plan etatów'!S44/'plan etatów'!$AA$44)</f>
        <v>0</v>
      </c>
      <c r="T110" s="49" t="n">
        <f aca="false">IF('plan etatów'!$AA$44=0,0,Podsumowanie!$E$31*'plan etatów'!T44/'plan etatów'!$AA$44)</f>
        <v>0</v>
      </c>
      <c r="U110" s="49" t="n">
        <f aca="false">IF('plan etatów'!$AA$44=0,0,Podsumowanie!$E$31*'plan etatów'!U44/'plan etatów'!$AA$44)</f>
        <v>0</v>
      </c>
      <c r="V110" s="49" t="n">
        <f aca="false">IF('plan etatów'!$AA$44=0,0,Podsumowanie!$E$31*'plan etatów'!V44/'plan etatów'!$AA$44)</f>
        <v>0</v>
      </c>
      <c r="W110" s="49" t="n">
        <f aca="false">IF('plan etatów'!$AA$44=0,0,Podsumowanie!$E$31*'plan etatów'!W44/'plan etatów'!$AA$44)</f>
        <v>0</v>
      </c>
      <c r="X110" s="49" t="n">
        <f aca="false">IF('plan etatów'!$AA$44=0,0,Podsumowanie!$E$31*'plan etatów'!X44/'plan etatów'!$AA$44)</f>
        <v>0</v>
      </c>
      <c r="Y110" s="49" t="n">
        <f aca="false">IF('plan etatów'!$AA$44=0,0,Podsumowanie!$E$31*'plan etatów'!Y44/'plan etatów'!$AA$44)</f>
        <v>0</v>
      </c>
      <c r="Z110" s="49" t="n">
        <f aca="false">IF('plan etatów'!$AA$44=0,0,Podsumowanie!$E$31*'plan etatów'!Z44/'plan etatów'!$AA$44)</f>
        <v>0</v>
      </c>
    </row>
    <row r="111" customFormat="false" ht="15" hidden="false" customHeight="false" outlineLevel="0" collapsed="false">
      <c r="A111" s="41" t="s">
        <v>22</v>
      </c>
      <c r="B111" s="41" t="n">
        <v>1</v>
      </c>
      <c r="C111" s="49" t="n">
        <f aca="false">SUM(D111:Z111)</f>
        <v>79000</v>
      </c>
      <c r="D111" s="49" t="n">
        <f aca="false">IF('plan etatów'!$AA$45=0,0,Podsumowanie!$E$34*'plan etatów'!D45/'plan etatów'!$AA$45)</f>
        <v>15800</v>
      </c>
      <c r="E111" s="49" t="n">
        <f aca="false">IF('plan etatów'!$AA$45=0,0,Podsumowanie!$E$34*'plan etatów'!E45/'plan etatów'!$AA$45)</f>
        <v>15800</v>
      </c>
      <c r="F111" s="49" t="n">
        <f aca="false">IF('plan etatów'!$AA$45=0,0,Podsumowanie!$E$34*'plan etatów'!F45/'plan etatów'!$AA$45)</f>
        <v>15800</v>
      </c>
      <c r="G111" s="49" t="n">
        <f aca="false">IF('plan etatów'!$AA$45=0,0,Podsumowanie!$E$34*'plan etatów'!G45/'plan etatów'!$AA$45)</f>
        <v>15800</v>
      </c>
      <c r="H111" s="49" t="n">
        <f aca="false">IF('plan etatów'!$AA$45=0,0,Podsumowanie!$E$34*'plan etatów'!H45/'plan etatów'!$AA$45)</f>
        <v>15800</v>
      </c>
      <c r="I111" s="49" t="n">
        <f aca="false">IF('plan etatów'!$AA$45=0,0,Podsumowanie!$E$34*'plan etatów'!I45/'plan etatów'!$AA$45)</f>
        <v>0</v>
      </c>
      <c r="J111" s="49" t="n">
        <f aca="false">IF('plan etatów'!$AA$45=0,0,Podsumowanie!$E$34*'plan etatów'!J45/'plan etatów'!$AA$45)</f>
        <v>0</v>
      </c>
      <c r="K111" s="49" t="n">
        <f aca="false">IF('plan etatów'!$AA$45=0,0,Podsumowanie!$E$34*'plan etatów'!K45/'plan etatów'!$AA$45)</f>
        <v>0</v>
      </c>
      <c r="L111" s="49" t="n">
        <f aca="false">IF('plan etatów'!$AA$45=0,0,Podsumowanie!$E$34*'plan etatów'!L45/'plan etatów'!$AA$45)</f>
        <v>0</v>
      </c>
      <c r="M111" s="49" t="n">
        <f aca="false">IF('plan etatów'!$AA$45=0,0,Podsumowanie!$E$34*'plan etatów'!M45/'plan etatów'!$AA$45)</f>
        <v>0</v>
      </c>
      <c r="N111" s="49" t="n">
        <f aca="false">IF('plan etatów'!$AA$45=0,0,Podsumowanie!$E$34*'plan etatów'!N45/'plan etatów'!$AA$45)</f>
        <v>0</v>
      </c>
      <c r="O111" s="49" t="n">
        <f aca="false">IF('plan etatów'!$AA$45=0,0,Podsumowanie!$E$34*'plan etatów'!O45/'plan etatów'!$AA$45)</f>
        <v>0</v>
      </c>
      <c r="P111" s="49" t="n">
        <f aca="false">IF('plan etatów'!$AA$45=0,0,Podsumowanie!$E$34*'plan etatów'!P45/'plan etatów'!$AA$45)</f>
        <v>0</v>
      </c>
      <c r="Q111" s="49" t="n">
        <f aca="false">IF('plan etatów'!$AA$45=0,0,Podsumowanie!$E$34*'plan etatów'!Q45/'plan etatów'!$AA$45)</f>
        <v>0</v>
      </c>
      <c r="R111" s="49" t="n">
        <f aca="false">IF('plan etatów'!$AA$45=0,0,Podsumowanie!$E$34*'plan etatów'!R45/'plan etatów'!$AA$45)</f>
        <v>0</v>
      </c>
      <c r="S111" s="49" t="n">
        <f aca="false">IF('plan etatów'!$AA$45=0,0,Podsumowanie!$E$34*'plan etatów'!S45/'plan etatów'!$AA$45)</f>
        <v>0</v>
      </c>
      <c r="T111" s="49" t="n">
        <f aca="false">IF('plan etatów'!$AA$45=0,0,Podsumowanie!$E$34*'plan etatów'!T45/'plan etatów'!$AA$45)</f>
        <v>0</v>
      </c>
      <c r="U111" s="49" t="n">
        <f aca="false">IF('plan etatów'!$AA$45=0,0,Podsumowanie!$E$34*'plan etatów'!U45/'plan etatów'!$AA$45)</f>
        <v>0</v>
      </c>
      <c r="V111" s="49" t="n">
        <f aca="false">IF('plan etatów'!$AA$45=0,0,Podsumowanie!$E$34*'plan etatów'!V45/'plan etatów'!$AA$45)</f>
        <v>0</v>
      </c>
      <c r="W111" s="49" t="n">
        <f aca="false">IF('plan etatów'!$AA$45=0,0,Podsumowanie!$E$34*'plan etatów'!W45/'plan etatów'!$AA$45)</f>
        <v>0</v>
      </c>
      <c r="X111" s="49" t="n">
        <f aca="false">IF('plan etatów'!$AA$45=0,0,Podsumowanie!$E$34*'plan etatów'!X45/'plan etatów'!$AA$45)</f>
        <v>0</v>
      </c>
      <c r="Y111" s="49" t="n">
        <f aca="false">IF('plan etatów'!$AA$45=0,0,Podsumowanie!$E$34*'plan etatów'!Y45/'plan etatów'!$AA$45)</f>
        <v>0</v>
      </c>
      <c r="Z111" s="49" t="n">
        <f aca="false">IF('plan etatów'!$AA$45=0,0,Podsumowanie!$E$34*'plan etatów'!Z45/'plan etatów'!$AA$45)</f>
        <v>0</v>
      </c>
    </row>
    <row r="112" customFormat="false" ht="15" hidden="false" customHeight="false" outlineLevel="0" collapsed="false">
      <c r="A112" s="41" t="s">
        <v>24</v>
      </c>
      <c r="B112" s="41" t="n">
        <v>2</v>
      </c>
      <c r="C112" s="49" t="n">
        <f aca="false">SUM(D112:Z112)</f>
        <v>265920</v>
      </c>
      <c r="D112" s="49" t="n">
        <f aca="false">IF('plan etatów'!$AA$46=0,0,Podsumowanie!$E$40*'plan etatów'!D46/'plan etatów'!$AA$46)</f>
        <v>0</v>
      </c>
      <c r="E112" s="49" t="n">
        <f aca="false">IF('plan etatów'!$AA$46=0,0,Podsumowanie!$E$40*'plan etatów'!E46/'plan etatów'!$AA$46)</f>
        <v>0</v>
      </c>
      <c r="F112" s="49" t="n">
        <f aca="false">IF('plan etatów'!$AA$46=0,0,Podsumowanie!$E$40*'plan etatów'!F46/'plan etatów'!$AA$46)</f>
        <v>0</v>
      </c>
      <c r="G112" s="49" t="n">
        <f aca="false">IF('plan etatów'!$AA$46=0,0,Podsumowanie!$E$40*'plan etatów'!G46/'plan etatów'!$AA$46)</f>
        <v>0</v>
      </c>
      <c r="H112" s="49" t="n">
        <f aca="false">IF('plan etatów'!$AA$46=0,0,Podsumowanie!$E$40*'plan etatów'!H46/'plan etatów'!$AA$46)</f>
        <v>0</v>
      </c>
      <c r="I112" s="49" t="n">
        <f aca="false">IF('plan etatów'!$AA$46=0,0,Podsumowanie!$E$40*'plan etatów'!I46/'plan etatów'!$AA$46)</f>
        <v>44320</v>
      </c>
      <c r="J112" s="49" t="n">
        <f aca="false">IF('plan etatów'!$AA$46=0,0,Podsumowanie!$E$40*'plan etatów'!J46/'plan etatów'!$AA$46)</f>
        <v>44320</v>
      </c>
      <c r="K112" s="49" t="n">
        <f aca="false">IF('plan etatów'!$AA$46=0,0,Podsumowanie!$E$40*'plan etatów'!K46/'plan etatów'!$AA$46)</f>
        <v>44320</v>
      </c>
      <c r="L112" s="49" t="n">
        <f aca="false">IF('plan etatów'!$AA$46=0,0,Podsumowanie!$E$40*'plan etatów'!L46/'plan etatów'!$AA$46)</f>
        <v>44320</v>
      </c>
      <c r="M112" s="49" t="n">
        <f aca="false">IF('plan etatów'!$AA$46=0,0,Podsumowanie!$E$40*'plan etatów'!M46/'plan etatów'!$AA$46)</f>
        <v>44320</v>
      </c>
      <c r="N112" s="49" t="n">
        <f aca="false">IF('plan etatów'!$AA$46=0,0,Podsumowanie!$E$40*'plan etatów'!N46/'plan etatów'!$AA$46)</f>
        <v>44320</v>
      </c>
      <c r="O112" s="49" t="n">
        <f aca="false">IF('plan etatów'!$AA$46=0,0,Podsumowanie!$E$40*'plan etatów'!O46/'plan etatów'!$AA$46)</f>
        <v>0</v>
      </c>
      <c r="P112" s="49" t="n">
        <f aca="false">IF('plan etatów'!$AA$46=0,0,Podsumowanie!$E$40*'plan etatów'!P46/'plan etatów'!$AA$46)</f>
        <v>0</v>
      </c>
      <c r="Q112" s="49" t="n">
        <f aca="false">IF('plan etatów'!$AA$46=0,0,Podsumowanie!$E$40*'plan etatów'!Q46/'plan etatów'!$AA$46)</f>
        <v>0</v>
      </c>
      <c r="R112" s="49" t="n">
        <f aca="false">IF('plan etatów'!$AA$46=0,0,Podsumowanie!$E$40*'plan etatów'!R46/'plan etatów'!$AA$46)</f>
        <v>0</v>
      </c>
      <c r="S112" s="49" t="n">
        <f aca="false">IF('plan etatów'!$AA$46=0,0,Podsumowanie!$E$40*'plan etatów'!S46/'plan etatów'!$AA$46)</f>
        <v>0</v>
      </c>
      <c r="T112" s="49" t="n">
        <f aca="false">IF('plan etatów'!$AA$46=0,0,Podsumowanie!$E$40*'plan etatów'!T46/'plan etatów'!$AA$46)</f>
        <v>0</v>
      </c>
      <c r="U112" s="49" t="n">
        <f aca="false">IF('plan etatów'!$AA$46=0,0,Podsumowanie!$E$40*'plan etatów'!U46/'plan etatów'!$AA$46)</f>
        <v>0</v>
      </c>
      <c r="V112" s="49" t="n">
        <f aca="false">IF('plan etatów'!$AA$46=0,0,Podsumowanie!$E$40*'plan etatów'!V46/'plan etatów'!$AA$46)</f>
        <v>0</v>
      </c>
      <c r="W112" s="49" t="n">
        <f aca="false">IF('plan etatów'!$AA$46=0,0,Podsumowanie!$E$40*'plan etatów'!W46/'plan etatów'!$AA$46)</f>
        <v>0</v>
      </c>
      <c r="X112" s="49" t="n">
        <f aca="false">IF('plan etatów'!$AA$46=0,0,Podsumowanie!$E$40*'plan etatów'!X46/'plan etatów'!$AA$46)</f>
        <v>0</v>
      </c>
      <c r="Y112" s="49" t="n">
        <f aca="false">IF('plan etatów'!$AA$46=0,0,Podsumowanie!$E$40*'plan etatów'!Y46/'plan etatów'!$AA$46)</f>
        <v>0</v>
      </c>
      <c r="Z112" s="49" t="n">
        <f aca="false">IF('plan etatów'!$AA$46=0,0,Podsumowanie!$E$40*'plan etatów'!Z46/'plan etatów'!$AA$46)</f>
        <v>0</v>
      </c>
    </row>
    <row r="113" customFormat="false" ht="15" hidden="false" customHeight="false" outlineLevel="0" collapsed="false">
      <c r="A113" s="41" t="s">
        <v>25</v>
      </c>
      <c r="B113" s="41" t="n">
        <v>2</v>
      </c>
      <c r="C113" s="49" t="n">
        <f aca="false">SUM(D113:Z113)</f>
        <v>90528</v>
      </c>
      <c r="D113" s="49" t="n">
        <f aca="false">IF('plan etatów'!$AA$47=0,0,Podsumowanie!$E$43*'plan etatów'!D47/'plan etatów'!$AA$47)</f>
        <v>0</v>
      </c>
      <c r="E113" s="49" t="n">
        <f aca="false">IF('plan etatów'!$AA$47=0,0,Podsumowanie!$E$43*'plan etatów'!E47/'plan etatów'!$AA$47)</f>
        <v>0</v>
      </c>
      <c r="F113" s="49" t="n">
        <f aca="false">IF('plan etatów'!$AA$47=0,0,Podsumowanie!$E$43*'plan etatów'!F47/'plan etatów'!$AA$47)</f>
        <v>0</v>
      </c>
      <c r="G113" s="49" t="n">
        <f aca="false">IF('plan etatów'!$AA$47=0,0,Podsumowanie!$E$43*'plan etatów'!G47/'plan etatów'!$AA$47)</f>
        <v>0</v>
      </c>
      <c r="H113" s="49" t="n">
        <f aca="false">IF('plan etatów'!$AA$47=0,0,Podsumowanie!$E$43*'plan etatów'!H47/'plan etatów'!$AA$47)</f>
        <v>0</v>
      </c>
      <c r="I113" s="49" t="n">
        <f aca="false">IF('plan etatów'!$AA$47=0,0,Podsumowanie!$E$43*'plan etatów'!I47/'plan etatów'!$AA$47)</f>
        <v>15088</v>
      </c>
      <c r="J113" s="49" t="n">
        <f aca="false">IF('plan etatów'!$AA$47=0,0,Podsumowanie!$E$43*'plan etatów'!J47/'plan etatów'!$AA$47)</f>
        <v>15088</v>
      </c>
      <c r="K113" s="49" t="n">
        <f aca="false">IF('plan etatów'!$AA$47=0,0,Podsumowanie!$E$43*'plan etatów'!K47/'plan etatów'!$AA$47)</f>
        <v>15088</v>
      </c>
      <c r="L113" s="49" t="n">
        <f aca="false">IF('plan etatów'!$AA$47=0,0,Podsumowanie!$E$43*'plan etatów'!L47/'plan etatów'!$AA$47)</f>
        <v>15088</v>
      </c>
      <c r="M113" s="49" t="n">
        <f aca="false">IF('plan etatów'!$AA$47=0,0,Podsumowanie!$E$43*'plan etatów'!M47/'plan etatów'!$AA$47)</f>
        <v>15088</v>
      </c>
      <c r="N113" s="49" t="n">
        <f aca="false">IF('plan etatów'!$AA$47=0,0,Podsumowanie!$E$43*'plan etatów'!N47/'plan etatów'!$AA$47)</f>
        <v>15088</v>
      </c>
      <c r="O113" s="49" t="n">
        <f aca="false">IF('plan etatów'!$AA$47=0,0,Podsumowanie!$E$43*'plan etatów'!O47/'plan etatów'!$AA$47)</f>
        <v>0</v>
      </c>
      <c r="P113" s="49" t="n">
        <f aca="false">IF('plan etatów'!$AA$47=0,0,Podsumowanie!$E$43*'plan etatów'!P47/'plan etatów'!$AA$47)</f>
        <v>0</v>
      </c>
      <c r="Q113" s="49" t="n">
        <f aca="false">IF('plan etatów'!$AA$47=0,0,Podsumowanie!$E$43*'plan etatów'!Q47/'plan etatów'!$AA$47)</f>
        <v>0</v>
      </c>
      <c r="R113" s="49" t="n">
        <f aca="false">IF('plan etatów'!$AA$47=0,0,Podsumowanie!$E$43*'plan etatów'!R47/'plan etatów'!$AA$47)</f>
        <v>0</v>
      </c>
      <c r="S113" s="49" t="n">
        <f aca="false">IF('plan etatów'!$AA$47=0,0,Podsumowanie!$E$43*'plan etatów'!S47/'plan etatów'!$AA$47)</f>
        <v>0</v>
      </c>
      <c r="T113" s="49" t="n">
        <f aca="false">IF('plan etatów'!$AA$47=0,0,Podsumowanie!$E$43*'plan etatów'!T47/'plan etatów'!$AA$47)</f>
        <v>0</v>
      </c>
      <c r="U113" s="49" t="n">
        <f aca="false">IF('plan etatów'!$AA$47=0,0,Podsumowanie!$E$43*'plan etatów'!U47/'plan etatów'!$AA$47)</f>
        <v>0</v>
      </c>
      <c r="V113" s="49" t="n">
        <f aca="false">IF('plan etatów'!$AA$47=0,0,Podsumowanie!$E$43*'plan etatów'!V47/'plan etatów'!$AA$47)</f>
        <v>0</v>
      </c>
      <c r="W113" s="49" t="n">
        <f aca="false">IF('plan etatów'!$AA$47=0,0,Podsumowanie!$E$43*'plan etatów'!W47/'plan etatów'!$AA$47)</f>
        <v>0</v>
      </c>
      <c r="X113" s="49" t="n">
        <f aca="false">IF('plan etatów'!$AA$47=0,0,Podsumowanie!$E$43*'plan etatów'!X47/'plan etatów'!$AA$47)</f>
        <v>0</v>
      </c>
      <c r="Y113" s="49" t="n">
        <f aca="false">IF('plan etatów'!$AA$47=0,0,Podsumowanie!$E$43*'plan etatów'!Y47/'plan etatów'!$AA$47)</f>
        <v>0</v>
      </c>
      <c r="Z113" s="49" t="n">
        <f aca="false">IF('plan etatów'!$AA$47=0,0,Podsumowanie!$E$43*'plan etatów'!Z47/'plan etatów'!$AA$47)</f>
        <v>0</v>
      </c>
    </row>
    <row r="114" customFormat="false" ht="15" hidden="false" customHeight="false" outlineLevel="0" collapsed="false">
      <c r="A114" s="41" t="s">
        <v>26</v>
      </c>
      <c r="B114" s="41" t="n">
        <v>2</v>
      </c>
      <c r="C114" s="49" t="n">
        <f aca="false">SUM(D114:Z114)</f>
        <v>130128</v>
      </c>
      <c r="D114" s="49" t="n">
        <f aca="false">IF('plan etatów'!$AA$48=0,0,Podsumowanie!$E$46*'plan etatów'!D48/'plan etatów'!$AA$48)</f>
        <v>0</v>
      </c>
      <c r="E114" s="49" t="n">
        <f aca="false">IF('plan etatów'!$AA$48=0,0,Podsumowanie!$E$46*'plan etatów'!E48/'plan etatów'!$AA$48)</f>
        <v>0</v>
      </c>
      <c r="F114" s="49" t="n">
        <f aca="false">IF('plan etatów'!$AA$48=0,0,Podsumowanie!$E$46*'plan etatów'!F48/'plan etatów'!$AA$48)</f>
        <v>0</v>
      </c>
      <c r="G114" s="49" t="n">
        <f aca="false">IF('plan etatów'!$AA$48=0,0,Podsumowanie!$E$46*'plan etatów'!G48/'plan etatów'!$AA$48)</f>
        <v>0</v>
      </c>
      <c r="H114" s="49" t="n">
        <f aca="false">IF('plan etatów'!$AA$48=0,0,Podsumowanie!$E$46*'plan etatów'!H48/'plan etatów'!$AA$48)</f>
        <v>0</v>
      </c>
      <c r="I114" s="49" t="n">
        <f aca="false">IF('plan etatów'!$AA$48=0,0,Podsumowanie!$E$46*'plan etatów'!I48/'plan etatów'!$AA$48)</f>
        <v>21688</v>
      </c>
      <c r="J114" s="49" t="n">
        <f aca="false">IF('plan etatów'!$AA$48=0,0,Podsumowanie!$E$46*'plan etatów'!J48/'plan etatów'!$AA$48)</f>
        <v>21688</v>
      </c>
      <c r="K114" s="49" t="n">
        <f aca="false">IF('plan etatów'!$AA$48=0,0,Podsumowanie!$E$46*'plan etatów'!K48/'plan etatów'!$AA$48)</f>
        <v>21688</v>
      </c>
      <c r="L114" s="49" t="n">
        <f aca="false">IF('plan etatów'!$AA$48=0,0,Podsumowanie!$E$46*'plan etatów'!L48/'plan etatów'!$AA$48)</f>
        <v>21688</v>
      </c>
      <c r="M114" s="49" t="n">
        <f aca="false">IF('plan etatów'!$AA$48=0,0,Podsumowanie!$E$46*'plan etatów'!M48/'plan etatów'!$AA$48)</f>
        <v>21688</v>
      </c>
      <c r="N114" s="49" t="n">
        <f aca="false">IF('plan etatów'!$AA$48=0,0,Podsumowanie!$E$46*'plan etatów'!N48/'plan etatów'!$AA$48)</f>
        <v>21688</v>
      </c>
      <c r="O114" s="49" t="n">
        <f aca="false">IF('plan etatów'!$AA$48=0,0,Podsumowanie!$E$46*'plan etatów'!O48/'plan etatów'!$AA$48)</f>
        <v>0</v>
      </c>
      <c r="P114" s="49" t="n">
        <f aca="false">IF('plan etatów'!$AA$48=0,0,Podsumowanie!$E$46*'plan etatów'!P48/'plan etatów'!$AA$48)</f>
        <v>0</v>
      </c>
      <c r="Q114" s="49" t="n">
        <f aca="false">IF('plan etatów'!$AA$48=0,0,Podsumowanie!$E$46*'plan etatów'!Q48/'plan etatów'!$AA$48)</f>
        <v>0</v>
      </c>
      <c r="R114" s="49" t="n">
        <f aca="false">IF('plan etatów'!$AA$48=0,0,Podsumowanie!$E$46*'plan etatów'!R48/'plan etatów'!$AA$48)</f>
        <v>0</v>
      </c>
      <c r="S114" s="49" t="n">
        <f aca="false">IF('plan etatów'!$AA$48=0,0,Podsumowanie!$E$46*'plan etatów'!S48/'plan etatów'!$AA$48)</f>
        <v>0</v>
      </c>
      <c r="T114" s="49" t="n">
        <f aca="false">IF('plan etatów'!$AA$48=0,0,Podsumowanie!$E$46*'plan etatów'!T48/'plan etatów'!$AA$48)</f>
        <v>0</v>
      </c>
      <c r="U114" s="49" t="n">
        <f aca="false">IF('plan etatów'!$AA$48=0,0,Podsumowanie!$E$46*'plan etatów'!U48/'plan etatów'!$AA$48)</f>
        <v>0</v>
      </c>
      <c r="V114" s="49" t="n">
        <f aca="false">IF('plan etatów'!$AA$48=0,0,Podsumowanie!$E$46*'plan etatów'!V48/'plan etatów'!$AA$48)</f>
        <v>0</v>
      </c>
      <c r="W114" s="49" t="n">
        <f aca="false">IF('plan etatów'!$AA$48=0,0,Podsumowanie!$E$46*'plan etatów'!W48/'plan etatów'!$AA$48)</f>
        <v>0</v>
      </c>
      <c r="X114" s="49" t="n">
        <f aca="false">IF('plan etatów'!$AA$48=0,0,Podsumowanie!$E$46*'plan etatów'!X48/'plan etatów'!$AA$48)</f>
        <v>0</v>
      </c>
      <c r="Y114" s="49" t="n">
        <f aca="false">IF('plan etatów'!$AA$48=0,0,Podsumowanie!$E$46*'plan etatów'!Y48/'plan etatów'!$AA$48)</f>
        <v>0</v>
      </c>
      <c r="Z114" s="49" t="n">
        <f aca="false">IF('plan etatów'!$AA$48=0,0,Podsumowanie!$E$46*'plan etatów'!Z48/'plan etatów'!$AA$48)</f>
        <v>0</v>
      </c>
    </row>
    <row r="115" customFormat="false" ht="15" hidden="false" customHeight="false" outlineLevel="0" collapsed="false">
      <c r="A115" s="41" t="s">
        <v>27</v>
      </c>
      <c r="B115" s="41" t="n">
        <v>2</v>
      </c>
      <c r="C115" s="49" t="n">
        <f aca="false">SUM(D115:Z115)</f>
        <v>99000</v>
      </c>
      <c r="D115" s="49" t="n">
        <f aca="false">IF('plan etatów'!$AA$49=0,0,Podsumowanie!$E$49*'plan etatów'!D49/'plan etatów'!$AA$49)</f>
        <v>0</v>
      </c>
      <c r="E115" s="49" t="n">
        <f aca="false">IF('plan etatów'!$AA$49=0,0,Podsumowanie!$E$49*'plan etatów'!E49/'plan etatów'!$AA$49)</f>
        <v>0</v>
      </c>
      <c r="F115" s="49" t="n">
        <f aca="false">IF('plan etatów'!$AA$49=0,0,Podsumowanie!$E$49*'plan etatów'!F49/'plan etatów'!$AA$49)</f>
        <v>0</v>
      </c>
      <c r="G115" s="49" t="n">
        <f aca="false">IF('plan etatów'!$AA$49=0,0,Podsumowanie!$E$49*'plan etatów'!G49/'plan etatów'!$AA$49)</f>
        <v>0</v>
      </c>
      <c r="H115" s="49" t="n">
        <f aca="false">IF('plan etatów'!$AA$49=0,0,Podsumowanie!$E$49*'plan etatów'!H49/'plan etatów'!$AA$49)</f>
        <v>0</v>
      </c>
      <c r="I115" s="49" t="n">
        <f aca="false">IF('plan etatów'!$AA$49=0,0,Podsumowanie!$E$49*'plan etatów'!I49/'plan etatów'!$AA$49)</f>
        <v>16500</v>
      </c>
      <c r="J115" s="49" t="n">
        <f aca="false">IF('plan etatów'!$AA$49=0,0,Podsumowanie!$E$49*'plan etatów'!J49/'plan etatów'!$AA$49)</f>
        <v>16500</v>
      </c>
      <c r="K115" s="49" t="n">
        <f aca="false">IF('plan etatów'!$AA$49=0,0,Podsumowanie!$E$49*'plan etatów'!K49/'plan etatów'!$AA$49)</f>
        <v>16500</v>
      </c>
      <c r="L115" s="49" t="n">
        <f aca="false">IF('plan etatów'!$AA$49=0,0,Podsumowanie!$E$49*'plan etatów'!L49/'plan etatów'!$AA$49)</f>
        <v>16500</v>
      </c>
      <c r="M115" s="49" t="n">
        <f aca="false">IF('plan etatów'!$AA$49=0,0,Podsumowanie!$E$49*'plan etatów'!M49/'plan etatów'!$AA$49)</f>
        <v>16500</v>
      </c>
      <c r="N115" s="49" t="n">
        <f aca="false">IF('plan etatów'!$AA$49=0,0,Podsumowanie!$E$49*'plan etatów'!N49/'plan etatów'!$AA$49)</f>
        <v>16500</v>
      </c>
      <c r="O115" s="49" t="n">
        <f aca="false">IF('plan etatów'!$AA$49=0,0,Podsumowanie!$E$49*'plan etatów'!O49/'plan etatów'!$AA$49)</f>
        <v>0</v>
      </c>
      <c r="P115" s="49" t="n">
        <f aca="false">IF('plan etatów'!$AA$49=0,0,Podsumowanie!$E$49*'plan etatów'!P49/'plan etatów'!$AA$49)</f>
        <v>0</v>
      </c>
      <c r="Q115" s="49" t="n">
        <f aca="false">IF('plan etatów'!$AA$49=0,0,Podsumowanie!$E$49*'plan etatów'!Q49/'plan etatów'!$AA$49)</f>
        <v>0</v>
      </c>
      <c r="R115" s="49" t="n">
        <f aca="false">IF('plan etatów'!$AA$49=0,0,Podsumowanie!$E$49*'plan etatów'!R49/'plan etatów'!$AA$49)</f>
        <v>0</v>
      </c>
      <c r="S115" s="49" t="n">
        <f aca="false">IF('plan etatów'!$AA$49=0,0,Podsumowanie!$E$49*'plan etatów'!S49/'plan etatów'!$AA$49)</f>
        <v>0</v>
      </c>
      <c r="T115" s="49" t="n">
        <f aca="false">IF('plan etatów'!$AA$49=0,0,Podsumowanie!$E$49*'plan etatów'!T49/'plan etatów'!$AA$49)</f>
        <v>0</v>
      </c>
      <c r="U115" s="49" t="n">
        <f aca="false">IF('plan etatów'!$AA$49=0,0,Podsumowanie!$E$49*'plan etatów'!U49/'plan etatów'!$AA$49)</f>
        <v>0</v>
      </c>
      <c r="V115" s="49" t="n">
        <f aca="false">IF('plan etatów'!$AA$49=0,0,Podsumowanie!$E$49*'plan etatów'!V49/'plan etatów'!$AA$49)</f>
        <v>0</v>
      </c>
      <c r="W115" s="49" t="n">
        <f aca="false">IF('plan etatów'!$AA$49=0,0,Podsumowanie!$E$49*'plan etatów'!W49/'plan etatów'!$AA$49)</f>
        <v>0</v>
      </c>
      <c r="X115" s="49" t="n">
        <f aca="false">IF('plan etatów'!$AA$49=0,0,Podsumowanie!$E$49*'plan etatów'!X49/'plan etatów'!$AA$49)</f>
        <v>0</v>
      </c>
      <c r="Y115" s="49" t="n">
        <f aca="false">IF('plan etatów'!$AA$49=0,0,Podsumowanie!$E$49*'plan etatów'!Y49/'plan etatów'!$AA$49)</f>
        <v>0</v>
      </c>
      <c r="Z115" s="49" t="n">
        <f aca="false">IF('plan etatów'!$AA$49=0,0,Podsumowanie!$E$49*'plan etatów'!Z49/'plan etatów'!$AA$49)</f>
        <v>0</v>
      </c>
    </row>
    <row r="116" customFormat="false" ht="15" hidden="false" customHeight="false" outlineLevel="0" collapsed="false">
      <c r="A116" s="41" t="s">
        <v>28</v>
      </c>
      <c r="B116" s="41" t="n">
        <v>2</v>
      </c>
      <c r="C116" s="49" t="n">
        <f aca="false">SUM(D116:Z116)</f>
        <v>35712</v>
      </c>
      <c r="D116" s="49" t="n">
        <f aca="false">IF('plan etatów'!$AA$50=0,0,Podsumowanie!$E$52*'plan etatów'!D50/'plan etatów'!$AA$50)</f>
        <v>0</v>
      </c>
      <c r="E116" s="49" t="n">
        <f aca="false">IF('plan etatów'!$AA$50=0,0,Podsumowanie!$E$52*'plan etatów'!E50/'plan etatów'!$AA$50)</f>
        <v>0</v>
      </c>
      <c r="F116" s="49" t="n">
        <f aca="false">IF('plan etatów'!$AA$50=0,0,Podsumowanie!$E$52*'plan etatów'!F50/'plan etatów'!$AA$50)</f>
        <v>0</v>
      </c>
      <c r="G116" s="49" t="n">
        <f aca="false">IF('plan etatów'!$AA$50=0,0,Podsumowanie!$E$52*'plan etatów'!G50/'plan etatów'!$AA$50)</f>
        <v>0</v>
      </c>
      <c r="H116" s="49" t="n">
        <f aca="false">IF('plan etatów'!$AA$50=0,0,Podsumowanie!$E$52*'plan etatów'!H50/'plan etatów'!$AA$50)</f>
        <v>0</v>
      </c>
      <c r="I116" s="49" t="n">
        <f aca="false">IF('plan etatów'!$AA$50=0,0,Podsumowanie!$E$52*'plan etatów'!I50/'plan etatów'!$AA$50)</f>
        <v>5952</v>
      </c>
      <c r="J116" s="49" t="n">
        <f aca="false">IF('plan etatów'!$AA$50=0,0,Podsumowanie!$E$52*'plan etatów'!J50/'plan etatów'!$AA$50)</f>
        <v>5952</v>
      </c>
      <c r="K116" s="49" t="n">
        <f aca="false">IF('plan etatów'!$AA$50=0,0,Podsumowanie!$E$52*'plan etatów'!K50/'plan etatów'!$AA$50)</f>
        <v>5952</v>
      </c>
      <c r="L116" s="49" t="n">
        <f aca="false">IF('plan etatów'!$AA$50=0,0,Podsumowanie!$E$52*'plan etatów'!L50/'plan etatów'!$AA$50)</f>
        <v>5952</v>
      </c>
      <c r="M116" s="49" t="n">
        <f aca="false">IF('plan etatów'!$AA$50=0,0,Podsumowanie!$E$52*'plan etatów'!M50/'plan etatów'!$AA$50)</f>
        <v>5952</v>
      </c>
      <c r="N116" s="49" t="n">
        <f aca="false">IF('plan etatów'!$AA$50=0,0,Podsumowanie!$E$52*'plan etatów'!N50/'plan etatów'!$AA$50)</f>
        <v>5952</v>
      </c>
      <c r="O116" s="49" t="n">
        <f aca="false">IF('plan etatów'!$AA$50=0,0,Podsumowanie!$E$52*'plan etatów'!O50/'plan etatów'!$AA$50)</f>
        <v>0</v>
      </c>
      <c r="P116" s="49" t="n">
        <f aca="false">IF('plan etatów'!$AA$50=0,0,Podsumowanie!$E$52*'plan etatów'!P50/'plan etatów'!$AA$50)</f>
        <v>0</v>
      </c>
      <c r="Q116" s="49" t="n">
        <f aca="false">IF('plan etatów'!$AA$50=0,0,Podsumowanie!$E$52*'plan etatów'!Q50/'plan etatów'!$AA$50)</f>
        <v>0</v>
      </c>
      <c r="R116" s="49" t="n">
        <f aca="false">IF('plan etatów'!$AA$50=0,0,Podsumowanie!$E$52*'plan etatów'!R50/'plan etatów'!$AA$50)</f>
        <v>0</v>
      </c>
      <c r="S116" s="49" t="n">
        <f aca="false">IF('plan etatów'!$AA$50=0,0,Podsumowanie!$E$52*'plan etatów'!S50/'plan etatów'!$AA$50)</f>
        <v>0</v>
      </c>
      <c r="T116" s="49" t="n">
        <f aca="false">IF('plan etatów'!$AA$50=0,0,Podsumowanie!$E$52*'plan etatów'!T50/'plan etatów'!$AA$50)</f>
        <v>0</v>
      </c>
      <c r="U116" s="49" t="n">
        <f aca="false">IF('plan etatów'!$AA$50=0,0,Podsumowanie!$E$52*'plan etatów'!U50/'plan etatów'!$AA$50)</f>
        <v>0</v>
      </c>
      <c r="V116" s="49" t="n">
        <f aca="false">IF('plan etatów'!$AA$50=0,0,Podsumowanie!$E$52*'plan etatów'!V50/'plan etatów'!$AA$50)</f>
        <v>0</v>
      </c>
      <c r="W116" s="49" t="n">
        <f aca="false">IF('plan etatów'!$AA$50=0,0,Podsumowanie!$E$52*'plan etatów'!W50/'plan etatów'!$AA$50)</f>
        <v>0</v>
      </c>
      <c r="X116" s="49" t="n">
        <f aca="false">IF('plan etatów'!$AA$50=0,0,Podsumowanie!$E$52*'plan etatów'!X50/'plan etatów'!$AA$50)</f>
        <v>0</v>
      </c>
      <c r="Y116" s="49" t="n">
        <f aca="false">IF('plan etatów'!$AA$50=0,0,Podsumowanie!$E$52*'plan etatów'!Y50/'plan etatów'!$AA$50)</f>
        <v>0</v>
      </c>
      <c r="Z116" s="49" t="n">
        <f aca="false">IF('plan etatów'!$AA$50=0,0,Podsumowanie!$E$52*'plan etatów'!Z50/'plan etatów'!$AA$50)</f>
        <v>0</v>
      </c>
    </row>
    <row r="117" customFormat="false" ht="15" hidden="false" customHeight="false" outlineLevel="0" collapsed="false">
      <c r="A117" s="41" t="s">
        <v>29</v>
      </c>
      <c r="B117" s="41" t="n">
        <v>2</v>
      </c>
      <c r="C117" s="49" t="n">
        <f aca="false">SUM(D117:Z117)</f>
        <v>99000</v>
      </c>
      <c r="D117" s="49" t="n">
        <f aca="false">IF('plan etatów'!$AA$51=0,0,Podsumowanie!$E$55*'plan etatów'!D51/'plan etatów'!$AA$51)</f>
        <v>0</v>
      </c>
      <c r="E117" s="49" t="n">
        <f aca="false">IF('plan etatów'!$AA$51=0,0,Podsumowanie!$E$55*'plan etatów'!E51/'plan etatów'!$AA$51)</f>
        <v>0</v>
      </c>
      <c r="F117" s="49" t="n">
        <f aca="false">IF('plan etatów'!$AA$51=0,0,Podsumowanie!$E$55*'plan etatów'!F51/'plan etatów'!$AA$51)</f>
        <v>0</v>
      </c>
      <c r="G117" s="49" t="n">
        <f aca="false">IF('plan etatów'!$AA$51=0,0,Podsumowanie!$E$55*'plan etatów'!G51/'plan etatów'!$AA$51)</f>
        <v>0</v>
      </c>
      <c r="H117" s="49" t="n">
        <f aca="false">IF('plan etatów'!$AA$51=0,0,Podsumowanie!$E$55*'plan etatów'!H51/'plan etatów'!$AA$51)</f>
        <v>0</v>
      </c>
      <c r="I117" s="49" t="n">
        <f aca="false">IF('plan etatów'!$AA$51=0,0,Podsumowanie!$E$55*'plan etatów'!I51/'plan etatów'!$AA$51)</f>
        <v>16500</v>
      </c>
      <c r="J117" s="49" t="n">
        <f aca="false">IF('plan etatów'!$AA$51=0,0,Podsumowanie!$E$55*'plan etatów'!J51/'plan etatów'!$AA$51)</f>
        <v>16500</v>
      </c>
      <c r="K117" s="49" t="n">
        <f aca="false">IF('plan etatów'!$AA$51=0,0,Podsumowanie!$E$55*'plan etatów'!K51/'plan etatów'!$AA$51)</f>
        <v>16500</v>
      </c>
      <c r="L117" s="49" t="n">
        <f aca="false">IF('plan etatów'!$AA$51=0,0,Podsumowanie!$E$55*'plan etatów'!L51/'plan etatów'!$AA$51)</f>
        <v>16500</v>
      </c>
      <c r="M117" s="49" t="n">
        <f aca="false">IF('plan etatów'!$AA$51=0,0,Podsumowanie!$E$55*'plan etatów'!M51/'plan etatów'!$AA$51)</f>
        <v>16500</v>
      </c>
      <c r="N117" s="49" t="n">
        <f aca="false">IF('plan etatów'!$AA$51=0,0,Podsumowanie!$E$55*'plan etatów'!N51/'plan etatów'!$AA$51)</f>
        <v>16500</v>
      </c>
      <c r="O117" s="49" t="n">
        <f aca="false">IF('plan etatów'!$AA$51=0,0,Podsumowanie!$E$55*'plan etatów'!O51/'plan etatów'!$AA$51)</f>
        <v>0</v>
      </c>
      <c r="P117" s="49" t="n">
        <f aca="false">IF('plan etatów'!$AA$51=0,0,Podsumowanie!$E$55*'plan etatów'!P51/'plan etatów'!$AA$51)</f>
        <v>0</v>
      </c>
      <c r="Q117" s="49" t="n">
        <f aca="false">IF('plan etatów'!$AA$51=0,0,Podsumowanie!$E$55*'plan etatów'!Q51/'plan etatów'!$AA$51)</f>
        <v>0</v>
      </c>
      <c r="R117" s="49" t="n">
        <f aca="false">IF('plan etatów'!$AA$51=0,0,Podsumowanie!$E$55*'plan etatów'!R51/'plan etatów'!$AA$51)</f>
        <v>0</v>
      </c>
      <c r="S117" s="49" t="n">
        <f aca="false">IF('plan etatów'!$AA$51=0,0,Podsumowanie!$E$55*'plan etatów'!S51/'plan etatów'!$AA$51)</f>
        <v>0</v>
      </c>
      <c r="T117" s="49" t="n">
        <f aca="false">IF('plan etatów'!$AA$51=0,0,Podsumowanie!$E$55*'plan etatów'!T51/'plan etatów'!$AA$51)</f>
        <v>0</v>
      </c>
      <c r="U117" s="49" t="n">
        <f aca="false">IF('plan etatów'!$AA$51=0,0,Podsumowanie!$E$55*'plan etatów'!U51/'plan etatów'!$AA$51)</f>
        <v>0</v>
      </c>
      <c r="V117" s="49" t="n">
        <f aca="false">IF('plan etatów'!$AA$51=0,0,Podsumowanie!$E$55*'plan etatów'!V51/'plan etatów'!$AA$51)</f>
        <v>0</v>
      </c>
      <c r="W117" s="49" t="n">
        <f aca="false">IF('plan etatów'!$AA$51=0,0,Podsumowanie!$E$55*'plan etatów'!W51/'plan etatów'!$AA$51)</f>
        <v>0</v>
      </c>
      <c r="X117" s="49" t="n">
        <f aca="false">IF('plan etatów'!$AA$51=0,0,Podsumowanie!$E$55*'plan etatów'!X51/'plan etatów'!$AA$51)</f>
        <v>0</v>
      </c>
      <c r="Y117" s="49" t="n">
        <f aca="false">IF('plan etatów'!$AA$51=0,0,Podsumowanie!$E$55*'plan etatów'!Y51/'plan etatów'!$AA$51)</f>
        <v>0</v>
      </c>
      <c r="Z117" s="49" t="n">
        <f aca="false">IF('plan etatów'!$AA$51=0,0,Podsumowanie!$E$55*'plan etatów'!Z51/'plan etatów'!$AA$51)</f>
        <v>0</v>
      </c>
    </row>
    <row r="118" customFormat="false" ht="15" hidden="false" customHeight="false" outlineLevel="0" collapsed="false">
      <c r="A118" s="41" t="s">
        <v>30</v>
      </c>
      <c r="B118" s="41" t="n">
        <v>2</v>
      </c>
      <c r="C118" s="49" t="n">
        <f aca="false">SUM(D118:Z118)</f>
        <v>64632</v>
      </c>
      <c r="D118" s="49" t="n">
        <f aca="false">IF('plan etatów'!$AA$52=0,0,Podsumowanie!$E$58*'plan etatów'!D52/'plan etatów'!$AA$52)</f>
        <v>0</v>
      </c>
      <c r="E118" s="49" t="n">
        <f aca="false">IF('plan etatów'!$AA$52=0,0,Podsumowanie!$E$58*'plan etatów'!E52/'plan etatów'!$AA$52)</f>
        <v>0</v>
      </c>
      <c r="F118" s="49" t="n">
        <f aca="false">IF('plan etatów'!$AA$52=0,0,Podsumowanie!$E$58*'plan etatów'!F52/'plan etatów'!$AA$52)</f>
        <v>0</v>
      </c>
      <c r="G118" s="49" t="n">
        <f aca="false">IF('plan etatów'!$AA$52=0,0,Podsumowanie!$E$58*'plan etatów'!G52/'plan etatów'!$AA$52)</f>
        <v>0</v>
      </c>
      <c r="H118" s="49" t="n">
        <f aca="false">IF('plan etatów'!$AA$52=0,0,Podsumowanie!$E$58*'plan etatów'!H52/'plan etatów'!$AA$52)</f>
        <v>0</v>
      </c>
      <c r="I118" s="49" t="n">
        <f aca="false">IF('plan etatów'!$AA$52=0,0,Podsumowanie!$E$58*'plan etatów'!I52/'plan etatów'!$AA$52)</f>
        <v>10772</v>
      </c>
      <c r="J118" s="49" t="n">
        <f aca="false">IF('plan etatów'!$AA$52=0,0,Podsumowanie!$E$58*'plan etatów'!J52/'plan etatów'!$AA$52)</f>
        <v>10772</v>
      </c>
      <c r="K118" s="49" t="n">
        <f aca="false">IF('plan etatów'!$AA$52=0,0,Podsumowanie!$E$58*'plan etatów'!K52/'plan etatów'!$AA$52)</f>
        <v>10772</v>
      </c>
      <c r="L118" s="49" t="n">
        <f aca="false">IF('plan etatów'!$AA$52=0,0,Podsumowanie!$E$58*'plan etatów'!L52/'plan etatów'!$AA$52)</f>
        <v>10772</v>
      </c>
      <c r="M118" s="49" t="n">
        <f aca="false">IF('plan etatów'!$AA$52=0,0,Podsumowanie!$E$58*'plan etatów'!M52/'plan etatów'!$AA$52)</f>
        <v>10772</v>
      </c>
      <c r="N118" s="49" t="n">
        <f aca="false">IF('plan etatów'!$AA$52=0,0,Podsumowanie!$E$58*'plan etatów'!N52/'plan etatów'!$AA$52)</f>
        <v>10772</v>
      </c>
      <c r="O118" s="49" t="n">
        <f aca="false">IF('plan etatów'!$AA$52=0,0,Podsumowanie!$E$58*'plan etatów'!O52/'plan etatów'!$AA$52)</f>
        <v>0</v>
      </c>
      <c r="P118" s="49" t="n">
        <f aca="false">IF('plan etatów'!$AA$52=0,0,Podsumowanie!$E$58*'plan etatów'!P52/'plan etatów'!$AA$52)</f>
        <v>0</v>
      </c>
      <c r="Q118" s="49" t="n">
        <f aca="false">IF('plan etatów'!$AA$52=0,0,Podsumowanie!$E$58*'plan etatów'!Q52/'plan etatów'!$AA$52)</f>
        <v>0</v>
      </c>
      <c r="R118" s="49" t="n">
        <f aca="false">IF('plan etatów'!$AA$52=0,0,Podsumowanie!$E$58*'plan etatów'!R52/'plan etatów'!$AA$52)</f>
        <v>0</v>
      </c>
      <c r="S118" s="49" t="n">
        <f aca="false">IF('plan etatów'!$AA$52=0,0,Podsumowanie!$E$58*'plan etatów'!S52/'plan etatów'!$AA$52)</f>
        <v>0</v>
      </c>
      <c r="T118" s="49" t="n">
        <f aca="false">IF('plan etatów'!$AA$52=0,0,Podsumowanie!$E$58*'plan etatów'!T52/'plan etatów'!$AA$52)</f>
        <v>0</v>
      </c>
      <c r="U118" s="49" t="n">
        <f aca="false">IF('plan etatów'!$AA$52=0,0,Podsumowanie!$E$58*'plan etatów'!U52/'plan etatów'!$AA$52)</f>
        <v>0</v>
      </c>
      <c r="V118" s="49" t="n">
        <f aca="false">IF('plan etatów'!$AA$52=0,0,Podsumowanie!$E$58*'plan etatów'!V52/'plan etatów'!$AA$52)</f>
        <v>0</v>
      </c>
      <c r="W118" s="49" t="n">
        <f aca="false">IF('plan etatów'!$AA$52=0,0,Podsumowanie!$E$58*'plan etatów'!W52/'plan etatów'!$AA$52)</f>
        <v>0</v>
      </c>
      <c r="X118" s="49" t="n">
        <f aca="false">IF('plan etatów'!$AA$52=0,0,Podsumowanie!$E$58*'plan etatów'!X52/'plan etatów'!$AA$52)</f>
        <v>0</v>
      </c>
      <c r="Y118" s="49" t="n">
        <f aca="false">IF('plan etatów'!$AA$52=0,0,Podsumowanie!$E$58*'plan etatów'!Y52/'plan etatów'!$AA$52)</f>
        <v>0</v>
      </c>
      <c r="Z118" s="49" t="n">
        <f aca="false">IF('plan etatów'!$AA$52=0,0,Podsumowanie!$E$58*'plan etatów'!Z52/'plan etatów'!$AA$52)</f>
        <v>0</v>
      </c>
    </row>
    <row r="119" customFormat="false" ht="15" hidden="false" customHeight="false" outlineLevel="0" collapsed="false">
      <c r="A119" s="41" t="s">
        <v>31</v>
      </c>
      <c r="B119" s="41" t="n">
        <v>2</v>
      </c>
      <c r="C119" s="49" t="n">
        <f aca="false">SUM(D119:Z119)</f>
        <v>80000</v>
      </c>
      <c r="D119" s="49" t="n">
        <f aca="false">IF(D$4='plan etatów'!$C$5,Podsumowanie!$E$61,0)</f>
        <v>0</v>
      </c>
      <c r="E119" s="49" t="n">
        <f aca="false">IF(E$4='plan etatów'!$C$5,Podsumowanie!$E$61,0)</f>
        <v>0</v>
      </c>
      <c r="F119" s="49" t="n">
        <f aca="false">IF(F$4='plan etatów'!$C$5,Podsumowanie!$E$61,0)</f>
        <v>0</v>
      </c>
      <c r="G119" s="49" t="n">
        <f aca="false">IF(G$4='plan etatów'!$C$5,Podsumowanie!$E$61,0)</f>
        <v>0</v>
      </c>
      <c r="H119" s="49" t="n">
        <f aca="false">IF(H$4='plan etatów'!$C$5,Podsumowanie!$E$61,0)</f>
        <v>0</v>
      </c>
      <c r="I119" s="49" t="n">
        <f aca="false">IF(I$4='plan etatów'!$C$5,Podsumowanie!$E$61,0)</f>
        <v>0</v>
      </c>
      <c r="J119" s="49" t="n">
        <f aca="false">IF(J$4='plan etatów'!$C$5,Podsumowanie!$E$61,0)</f>
        <v>0</v>
      </c>
      <c r="K119" s="49" t="n">
        <f aca="false">IF(K$4='plan etatów'!$C$5,Podsumowanie!$E$61,0)</f>
        <v>0</v>
      </c>
      <c r="L119" s="49" t="n">
        <f aca="false">IF(L$4='plan etatów'!$C$5,Podsumowanie!$E$61,0)</f>
        <v>0</v>
      </c>
      <c r="M119" s="49" t="n">
        <f aca="false">IF(M$4='plan etatów'!$C$5,Podsumowanie!$E$61,0)</f>
        <v>0</v>
      </c>
      <c r="N119" s="49" t="n">
        <f aca="false">IF(N$4='plan etatów'!$C$5,Podsumowanie!$E$61,0)</f>
        <v>80000</v>
      </c>
      <c r="O119" s="49" t="n">
        <f aca="false">IF(O$4='plan etatów'!$C$5,Podsumowanie!$E$61,0)</f>
        <v>0</v>
      </c>
      <c r="P119" s="49" t="n">
        <f aca="false">IF(P$4='plan etatów'!$C$5,Podsumowanie!$E$61,0)</f>
        <v>0</v>
      </c>
      <c r="Q119" s="49" t="n">
        <f aca="false">IF(Q$4='plan etatów'!$C$5,Podsumowanie!$E$61,0)</f>
        <v>0</v>
      </c>
      <c r="R119" s="49" t="n">
        <f aca="false">IF(R$4='plan etatów'!$C$5,Podsumowanie!$E$61,0)</f>
        <v>0</v>
      </c>
      <c r="S119" s="49" t="n">
        <f aca="false">IF(S$4='plan etatów'!$C$5,Podsumowanie!$E$61,0)</f>
        <v>0</v>
      </c>
      <c r="T119" s="49" t="n">
        <f aca="false">IF(T$4='plan etatów'!$C$5,Podsumowanie!$E$61,0)</f>
        <v>0</v>
      </c>
      <c r="U119" s="49" t="n">
        <f aca="false">IF(U$4='plan etatów'!$C$5,Podsumowanie!$E$61,0)</f>
        <v>0</v>
      </c>
      <c r="V119" s="49" t="n">
        <f aca="false">IF(V$4='plan etatów'!$C$5,Podsumowanie!$E$61,0)</f>
        <v>0</v>
      </c>
      <c r="W119" s="49" t="n">
        <f aca="false">IF(W$4='plan etatów'!$C$5,Podsumowanie!$E$61,0)</f>
        <v>0</v>
      </c>
      <c r="X119" s="49" t="n">
        <f aca="false">IF(X$4='plan etatów'!$C$5,Podsumowanie!$E$61,0)</f>
        <v>0</v>
      </c>
      <c r="Y119" s="49" t="n">
        <f aca="false">IF(Y$4='plan etatów'!$C$5,Podsumowanie!$E$61,0)</f>
        <v>0</v>
      </c>
      <c r="Z119" s="49" t="n">
        <f aca="false">IF(Z$4='plan etatów'!$C$5,Podsumowanie!$E$61,0)</f>
        <v>0</v>
      </c>
    </row>
    <row r="120" customFormat="false" ht="15" hidden="false" customHeight="false" outlineLevel="0" collapsed="false">
      <c r="A120" s="41" t="s">
        <v>32</v>
      </c>
      <c r="B120" s="41" t="n">
        <v>2</v>
      </c>
      <c r="C120" s="49" t="n">
        <f aca="false">SUM(D120:Z120)</f>
        <v>3428.56</v>
      </c>
      <c r="D120" s="49" t="n">
        <f aca="false">IF('plan etatów'!$AA$54=0,0,Podsumowanie!$E$64*'plan etatów'!D54/'plan etatów'!$AA$54)</f>
        <v>0</v>
      </c>
      <c r="E120" s="49" t="n">
        <f aca="false">IF('plan etatów'!$AA$54=0,0,Podsumowanie!$E$64*'plan etatów'!E54/'plan etatów'!$AA$54)</f>
        <v>0</v>
      </c>
      <c r="F120" s="49" t="n">
        <f aca="false">IF('plan etatów'!$AA$54=0,0,Podsumowanie!$E$64*'plan etatów'!F54/'plan etatów'!$AA$54)</f>
        <v>0</v>
      </c>
      <c r="G120" s="49" t="n">
        <f aca="false">IF('plan etatów'!$AA$54=0,0,Podsumowanie!$E$64*'plan etatów'!G54/'plan etatów'!$AA$54)</f>
        <v>0</v>
      </c>
      <c r="H120" s="49" t="n">
        <f aca="false">IF('plan etatów'!$AA$54=0,0,Podsumowanie!$E$64*'plan etatów'!H54/'plan etatów'!$AA$54)</f>
        <v>0</v>
      </c>
      <c r="I120" s="49" t="n">
        <f aca="false">IF('plan etatów'!$AA$54=0,0,Podsumowanie!$E$64*'plan etatów'!I54/'plan etatów'!$AA$54)</f>
        <v>571.426666666667</v>
      </c>
      <c r="J120" s="49" t="n">
        <f aca="false">IF('plan etatów'!$AA$54=0,0,Podsumowanie!$E$64*'plan etatów'!J54/'plan etatów'!$AA$54)</f>
        <v>571.426666666667</v>
      </c>
      <c r="K120" s="49" t="n">
        <f aca="false">IF('plan etatów'!$AA$54=0,0,Podsumowanie!$E$64*'plan etatów'!K54/'plan etatów'!$AA$54)</f>
        <v>571.426666666667</v>
      </c>
      <c r="L120" s="49" t="n">
        <f aca="false">IF('plan etatów'!$AA$54=0,0,Podsumowanie!$E$64*'plan etatów'!L54/'plan etatów'!$AA$54)</f>
        <v>571.426666666667</v>
      </c>
      <c r="M120" s="49" t="n">
        <f aca="false">IF('plan etatów'!$AA$54=0,0,Podsumowanie!$E$64*'plan etatów'!M54/'plan etatów'!$AA$54)</f>
        <v>571.426666666667</v>
      </c>
      <c r="N120" s="49" t="n">
        <f aca="false">IF('plan etatów'!$AA$54=0,0,Podsumowanie!$E$64*'plan etatów'!N54/'plan etatów'!$AA$54)</f>
        <v>571.426666666667</v>
      </c>
      <c r="O120" s="49" t="n">
        <f aca="false">IF('plan etatów'!$AA$54=0,0,Podsumowanie!$E$64*'plan etatów'!O54/'plan etatów'!$AA$54)</f>
        <v>0</v>
      </c>
      <c r="P120" s="49" t="n">
        <f aca="false">IF('plan etatów'!$AA$54=0,0,Podsumowanie!$E$64*'plan etatów'!P54/'plan etatów'!$AA$54)</f>
        <v>0</v>
      </c>
      <c r="Q120" s="49" t="n">
        <f aca="false">IF('plan etatów'!$AA$54=0,0,Podsumowanie!$E$64*'plan etatów'!Q54/'plan etatów'!$AA$54)</f>
        <v>0</v>
      </c>
      <c r="R120" s="49" t="n">
        <f aca="false">IF('plan etatów'!$AA$54=0,0,Podsumowanie!$E$64*'plan etatów'!R54/'plan etatów'!$AA$54)</f>
        <v>0</v>
      </c>
      <c r="S120" s="49" t="n">
        <f aca="false">IF('plan etatów'!$AA$54=0,0,Podsumowanie!$E$64*'plan etatów'!S54/'plan etatów'!$AA$54)</f>
        <v>0</v>
      </c>
      <c r="T120" s="49" t="n">
        <f aca="false">IF('plan etatów'!$AA$54=0,0,Podsumowanie!$E$64*'plan etatów'!T54/'plan etatów'!$AA$54)</f>
        <v>0</v>
      </c>
      <c r="U120" s="49" t="n">
        <f aca="false">IF('plan etatów'!$AA$54=0,0,Podsumowanie!$E$64*'plan etatów'!U54/'plan etatów'!$AA$54)</f>
        <v>0</v>
      </c>
      <c r="V120" s="49" t="n">
        <f aca="false">IF('plan etatów'!$AA$54=0,0,Podsumowanie!$E$64*'plan etatów'!V54/'plan etatów'!$AA$54)</f>
        <v>0</v>
      </c>
      <c r="W120" s="49" t="n">
        <f aca="false">IF('plan etatów'!$AA$54=0,0,Podsumowanie!$E$64*'plan etatów'!W54/'plan etatów'!$AA$54)</f>
        <v>0</v>
      </c>
      <c r="X120" s="49" t="n">
        <f aca="false">IF('plan etatów'!$AA$54=0,0,Podsumowanie!$E$64*'plan etatów'!X54/'plan etatów'!$AA$54)</f>
        <v>0</v>
      </c>
      <c r="Y120" s="49" t="n">
        <f aca="false">IF('plan etatów'!$AA$54=0,0,Podsumowanie!$E$64*'plan etatów'!Y54/'plan etatów'!$AA$54)</f>
        <v>0</v>
      </c>
      <c r="Z120" s="49" t="n">
        <f aca="false">IF('plan etatów'!$AA$54=0,0,Podsumowanie!$E$64*'plan etatów'!Z54/'plan etatów'!$AA$54)</f>
        <v>0</v>
      </c>
    </row>
    <row r="121" customFormat="false" ht="15" hidden="false" customHeight="false" outlineLevel="0" collapsed="false">
      <c r="A121" s="41" t="s">
        <v>33</v>
      </c>
      <c r="B121" s="41" t="n">
        <v>2</v>
      </c>
      <c r="C121" s="49" t="n">
        <f aca="false">SUM(D121:Z121)</f>
        <v>94800</v>
      </c>
      <c r="D121" s="49" t="n">
        <f aca="false">IF('plan etatów'!$AA$55=0,0,Podsumowanie!$E$67*'plan etatów'!D55/'plan etatów'!$AA$55)</f>
        <v>0</v>
      </c>
      <c r="E121" s="49" t="n">
        <f aca="false">IF('plan etatów'!$AA$55=0,0,Podsumowanie!$E$67*'plan etatów'!E55/'plan etatów'!$AA$55)</f>
        <v>0</v>
      </c>
      <c r="F121" s="49" t="n">
        <f aca="false">IF('plan etatów'!$AA$55=0,0,Podsumowanie!$E$67*'plan etatów'!F55/'plan etatów'!$AA$55)</f>
        <v>0</v>
      </c>
      <c r="G121" s="49" t="n">
        <f aca="false">IF('plan etatów'!$AA$55=0,0,Podsumowanie!$E$67*'plan etatów'!G55/'plan etatów'!$AA$55)</f>
        <v>0</v>
      </c>
      <c r="H121" s="49" t="n">
        <f aca="false">IF('plan etatów'!$AA$55=0,0,Podsumowanie!$E$67*'plan etatów'!H55/'plan etatów'!$AA$55)</f>
        <v>0</v>
      </c>
      <c r="I121" s="49" t="n">
        <f aca="false">IF('plan etatów'!$AA$55=0,0,Podsumowanie!$E$67*'plan etatów'!I55/'plan etatów'!$AA$55)</f>
        <v>15800</v>
      </c>
      <c r="J121" s="49" t="n">
        <f aca="false">IF('plan etatów'!$AA$55=0,0,Podsumowanie!$E$67*'plan etatów'!J55/'plan etatów'!$AA$55)</f>
        <v>15800</v>
      </c>
      <c r="K121" s="49" t="n">
        <f aca="false">IF('plan etatów'!$AA$55=0,0,Podsumowanie!$E$67*'plan etatów'!K55/'plan etatów'!$AA$55)</f>
        <v>15800</v>
      </c>
      <c r="L121" s="49" t="n">
        <f aca="false">IF('plan etatów'!$AA$55=0,0,Podsumowanie!$E$67*'plan etatów'!L55/'plan etatów'!$AA$55)</f>
        <v>15800</v>
      </c>
      <c r="M121" s="49" t="n">
        <f aca="false">IF('plan etatów'!$AA$55=0,0,Podsumowanie!$E$67*'plan etatów'!M55/'plan etatów'!$AA$55)</f>
        <v>15800</v>
      </c>
      <c r="N121" s="49" t="n">
        <f aca="false">IF('plan etatów'!$AA$55=0,0,Podsumowanie!$E$67*'plan etatów'!N55/'plan etatów'!$AA$55)</f>
        <v>15800</v>
      </c>
      <c r="O121" s="49" t="n">
        <f aca="false">IF('plan etatów'!$AA$55=0,0,Podsumowanie!$E$67*'plan etatów'!O55/'plan etatów'!$AA$55)</f>
        <v>0</v>
      </c>
      <c r="P121" s="49" t="n">
        <f aca="false">IF('plan etatów'!$AA$55=0,0,Podsumowanie!$E$67*'plan etatów'!P55/'plan etatów'!$AA$55)</f>
        <v>0</v>
      </c>
      <c r="Q121" s="49" t="n">
        <f aca="false">IF('plan etatów'!$AA$55=0,0,Podsumowanie!$E$67*'plan etatów'!Q55/'plan etatów'!$AA$55)</f>
        <v>0</v>
      </c>
      <c r="R121" s="49" t="n">
        <f aca="false">IF('plan etatów'!$AA$55=0,0,Podsumowanie!$E$67*'plan etatów'!R55/'plan etatów'!$AA$55)</f>
        <v>0</v>
      </c>
      <c r="S121" s="49" t="n">
        <f aca="false">IF('plan etatów'!$AA$55=0,0,Podsumowanie!$E$67*'plan etatów'!S55/'plan etatów'!$AA$55)</f>
        <v>0</v>
      </c>
      <c r="T121" s="49" t="n">
        <f aca="false">IF('plan etatów'!$AA$55=0,0,Podsumowanie!$E$67*'plan etatów'!T55/'plan etatów'!$AA$55)</f>
        <v>0</v>
      </c>
      <c r="U121" s="49" t="n">
        <f aca="false">IF('plan etatów'!$AA$55=0,0,Podsumowanie!$E$67*'plan etatów'!U55/'plan etatów'!$AA$55)</f>
        <v>0</v>
      </c>
      <c r="V121" s="49" t="n">
        <f aca="false">IF('plan etatów'!$AA$55=0,0,Podsumowanie!$E$67*'plan etatów'!V55/'plan etatów'!$AA$55)</f>
        <v>0</v>
      </c>
      <c r="W121" s="49" t="n">
        <f aca="false">IF('plan etatów'!$AA$55=0,0,Podsumowanie!$E$67*'plan etatów'!W55/'plan etatów'!$AA$55)</f>
        <v>0</v>
      </c>
      <c r="X121" s="49" t="n">
        <f aca="false">IF('plan etatów'!$AA$55=0,0,Podsumowanie!$E$67*'plan etatów'!X55/'plan etatów'!$AA$55)</f>
        <v>0</v>
      </c>
      <c r="Y121" s="49" t="n">
        <f aca="false">IF('plan etatów'!$AA$55=0,0,Podsumowanie!$E$67*'plan etatów'!Y55/'plan etatów'!$AA$55)</f>
        <v>0</v>
      </c>
      <c r="Z121" s="49" t="n">
        <f aca="false">IF('plan etatów'!$AA$55=0,0,Podsumowanie!$E$67*'plan etatów'!Z55/'plan etatów'!$AA$55)</f>
        <v>0</v>
      </c>
    </row>
    <row r="122" customFormat="false" ht="15" hidden="false" customHeight="false" outlineLevel="0" collapsed="false">
      <c r="A122" s="41" t="s">
        <v>35</v>
      </c>
      <c r="B122" s="41" t="n">
        <v>3</v>
      </c>
      <c r="C122" s="49" t="n">
        <f aca="false">SUM(D122:Z122)</f>
        <v>265920</v>
      </c>
      <c r="D122" s="49" t="n">
        <f aca="false">IF('plan etatów'!$AA$56=0,0,Podsumowanie!$E$73*'plan etatów'!D56/'plan etatów'!$AA$56)</f>
        <v>0</v>
      </c>
      <c r="E122" s="49" t="n">
        <f aca="false">IF('plan etatów'!$AA$56=0,0,Podsumowanie!$E$73*'plan etatów'!E56/'plan etatów'!$AA$56)</f>
        <v>0</v>
      </c>
      <c r="F122" s="49" t="n">
        <f aca="false">IF('plan etatów'!$AA$56=0,0,Podsumowanie!$E$73*'plan etatów'!F56/'plan etatów'!$AA$56)</f>
        <v>0</v>
      </c>
      <c r="G122" s="49" t="n">
        <f aca="false">IF('plan etatów'!$AA$56=0,0,Podsumowanie!$E$73*'plan etatów'!G56/'plan etatów'!$AA$56)</f>
        <v>0</v>
      </c>
      <c r="H122" s="49" t="n">
        <f aca="false">IF('plan etatów'!$AA$56=0,0,Podsumowanie!$E$73*'plan etatów'!H56/'plan etatów'!$AA$56)</f>
        <v>0</v>
      </c>
      <c r="I122" s="49" t="n">
        <f aca="false">IF('plan etatów'!$AA$56=0,0,Podsumowanie!$E$73*'plan etatów'!I56/'plan etatów'!$AA$56)</f>
        <v>0</v>
      </c>
      <c r="J122" s="49" t="n">
        <f aca="false">IF('plan etatów'!$AA$56=0,0,Podsumowanie!$E$73*'plan etatów'!J56/'plan etatów'!$AA$56)</f>
        <v>0</v>
      </c>
      <c r="K122" s="49" t="n">
        <f aca="false">IF('plan etatów'!$AA$56=0,0,Podsumowanie!$E$73*'plan etatów'!K56/'plan etatów'!$AA$56)</f>
        <v>0</v>
      </c>
      <c r="L122" s="49" t="n">
        <f aca="false">IF('plan etatów'!$AA$56=0,0,Podsumowanie!$E$73*'plan etatów'!L56/'plan etatów'!$AA$56)</f>
        <v>0</v>
      </c>
      <c r="M122" s="49" t="n">
        <f aca="false">IF('plan etatów'!$AA$56=0,0,Podsumowanie!$E$73*'plan etatów'!M56/'plan etatów'!$AA$56)</f>
        <v>0</v>
      </c>
      <c r="N122" s="49" t="n">
        <f aca="false">IF('plan etatów'!$AA$56=0,0,Podsumowanie!$E$73*'plan etatów'!N56/'plan etatów'!$AA$56)</f>
        <v>0</v>
      </c>
      <c r="O122" s="49" t="n">
        <f aca="false">IF('plan etatów'!$AA$56=0,0,Podsumowanie!$E$73*'plan etatów'!O56/'plan etatów'!$AA$56)</f>
        <v>44320</v>
      </c>
      <c r="P122" s="49" t="n">
        <f aca="false">IF('plan etatów'!$AA$56=0,0,Podsumowanie!$E$73*'plan etatów'!P56/'plan etatów'!$AA$56)</f>
        <v>44320</v>
      </c>
      <c r="Q122" s="49" t="n">
        <f aca="false">IF('plan etatów'!$AA$56=0,0,Podsumowanie!$E$73*'plan etatów'!Q56/'plan etatów'!$AA$56)</f>
        <v>44320</v>
      </c>
      <c r="R122" s="49" t="n">
        <f aca="false">IF('plan etatów'!$AA$56=0,0,Podsumowanie!$E$73*'plan etatów'!R56/'plan etatów'!$AA$56)</f>
        <v>44320</v>
      </c>
      <c r="S122" s="49" t="n">
        <f aca="false">IF('plan etatów'!$AA$56=0,0,Podsumowanie!$E$73*'plan etatów'!S56/'plan etatów'!$AA$56)</f>
        <v>44320</v>
      </c>
      <c r="T122" s="49" t="n">
        <f aca="false">IF('plan etatów'!$AA$56=0,0,Podsumowanie!$E$73*'plan etatów'!T56/'plan etatów'!$AA$56)</f>
        <v>44320</v>
      </c>
      <c r="U122" s="49" t="n">
        <f aca="false">IF('plan etatów'!$AA$56=0,0,Podsumowanie!$E$73*'plan etatów'!U56/'plan etatów'!$AA$56)</f>
        <v>0</v>
      </c>
      <c r="V122" s="49" t="n">
        <f aca="false">IF('plan etatów'!$AA$56=0,0,Podsumowanie!$E$73*'plan etatów'!V56/'plan etatów'!$AA$56)</f>
        <v>0</v>
      </c>
      <c r="W122" s="49" t="n">
        <f aca="false">IF('plan etatów'!$AA$56=0,0,Podsumowanie!$E$73*'plan etatów'!W56/'plan etatów'!$AA$56)</f>
        <v>0</v>
      </c>
      <c r="X122" s="49" t="n">
        <f aca="false">IF('plan etatów'!$AA$56=0,0,Podsumowanie!$E$73*'plan etatów'!X56/'plan etatów'!$AA$56)</f>
        <v>0</v>
      </c>
      <c r="Y122" s="49" t="n">
        <f aca="false">IF('plan etatów'!$AA$56=0,0,Podsumowanie!$E$73*'plan etatów'!Y56/'plan etatów'!$AA$56)</f>
        <v>0</v>
      </c>
      <c r="Z122" s="49" t="n">
        <f aca="false">IF('plan etatów'!$AA$56=0,0,Podsumowanie!$E$73*'plan etatów'!Z56/'plan etatów'!$AA$56)</f>
        <v>0</v>
      </c>
    </row>
    <row r="123" customFormat="false" ht="15" hidden="false" customHeight="false" outlineLevel="0" collapsed="false">
      <c r="A123" s="41" t="s">
        <v>36</v>
      </c>
      <c r="B123" s="41" t="n">
        <v>3</v>
      </c>
      <c r="C123" s="49" t="n">
        <f aca="false">SUM(D123:Z123)</f>
        <v>90528</v>
      </c>
      <c r="D123" s="49" t="n">
        <f aca="false">IF('plan etatów'!$AA$57=0,0,Podsumowanie!$E$76*'plan etatów'!D57/'plan etatów'!$AA$57)</f>
        <v>0</v>
      </c>
      <c r="E123" s="49" t="n">
        <f aca="false">IF('plan etatów'!$AA$57=0,0,Podsumowanie!$E$76*'plan etatów'!E57/'plan etatów'!$AA$57)</f>
        <v>0</v>
      </c>
      <c r="F123" s="49" t="n">
        <f aca="false">IF('plan etatów'!$AA$57=0,0,Podsumowanie!$E$76*'plan etatów'!F57/'plan etatów'!$AA$57)</f>
        <v>0</v>
      </c>
      <c r="G123" s="49" t="n">
        <f aca="false">IF('plan etatów'!$AA$57=0,0,Podsumowanie!$E$76*'plan etatów'!G57/'plan etatów'!$AA$57)</f>
        <v>0</v>
      </c>
      <c r="H123" s="49" t="n">
        <f aca="false">IF('plan etatów'!$AA$57=0,0,Podsumowanie!$E$76*'plan etatów'!H57/'plan etatów'!$AA$57)</f>
        <v>0</v>
      </c>
      <c r="I123" s="49" t="n">
        <f aca="false">IF('plan etatów'!$AA$57=0,0,Podsumowanie!$E$76*'plan etatów'!I57/'plan etatów'!$AA$57)</f>
        <v>0</v>
      </c>
      <c r="J123" s="49" t="n">
        <f aca="false">IF('plan etatów'!$AA$57=0,0,Podsumowanie!$E$76*'plan etatów'!J57/'plan etatów'!$AA$57)</f>
        <v>0</v>
      </c>
      <c r="K123" s="49" t="n">
        <f aca="false">IF('plan etatów'!$AA$57=0,0,Podsumowanie!$E$76*'plan etatów'!K57/'plan etatów'!$AA$57)</f>
        <v>0</v>
      </c>
      <c r="L123" s="49" t="n">
        <f aca="false">IF('plan etatów'!$AA$57=0,0,Podsumowanie!$E$76*'plan etatów'!L57/'plan etatów'!$AA$57)</f>
        <v>0</v>
      </c>
      <c r="M123" s="49" t="n">
        <f aca="false">IF('plan etatów'!$AA$57=0,0,Podsumowanie!$E$76*'plan etatów'!M57/'plan etatów'!$AA$57)</f>
        <v>0</v>
      </c>
      <c r="N123" s="49" t="n">
        <f aca="false">IF('plan etatów'!$AA$57=0,0,Podsumowanie!$E$76*'plan etatów'!N57/'plan etatów'!$AA$57)</f>
        <v>0</v>
      </c>
      <c r="O123" s="49" t="n">
        <f aca="false">IF('plan etatów'!$AA$57=0,0,Podsumowanie!$E$76*'plan etatów'!O57/'plan etatów'!$AA$57)</f>
        <v>15088</v>
      </c>
      <c r="P123" s="49" t="n">
        <f aca="false">IF('plan etatów'!$AA$57=0,0,Podsumowanie!$E$76*'plan etatów'!P57/'plan etatów'!$AA$57)</f>
        <v>15088</v>
      </c>
      <c r="Q123" s="49" t="n">
        <f aca="false">IF('plan etatów'!$AA$57=0,0,Podsumowanie!$E$76*'plan etatów'!Q57/'plan etatów'!$AA$57)</f>
        <v>15088</v>
      </c>
      <c r="R123" s="49" t="n">
        <f aca="false">IF('plan etatów'!$AA$57=0,0,Podsumowanie!$E$76*'plan etatów'!R57/'plan etatów'!$AA$57)</f>
        <v>15088</v>
      </c>
      <c r="S123" s="49" t="n">
        <f aca="false">IF('plan etatów'!$AA$57=0,0,Podsumowanie!$E$76*'plan etatów'!S57/'plan etatów'!$AA$57)</f>
        <v>15088</v>
      </c>
      <c r="T123" s="49" t="n">
        <f aca="false">IF('plan etatów'!$AA$57=0,0,Podsumowanie!$E$76*'plan etatów'!T57/'plan etatów'!$AA$57)</f>
        <v>15088</v>
      </c>
      <c r="U123" s="49" t="n">
        <f aca="false">IF('plan etatów'!$AA$57=0,0,Podsumowanie!$E$76*'plan etatów'!U57/'plan etatów'!$AA$57)</f>
        <v>0</v>
      </c>
      <c r="V123" s="49" t="n">
        <f aca="false">IF('plan etatów'!$AA$57=0,0,Podsumowanie!$E$76*'plan etatów'!V57/'plan etatów'!$AA$57)</f>
        <v>0</v>
      </c>
      <c r="W123" s="49" t="n">
        <f aca="false">IF('plan etatów'!$AA$57=0,0,Podsumowanie!$E$76*'plan etatów'!W57/'plan etatów'!$AA$57)</f>
        <v>0</v>
      </c>
      <c r="X123" s="49" t="n">
        <f aca="false">IF('plan etatów'!$AA$57=0,0,Podsumowanie!$E$76*'plan etatów'!X57/'plan etatów'!$AA$57)</f>
        <v>0</v>
      </c>
      <c r="Y123" s="49" t="n">
        <f aca="false">IF('plan etatów'!$AA$57=0,0,Podsumowanie!$E$76*'plan etatów'!Y57/'plan etatów'!$AA$57)</f>
        <v>0</v>
      </c>
      <c r="Z123" s="49" t="n">
        <f aca="false">IF('plan etatów'!$AA$57=0,0,Podsumowanie!$E$76*'plan etatów'!Z57/'plan etatów'!$AA$57)</f>
        <v>0</v>
      </c>
    </row>
    <row r="124" customFormat="false" ht="15" hidden="false" customHeight="false" outlineLevel="0" collapsed="false">
      <c r="A124" s="41" t="s">
        <v>37</v>
      </c>
      <c r="B124" s="41" t="n">
        <v>3</v>
      </c>
      <c r="C124" s="49" t="n">
        <f aca="false">SUM(D124:Z124)</f>
        <v>130128</v>
      </c>
      <c r="D124" s="49" t="n">
        <f aca="false">IF('plan etatów'!$AA$58=0,0,Podsumowanie!$E$79*'plan etatów'!D58/'plan etatów'!$AA$58)</f>
        <v>0</v>
      </c>
      <c r="E124" s="49" t="n">
        <f aca="false">IF('plan etatów'!$AA$58=0,0,Podsumowanie!$E$79*'plan etatów'!E58/'plan etatów'!$AA$58)</f>
        <v>0</v>
      </c>
      <c r="F124" s="49" t="n">
        <f aca="false">IF('plan etatów'!$AA$58=0,0,Podsumowanie!$E$79*'plan etatów'!F58/'plan etatów'!$AA$58)</f>
        <v>0</v>
      </c>
      <c r="G124" s="49" t="n">
        <f aca="false">IF('plan etatów'!$AA$58=0,0,Podsumowanie!$E$79*'plan etatów'!G58/'plan etatów'!$AA$58)</f>
        <v>0</v>
      </c>
      <c r="H124" s="49" t="n">
        <f aca="false">IF('plan etatów'!$AA$58=0,0,Podsumowanie!$E$79*'plan etatów'!H58/'plan etatów'!$AA$58)</f>
        <v>0</v>
      </c>
      <c r="I124" s="49" t="n">
        <f aca="false">IF('plan etatów'!$AA$58=0,0,Podsumowanie!$E$79*'plan etatów'!I58/'plan etatów'!$AA$58)</f>
        <v>0</v>
      </c>
      <c r="J124" s="49" t="n">
        <f aca="false">IF('plan etatów'!$AA$58=0,0,Podsumowanie!$E$79*'plan etatów'!J58/'plan etatów'!$AA$58)</f>
        <v>0</v>
      </c>
      <c r="K124" s="49" t="n">
        <f aca="false">IF('plan etatów'!$AA$58=0,0,Podsumowanie!$E$79*'plan etatów'!K58/'plan etatów'!$AA$58)</f>
        <v>0</v>
      </c>
      <c r="L124" s="49" t="n">
        <f aca="false">IF('plan etatów'!$AA$58=0,0,Podsumowanie!$E$79*'plan etatów'!L58/'plan etatów'!$AA$58)</f>
        <v>0</v>
      </c>
      <c r="M124" s="49" t="n">
        <f aca="false">IF('plan etatów'!$AA$58=0,0,Podsumowanie!$E$79*'plan etatów'!M58/'plan etatów'!$AA$58)</f>
        <v>0</v>
      </c>
      <c r="N124" s="49" t="n">
        <f aca="false">IF('plan etatów'!$AA$58=0,0,Podsumowanie!$E$79*'plan etatów'!N58/'plan etatów'!$AA$58)</f>
        <v>0</v>
      </c>
      <c r="O124" s="49" t="n">
        <f aca="false">IF('plan etatów'!$AA$58=0,0,Podsumowanie!$E$79*'plan etatów'!O58/'plan etatów'!$AA$58)</f>
        <v>21688</v>
      </c>
      <c r="P124" s="49" t="n">
        <f aca="false">IF('plan etatów'!$AA$58=0,0,Podsumowanie!$E$79*'plan etatów'!P58/'plan etatów'!$AA$58)</f>
        <v>21688</v>
      </c>
      <c r="Q124" s="49" t="n">
        <f aca="false">IF('plan etatów'!$AA$58=0,0,Podsumowanie!$E$79*'plan etatów'!Q58/'plan etatów'!$AA$58)</f>
        <v>21688</v>
      </c>
      <c r="R124" s="49" t="n">
        <f aca="false">IF('plan etatów'!$AA$58=0,0,Podsumowanie!$E$79*'plan etatów'!R58/'plan etatów'!$AA$58)</f>
        <v>21688</v>
      </c>
      <c r="S124" s="49" t="n">
        <f aca="false">IF('plan etatów'!$AA$58=0,0,Podsumowanie!$E$79*'plan etatów'!S58/'plan etatów'!$AA$58)</f>
        <v>21688</v>
      </c>
      <c r="T124" s="49" t="n">
        <f aca="false">IF('plan etatów'!$AA$58=0,0,Podsumowanie!$E$79*'plan etatów'!T58/'plan etatów'!$AA$58)</f>
        <v>21688</v>
      </c>
      <c r="U124" s="49" t="n">
        <f aca="false">IF('plan etatów'!$AA$58=0,0,Podsumowanie!$E$79*'plan etatów'!U58/'plan etatów'!$AA$58)</f>
        <v>0</v>
      </c>
      <c r="V124" s="49" t="n">
        <f aca="false">IF('plan etatów'!$AA$58=0,0,Podsumowanie!$E$79*'plan etatów'!V58/'plan etatów'!$AA$58)</f>
        <v>0</v>
      </c>
      <c r="W124" s="49" t="n">
        <f aca="false">IF('plan etatów'!$AA$58=0,0,Podsumowanie!$E$79*'plan etatów'!W58/'plan etatów'!$AA$58)</f>
        <v>0</v>
      </c>
      <c r="X124" s="49" t="n">
        <f aca="false">IF('plan etatów'!$AA$58=0,0,Podsumowanie!$E$79*'plan etatów'!X58/'plan etatów'!$AA$58)</f>
        <v>0</v>
      </c>
      <c r="Y124" s="49" t="n">
        <f aca="false">IF('plan etatów'!$AA$58=0,0,Podsumowanie!$E$79*'plan etatów'!Y58/'plan etatów'!$AA$58)</f>
        <v>0</v>
      </c>
      <c r="Z124" s="49" t="n">
        <f aca="false">IF('plan etatów'!$AA$58=0,0,Podsumowanie!$E$79*'plan etatów'!Z58/'plan etatów'!$AA$58)</f>
        <v>0</v>
      </c>
    </row>
    <row r="125" customFormat="false" ht="15" hidden="false" customHeight="false" outlineLevel="0" collapsed="false">
      <c r="A125" s="41" t="s">
        <v>38</v>
      </c>
      <c r="B125" s="41" t="n">
        <v>3</v>
      </c>
      <c r="C125" s="49" t="n">
        <f aca="false">SUM(D125:Z125)</f>
        <v>99000</v>
      </c>
      <c r="D125" s="49" t="n">
        <f aca="false">IF('plan etatów'!$AA$59=0,0,Podsumowanie!$E$82*'plan etatów'!D59/'plan etatów'!$AA$59)</f>
        <v>0</v>
      </c>
      <c r="E125" s="49" t="n">
        <f aca="false">IF('plan etatów'!$AA$59=0,0,Podsumowanie!$E$82*'plan etatów'!E59/'plan etatów'!$AA$59)</f>
        <v>0</v>
      </c>
      <c r="F125" s="49" t="n">
        <f aca="false">IF('plan etatów'!$AA$59=0,0,Podsumowanie!$E$82*'plan etatów'!F59/'plan etatów'!$AA$59)</f>
        <v>0</v>
      </c>
      <c r="G125" s="49" t="n">
        <f aca="false">IF('plan etatów'!$AA$59=0,0,Podsumowanie!$E$82*'plan etatów'!G59/'plan etatów'!$AA$59)</f>
        <v>0</v>
      </c>
      <c r="H125" s="49" t="n">
        <f aca="false">IF('plan etatów'!$AA$59=0,0,Podsumowanie!$E$82*'plan etatów'!H59/'plan etatów'!$AA$59)</f>
        <v>0</v>
      </c>
      <c r="I125" s="49" t="n">
        <f aca="false">IF('plan etatów'!$AA$59=0,0,Podsumowanie!$E$82*'plan etatów'!I59/'plan etatów'!$AA$59)</f>
        <v>0</v>
      </c>
      <c r="J125" s="49" t="n">
        <f aca="false">IF('plan etatów'!$AA$59=0,0,Podsumowanie!$E$82*'plan etatów'!J59/'plan etatów'!$AA$59)</f>
        <v>0</v>
      </c>
      <c r="K125" s="49" t="n">
        <f aca="false">IF('plan etatów'!$AA$59=0,0,Podsumowanie!$E$82*'plan etatów'!K59/'plan etatów'!$AA$59)</f>
        <v>0</v>
      </c>
      <c r="L125" s="49" t="n">
        <f aca="false">IF('plan etatów'!$AA$59=0,0,Podsumowanie!$E$82*'plan etatów'!L59/'plan etatów'!$AA$59)</f>
        <v>0</v>
      </c>
      <c r="M125" s="49" t="n">
        <f aca="false">IF('plan etatów'!$AA$59=0,0,Podsumowanie!$E$82*'plan etatów'!M59/'plan etatów'!$AA$59)</f>
        <v>0</v>
      </c>
      <c r="N125" s="49" t="n">
        <f aca="false">IF('plan etatów'!$AA$59=0,0,Podsumowanie!$E$82*'plan etatów'!N59/'plan etatów'!$AA$59)</f>
        <v>0</v>
      </c>
      <c r="O125" s="49" t="n">
        <f aca="false">IF('plan etatów'!$AA$59=0,0,Podsumowanie!$E$82*'plan etatów'!O59/'plan etatów'!$AA$59)</f>
        <v>16500</v>
      </c>
      <c r="P125" s="49" t="n">
        <f aca="false">IF('plan etatów'!$AA$59=0,0,Podsumowanie!$E$82*'plan etatów'!P59/'plan etatów'!$AA$59)</f>
        <v>16500</v>
      </c>
      <c r="Q125" s="49" t="n">
        <f aca="false">IF('plan etatów'!$AA$59=0,0,Podsumowanie!$E$82*'plan etatów'!Q59/'plan etatów'!$AA$59)</f>
        <v>16500</v>
      </c>
      <c r="R125" s="49" t="n">
        <f aca="false">IF('plan etatów'!$AA$59=0,0,Podsumowanie!$E$82*'plan etatów'!R59/'plan etatów'!$AA$59)</f>
        <v>16500</v>
      </c>
      <c r="S125" s="49" t="n">
        <f aca="false">IF('plan etatów'!$AA$59=0,0,Podsumowanie!$E$82*'plan etatów'!S59/'plan etatów'!$AA$59)</f>
        <v>16500</v>
      </c>
      <c r="T125" s="49" t="n">
        <f aca="false">IF('plan etatów'!$AA$59=0,0,Podsumowanie!$E$82*'plan etatów'!T59/'plan etatów'!$AA$59)</f>
        <v>16500</v>
      </c>
      <c r="U125" s="49" t="n">
        <f aca="false">IF('plan etatów'!$AA$59=0,0,Podsumowanie!$E$82*'plan etatów'!U59/'plan etatów'!$AA$59)</f>
        <v>0</v>
      </c>
      <c r="V125" s="49" t="n">
        <f aca="false">IF('plan etatów'!$AA$59=0,0,Podsumowanie!$E$82*'plan etatów'!V59/'plan etatów'!$AA$59)</f>
        <v>0</v>
      </c>
      <c r="W125" s="49" t="n">
        <f aca="false">IF('plan etatów'!$AA$59=0,0,Podsumowanie!$E$82*'plan etatów'!W59/'plan etatów'!$AA$59)</f>
        <v>0</v>
      </c>
      <c r="X125" s="49" t="n">
        <f aca="false">IF('plan etatów'!$AA$59=0,0,Podsumowanie!$E$82*'plan etatów'!X59/'plan etatów'!$AA$59)</f>
        <v>0</v>
      </c>
      <c r="Y125" s="49" t="n">
        <f aca="false">IF('plan etatów'!$AA$59=0,0,Podsumowanie!$E$82*'plan etatów'!Y59/'plan etatów'!$AA$59)</f>
        <v>0</v>
      </c>
      <c r="Z125" s="49" t="n">
        <f aca="false">IF('plan etatów'!$AA$59=0,0,Podsumowanie!$E$82*'plan etatów'!Z59/'plan etatów'!$AA$59)</f>
        <v>0</v>
      </c>
    </row>
    <row r="126" customFormat="false" ht="15" hidden="false" customHeight="false" outlineLevel="0" collapsed="false">
      <c r="A126" s="41" t="s">
        <v>39</v>
      </c>
      <c r="B126" s="41" t="n">
        <v>3</v>
      </c>
      <c r="C126" s="49" t="n">
        <f aca="false">SUM(D126:Z126)</f>
        <v>35712</v>
      </c>
      <c r="D126" s="49" t="n">
        <f aca="false">IF('plan etatów'!$AA$60=0,0,Podsumowanie!$E$85*'plan etatów'!D60/'plan etatów'!$AA$60)</f>
        <v>0</v>
      </c>
      <c r="E126" s="49" t="n">
        <f aca="false">IF('plan etatów'!$AA$60=0,0,Podsumowanie!$E$85*'plan etatów'!E60/'plan etatów'!$AA$60)</f>
        <v>0</v>
      </c>
      <c r="F126" s="49" t="n">
        <f aca="false">IF('plan etatów'!$AA$60=0,0,Podsumowanie!$E$85*'plan etatów'!F60/'plan etatów'!$AA$60)</f>
        <v>0</v>
      </c>
      <c r="G126" s="49" t="n">
        <f aca="false">IF('plan etatów'!$AA$60=0,0,Podsumowanie!$E$85*'plan etatów'!G60/'plan etatów'!$AA$60)</f>
        <v>0</v>
      </c>
      <c r="H126" s="49" t="n">
        <f aca="false">IF('plan etatów'!$AA$60=0,0,Podsumowanie!$E$85*'plan etatów'!H60/'plan etatów'!$AA$60)</f>
        <v>0</v>
      </c>
      <c r="I126" s="49" t="n">
        <f aca="false">IF('plan etatów'!$AA$60=0,0,Podsumowanie!$E$85*'plan etatów'!I60/'plan etatów'!$AA$60)</f>
        <v>0</v>
      </c>
      <c r="J126" s="49" t="n">
        <f aca="false">IF('plan etatów'!$AA$60=0,0,Podsumowanie!$E$85*'plan etatów'!J60/'plan etatów'!$AA$60)</f>
        <v>0</v>
      </c>
      <c r="K126" s="49" t="n">
        <f aca="false">IF('plan etatów'!$AA$60=0,0,Podsumowanie!$E$85*'plan etatów'!K60/'plan etatów'!$AA$60)</f>
        <v>0</v>
      </c>
      <c r="L126" s="49" t="n">
        <f aca="false">IF('plan etatów'!$AA$60=0,0,Podsumowanie!$E$85*'plan etatów'!L60/'plan etatów'!$AA$60)</f>
        <v>0</v>
      </c>
      <c r="M126" s="49" t="n">
        <f aca="false">IF('plan etatów'!$AA$60=0,0,Podsumowanie!$E$85*'plan etatów'!M60/'plan etatów'!$AA$60)</f>
        <v>0</v>
      </c>
      <c r="N126" s="49" t="n">
        <f aca="false">IF('plan etatów'!$AA$60=0,0,Podsumowanie!$E$85*'plan etatów'!N60/'plan etatów'!$AA$60)</f>
        <v>0</v>
      </c>
      <c r="O126" s="49" t="n">
        <f aca="false">IF('plan etatów'!$AA$60=0,0,Podsumowanie!$E$85*'plan etatów'!O60/'plan etatów'!$AA$60)</f>
        <v>5952</v>
      </c>
      <c r="P126" s="49" t="n">
        <f aca="false">IF('plan etatów'!$AA$60=0,0,Podsumowanie!$E$85*'plan etatów'!P60/'plan etatów'!$AA$60)</f>
        <v>5952</v>
      </c>
      <c r="Q126" s="49" t="n">
        <f aca="false">IF('plan etatów'!$AA$60=0,0,Podsumowanie!$E$85*'plan etatów'!Q60/'plan etatów'!$AA$60)</f>
        <v>5952</v>
      </c>
      <c r="R126" s="49" t="n">
        <f aca="false">IF('plan etatów'!$AA$60=0,0,Podsumowanie!$E$85*'plan etatów'!R60/'plan etatów'!$AA$60)</f>
        <v>5952</v>
      </c>
      <c r="S126" s="49" t="n">
        <f aca="false">IF('plan etatów'!$AA$60=0,0,Podsumowanie!$E$85*'plan etatów'!S60/'plan etatów'!$AA$60)</f>
        <v>5952</v>
      </c>
      <c r="T126" s="49" t="n">
        <f aca="false">IF('plan etatów'!$AA$60=0,0,Podsumowanie!$E$85*'plan etatów'!T60/'plan etatów'!$AA$60)</f>
        <v>5952</v>
      </c>
      <c r="U126" s="49" t="n">
        <f aca="false">IF('plan etatów'!$AA$60=0,0,Podsumowanie!$E$85*'plan etatów'!U60/'plan etatów'!$AA$60)</f>
        <v>0</v>
      </c>
      <c r="V126" s="49" t="n">
        <f aca="false">IF('plan etatów'!$AA$60=0,0,Podsumowanie!$E$85*'plan etatów'!V60/'plan etatów'!$AA$60)</f>
        <v>0</v>
      </c>
      <c r="W126" s="49" t="n">
        <f aca="false">IF('plan etatów'!$AA$60=0,0,Podsumowanie!$E$85*'plan etatów'!W60/'plan etatów'!$AA$60)</f>
        <v>0</v>
      </c>
      <c r="X126" s="49" t="n">
        <f aca="false">IF('plan etatów'!$AA$60=0,0,Podsumowanie!$E$85*'plan etatów'!X60/'plan etatów'!$AA$60)</f>
        <v>0</v>
      </c>
      <c r="Y126" s="49" t="n">
        <f aca="false">IF('plan etatów'!$AA$60=0,0,Podsumowanie!$E$85*'plan etatów'!Y60/'plan etatów'!$AA$60)</f>
        <v>0</v>
      </c>
      <c r="Z126" s="49" t="n">
        <f aca="false">IF('plan etatów'!$AA$60=0,0,Podsumowanie!$E$85*'plan etatów'!Z60/'plan etatów'!$AA$60)</f>
        <v>0</v>
      </c>
    </row>
    <row r="127" customFormat="false" ht="15" hidden="false" customHeight="false" outlineLevel="0" collapsed="false">
      <c r="A127" s="41" t="s">
        <v>40</v>
      </c>
      <c r="B127" s="41" t="n">
        <v>3</v>
      </c>
      <c r="C127" s="49" t="n">
        <f aca="false">SUM(D127:Z127)</f>
        <v>99000</v>
      </c>
      <c r="D127" s="49" t="n">
        <f aca="false">IF('plan etatów'!$AA$61=0,0,Podsumowanie!$E$88*'plan etatów'!D61/'plan etatów'!$AA$61)</f>
        <v>0</v>
      </c>
      <c r="E127" s="49" t="n">
        <f aca="false">IF('plan etatów'!$AA$61=0,0,Podsumowanie!$E$88*'plan etatów'!E61/'plan etatów'!$AA$61)</f>
        <v>0</v>
      </c>
      <c r="F127" s="49" t="n">
        <f aca="false">IF('plan etatów'!$AA$61=0,0,Podsumowanie!$E$88*'plan etatów'!F61/'plan etatów'!$AA$61)</f>
        <v>0</v>
      </c>
      <c r="G127" s="49" t="n">
        <f aca="false">IF('plan etatów'!$AA$61=0,0,Podsumowanie!$E$88*'plan etatów'!G61/'plan etatów'!$AA$61)</f>
        <v>0</v>
      </c>
      <c r="H127" s="49" t="n">
        <f aca="false">IF('plan etatów'!$AA$61=0,0,Podsumowanie!$E$88*'plan etatów'!H61/'plan etatów'!$AA$61)</f>
        <v>0</v>
      </c>
      <c r="I127" s="49" t="n">
        <f aca="false">IF('plan etatów'!$AA$61=0,0,Podsumowanie!$E$88*'plan etatów'!I61/'plan etatów'!$AA$61)</f>
        <v>0</v>
      </c>
      <c r="J127" s="49" t="n">
        <f aca="false">IF('plan etatów'!$AA$61=0,0,Podsumowanie!$E$88*'plan etatów'!J61/'plan etatów'!$AA$61)</f>
        <v>0</v>
      </c>
      <c r="K127" s="49" t="n">
        <f aca="false">IF('plan etatów'!$AA$61=0,0,Podsumowanie!$E$88*'plan etatów'!K61/'plan etatów'!$AA$61)</f>
        <v>0</v>
      </c>
      <c r="L127" s="49" t="n">
        <f aca="false">IF('plan etatów'!$AA$61=0,0,Podsumowanie!$E$88*'plan etatów'!L61/'plan etatów'!$AA$61)</f>
        <v>0</v>
      </c>
      <c r="M127" s="49" t="n">
        <f aca="false">IF('plan etatów'!$AA$61=0,0,Podsumowanie!$E$88*'plan etatów'!M61/'plan etatów'!$AA$61)</f>
        <v>0</v>
      </c>
      <c r="N127" s="49" t="n">
        <f aca="false">IF('plan etatów'!$AA$61=0,0,Podsumowanie!$E$88*'plan etatów'!N61/'plan etatów'!$AA$61)</f>
        <v>0</v>
      </c>
      <c r="O127" s="49" t="n">
        <f aca="false">IF('plan etatów'!$AA$61=0,0,Podsumowanie!$E$88*'plan etatów'!O61/'plan etatów'!$AA$61)</f>
        <v>16500</v>
      </c>
      <c r="P127" s="49" t="n">
        <f aca="false">IF('plan etatów'!$AA$61=0,0,Podsumowanie!$E$88*'plan etatów'!P61/'plan etatów'!$AA$61)</f>
        <v>16500</v>
      </c>
      <c r="Q127" s="49" t="n">
        <f aca="false">IF('plan etatów'!$AA$61=0,0,Podsumowanie!$E$88*'plan etatów'!Q61/'plan etatów'!$AA$61)</f>
        <v>16500</v>
      </c>
      <c r="R127" s="49" t="n">
        <f aca="false">IF('plan etatów'!$AA$61=0,0,Podsumowanie!$E$88*'plan etatów'!R61/'plan etatów'!$AA$61)</f>
        <v>16500</v>
      </c>
      <c r="S127" s="49" t="n">
        <f aca="false">IF('plan etatów'!$AA$61=0,0,Podsumowanie!$E$88*'plan etatów'!S61/'plan etatów'!$AA$61)</f>
        <v>16500</v>
      </c>
      <c r="T127" s="49" t="n">
        <f aca="false">IF('plan etatów'!$AA$61=0,0,Podsumowanie!$E$88*'plan etatów'!T61/'plan etatów'!$AA$61)</f>
        <v>16500</v>
      </c>
      <c r="U127" s="49" t="n">
        <f aca="false">IF('plan etatów'!$AA$61=0,0,Podsumowanie!$E$88*'plan etatów'!U61/'plan etatów'!$AA$61)</f>
        <v>0</v>
      </c>
      <c r="V127" s="49" t="n">
        <f aca="false">IF('plan etatów'!$AA$61=0,0,Podsumowanie!$E$88*'plan etatów'!V61/'plan etatów'!$AA$61)</f>
        <v>0</v>
      </c>
      <c r="W127" s="49" t="n">
        <f aca="false">IF('plan etatów'!$AA$61=0,0,Podsumowanie!$E$88*'plan etatów'!W61/'plan etatów'!$AA$61)</f>
        <v>0</v>
      </c>
      <c r="X127" s="49" t="n">
        <f aca="false">IF('plan etatów'!$AA$61=0,0,Podsumowanie!$E$88*'plan etatów'!X61/'plan etatów'!$AA$61)</f>
        <v>0</v>
      </c>
      <c r="Y127" s="49" t="n">
        <f aca="false">IF('plan etatów'!$AA$61=0,0,Podsumowanie!$E$88*'plan etatów'!Y61/'plan etatów'!$AA$61)</f>
        <v>0</v>
      </c>
      <c r="Z127" s="49" t="n">
        <f aca="false">IF('plan etatów'!$AA$61=0,0,Podsumowanie!$E$88*'plan etatów'!Z61/'plan etatów'!$AA$61)</f>
        <v>0</v>
      </c>
    </row>
    <row r="128" customFormat="false" ht="15" hidden="false" customHeight="false" outlineLevel="0" collapsed="false">
      <c r="A128" s="41" t="s">
        <v>41</v>
      </c>
      <c r="B128" s="41" t="n">
        <v>3</v>
      </c>
      <c r="C128" s="49" t="n">
        <f aca="false">SUM(D128:Z128)</f>
        <v>64632</v>
      </c>
      <c r="D128" s="49" t="n">
        <f aca="false">IF('plan etatów'!$AA$62=0,0,Podsumowanie!$E$91*'plan etatów'!D62/'plan etatów'!$AA$62)</f>
        <v>0</v>
      </c>
      <c r="E128" s="49" t="n">
        <f aca="false">IF('plan etatów'!$AA$62=0,0,Podsumowanie!$E$91*'plan etatów'!E62/'plan etatów'!$AA$62)</f>
        <v>0</v>
      </c>
      <c r="F128" s="49" t="n">
        <f aca="false">IF('plan etatów'!$AA$62=0,0,Podsumowanie!$E$91*'plan etatów'!F62/'plan etatów'!$AA$62)</f>
        <v>0</v>
      </c>
      <c r="G128" s="49" t="n">
        <f aca="false">IF('plan etatów'!$AA$62=0,0,Podsumowanie!$E$91*'plan etatów'!G62/'plan etatów'!$AA$62)</f>
        <v>0</v>
      </c>
      <c r="H128" s="49" t="n">
        <f aca="false">IF('plan etatów'!$AA$62=0,0,Podsumowanie!$E$91*'plan etatów'!H62/'plan etatów'!$AA$62)</f>
        <v>0</v>
      </c>
      <c r="I128" s="49" t="n">
        <f aca="false">IF('plan etatów'!$AA$62=0,0,Podsumowanie!$E$91*'plan etatów'!I62/'plan etatów'!$AA$62)</f>
        <v>0</v>
      </c>
      <c r="J128" s="49" t="n">
        <f aca="false">IF('plan etatów'!$AA$62=0,0,Podsumowanie!$E$91*'plan etatów'!J62/'plan etatów'!$AA$62)</f>
        <v>0</v>
      </c>
      <c r="K128" s="49" t="n">
        <f aca="false">IF('plan etatów'!$AA$62=0,0,Podsumowanie!$E$91*'plan etatów'!K62/'plan etatów'!$AA$62)</f>
        <v>0</v>
      </c>
      <c r="L128" s="49" t="n">
        <f aca="false">IF('plan etatów'!$AA$62=0,0,Podsumowanie!$E$91*'plan etatów'!L62/'plan etatów'!$AA$62)</f>
        <v>0</v>
      </c>
      <c r="M128" s="49" t="n">
        <f aca="false">IF('plan etatów'!$AA$62=0,0,Podsumowanie!$E$91*'plan etatów'!M62/'plan etatów'!$AA$62)</f>
        <v>0</v>
      </c>
      <c r="N128" s="49" t="n">
        <f aca="false">IF('plan etatów'!$AA$62=0,0,Podsumowanie!$E$91*'plan etatów'!N62/'plan etatów'!$AA$62)</f>
        <v>0</v>
      </c>
      <c r="O128" s="49" t="n">
        <f aca="false">IF('plan etatów'!$AA$62=0,0,Podsumowanie!$E$91*'plan etatów'!O62/'plan etatów'!$AA$62)</f>
        <v>10772</v>
      </c>
      <c r="P128" s="49" t="n">
        <f aca="false">IF('plan etatów'!$AA$62=0,0,Podsumowanie!$E$91*'plan etatów'!P62/'plan etatów'!$AA$62)</f>
        <v>10772</v>
      </c>
      <c r="Q128" s="49" t="n">
        <f aca="false">IF('plan etatów'!$AA$62=0,0,Podsumowanie!$E$91*'plan etatów'!Q62/'plan etatów'!$AA$62)</f>
        <v>10772</v>
      </c>
      <c r="R128" s="49" t="n">
        <f aca="false">IF('plan etatów'!$AA$62=0,0,Podsumowanie!$E$91*'plan etatów'!R62/'plan etatów'!$AA$62)</f>
        <v>10772</v>
      </c>
      <c r="S128" s="49" t="n">
        <f aca="false">IF('plan etatów'!$AA$62=0,0,Podsumowanie!$E$91*'plan etatów'!S62/'plan etatów'!$AA$62)</f>
        <v>10772</v>
      </c>
      <c r="T128" s="49" t="n">
        <f aca="false">IF('plan etatów'!$AA$62=0,0,Podsumowanie!$E$91*'plan etatów'!T62/'plan etatów'!$AA$62)</f>
        <v>10772</v>
      </c>
      <c r="U128" s="49" t="n">
        <f aca="false">IF('plan etatów'!$AA$62=0,0,Podsumowanie!$E$91*'plan etatów'!U62/'plan etatów'!$AA$62)</f>
        <v>0</v>
      </c>
      <c r="V128" s="49" t="n">
        <f aca="false">IF('plan etatów'!$AA$62=0,0,Podsumowanie!$E$91*'plan etatów'!V62/'plan etatów'!$AA$62)</f>
        <v>0</v>
      </c>
      <c r="W128" s="49" t="n">
        <f aca="false">IF('plan etatów'!$AA$62=0,0,Podsumowanie!$E$91*'plan etatów'!W62/'plan etatów'!$AA$62)</f>
        <v>0</v>
      </c>
      <c r="X128" s="49" t="n">
        <f aca="false">IF('plan etatów'!$AA$62=0,0,Podsumowanie!$E$91*'plan etatów'!X62/'plan etatów'!$AA$62)</f>
        <v>0</v>
      </c>
      <c r="Y128" s="49" t="n">
        <f aca="false">IF('plan etatów'!$AA$62=0,0,Podsumowanie!$E$91*'plan etatów'!Y62/'plan etatów'!$AA$62)</f>
        <v>0</v>
      </c>
      <c r="Z128" s="49" t="n">
        <f aca="false">IF('plan etatów'!$AA$62=0,0,Podsumowanie!$E$91*'plan etatów'!Z62/'plan etatów'!$AA$62)</f>
        <v>0</v>
      </c>
    </row>
    <row r="129" customFormat="false" ht="15" hidden="false" customHeight="false" outlineLevel="0" collapsed="false">
      <c r="A129" s="41" t="s">
        <v>42</v>
      </c>
      <c r="B129" s="41" t="n">
        <v>3</v>
      </c>
      <c r="C129" s="49" t="n">
        <f aca="false">SUM(D129:Z129)</f>
        <v>3428.56</v>
      </c>
      <c r="D129" s="49" t="n">
        <f aca="false">IF('plan etatów'!$AA$63=0,0,Podsumowanie!$E$94*'plan etatów'!D63/'plan etatów'!$AA$63)</f>
        <v>0</v>
      </c>
      <c r="E129" s="49" t="n">
        <f aca="false">IF('plan etatów'!$AA$63=0,0,Podsumowanie!$E$94*'plan etatów'!E63/'plan etatów'!$AA$63)</f>
        <v>0</v>
      </c>
      <c r="F129" s="49" t="n">
        <f aca="false">IF('plan etatów'!$AA$63=0,0,Podsumowanie!$E$94*'plan etatów'!F63/'plan etatów'!$AA$63)</f>
        <v>0</v>
      </c>
      <c r="G129" s="49" t="n">
        <f aca="false">IF('plan etatów'!$AA$63=0,0,Podsumowanie!$E$94*'plan etatów'!G63/'plan etatów'!$AA$63)</f>
        <v>0</v>
      </c>
      <c r="H129" s="49" t="n">
        <f aca="false">IF('plan etatów'!$AA$63=0,0,Podsumowanie!$E$94*'plan etatów'!H63/'plan etatów'!$AA$63)</f>
        <v>0</v>
      </c>
      <c r="I129" s="49" t="n">
        <f aca="false">IF('plan etatów'!$AA$63=0,0,Podsumowanie!$E$94*'plan etatów'!I63/'plan etatów'!$AA$63)</f>
        <v>0</v>
      </c>
      <c r="J129" s="49" t="n">
        <f aca="false">IF('plan etatów'!$AA$63=0,0,Podsumowanie!$E$94*'plan etatów'!J63/'plan etatów'!$AA$63)</f>
        <v>0</v>
      </c>
      <c r="K129" s="49" t="n">
        <f aca="false">IF('plan etatów'!$AA$63=0,0,Podsumowanie!$E$94*'plan etatów'!K63/'plan etatów'!$AA$63)</f>
        <v>0</v>
      </c>
      <c r="L129" s="49" t="n">
        <f aca="false">IF('plan etatów'!$AA$63=0,0,Podsumowanie!$E$94*'plan etatów'!L63/'plan etatów'!$AA$63)</f>
        <v>0</v>
      </c>
      <c r="M129" s="49" t="n">
        <f aca="false">IF('plan etatów'!$AA$63=0,0,Podsumowanie!$E$94*'plan etatów'!M63/'plan etatów'!$AA$63)</f>
        <v>0</v>
      </c>
      <c r="N129" s="49" t="n">
        <f aca="false">IF('plan etatów'!$AA$63=0,0,Podsumowanie!$E$94*'plan etatów'!N63/'plan etatów'!$AA$63)</f>
        <v>0</v>
      </c>
      <c r="O129" s="49" t="n">
        <f aca="false">IF('plan etatów'!$AA$63=0,0,Podsumowanie!$E$94*'plan etatów'!O63/'plan etatów'!$AA$63)</f>
        <v>571.426666666667</v>
      </c>
      <c r="P129" s="49" t="n">
        <f aca="false">IF('plan etatów'!$AA$63=0,0,Podsumowanie!$E$94*'plan etatów'!P63/'plan etatów'!$AA$63)</f>
        <v>571.426666666667</v>
      </c>
      <c r="Q129" s="49" t="n">
        <f aca="false">IF('plan etatów'!$AA$63=0,0,Podsumowanie!$E$94*'plan etatów'!Q63/'plan etatów'!$AA$63)</f>
        <v>571.426666666667</v>
      </c>
      <c r="R129" s="49" t="n">
        <f aca="false">IF('plan etatów'!$AA$63=0,0,Podsumowanie!$E$94*'plan etatów'!R63/'plan etatów'!$AA$63)</f>
        <v>571.426666666667</v>
      </c>
      <c r="S129" s="49" t="n">
        <f aca="false">IF('plan etatów'!$AA$63=0,0,Podsumowanie!$E$94*'plan etatów'!S63/'plan etatów'!$AA$63)</f>
        <v>571.426666666667</v>
      </c>
      <c r="T129" s="49" t="n">
        <f aca="false">IF('plan etatów'!$AA$63=0,0,Podsumowanie!$E$94*'plan etatów'!T63/'plan etatów'!$AA$63)</f>
        <v>571.426666666667</v>
      </c>
      <c r="U129" s="49" t="n">
        <f aca="false">IF('plan etatów'!$AA$63=0,0,Podsumowanie!$E$94*'plan etatów'!U63/'plan etatów'!$AA$63)</f>
        <v>0</v>
      </c>
      <c r="V129" s="49" t="n">
        <f aca="false">IF('plan etatów'!$AA$63=0,0,Podsumowanie!$E$94*'plan etatów'!V63/'plan etatów'!$AA$63)</f>
        <v>0</v>
      </c>
      <c r="W129" s="49" t="n">
        <f aca="false">IF('plan etatów'!$AA$63=0,0,Podsumowanie!$E$94*'plan etatów'!W63/'plan etatów'!$AA$63)</f>
        <v>0</v>
      </c>
      <c r="X129" s="49" t="n">
        <f aca="false">IF('plan etatów'!$AA$63=0,0,Podsumowanie!$E$94*'plan etatów'!X63/'plan etatów'!$AA$63)</f>
        <v>0</v>
      </c>
      <c r="Y129" s="49" t="n">
        <f aca="false">IF('plan etatów'!$AA$63=0,0,Podsumowanie!$E$94*'plan etatów'!Y63/'plan etatów'!$AA$63)</f>
        <v>0</v>
      </c>
      <c r="Z129" s="49" t="n">
        <f aca="false">IF('plan etatów'!$AA$63=0,0,Podsumowanie!$E$94*'plan etatów'!Z63/'plan etatów'!$AA$63)</f>
        <v>0</v>
      </c>
    </row>
    <row r="130" customFormat="false" ht="15" hidden="false" customHeight="false" outlineLevel="0" collapsed="false">
      <c r="A130" s="41" t="s">
        <v>43</v>
      </c>
      <c r="B130" s="41" t="n">
        <v>3</v>
      </c>
      <c r="C130" s="49" t="n">
        <f aca="false">SUM(D130:Z130)</f>
        <v>94800</v>
      </c>
      <c r="D130" s="49" t="n">
        <f aca="false">IF('plan etatów'!$AA$64=0,0,Podsumowanie!$E$97*'plan etatów'!D64/'plan etatów'!$AA$64)</f>
        <v>0</v>
      </c>
      <c r="E130" s="49" t="n">
        <f aca="false">IF('plan etatów'!$AA$64=0,0,Podsumowanie!$E$97*'plan etatów'!E64/'plan etatów'!$AA$64)</f>
        <v>0</v>
      </c>
      <c r="F130" s="49" t="n">
        <f aca="false">IF('plan etatów'!$AA$64=0,0,Podsumowanie!$E$97*'plan etatów'!F64/'plan etatów'!$AA$64)</f>
        <v>0</v>
      </c>
      <c r="G130" s="49" t="n">
        <f aca="false">IF('plan etatów'!$AA$64=0,0,Podsumowanie!$E$97*'plan etatów'!G64/'plan etatów'!$AA$64)</f>
        <v>0</v>
      </c>
      <c r="H130" s="49" t="n">
        <f aca="false">IF('plan etatów'!$AA$64=0,0,Podsumowanie!$E$97*'plan etatów'!H64/'plan etatów'!$AA$64)</f>
        <v>0</v>
      </c>
      <c r="I130" s="49" t="n">
        <f aca="false">IF('plan etatów'!$AA$64=0,0,Podsumowanie!$E$97*'plan etatów'!I64/'plan etatów'!$AA$64)</f>
        <v>0</v>
      </c>
      <c r="J130" s="49" t="n">
        <f aca="false">IF('plan etatów'!$AA$64=0,0,Podsumowanie!$E$97*'plan etatów'!J64/'plan etatów'!$AA$64)</f>
        <v>0</v>
      </c>
      <c r="K130" s="49" t="n">
        <f aca="false">IF('plan etatów'!$AA$64=0,0,Podsumowanie!$E$97*'plan etatów'!K64/'plan etatów'!$AA$64)</f>
        <v>0</v>
      </c>
      <c r="L130" s="49" t="n">
        <f aca="false">IF('plan etatów'!$AA$64=0,0,Podsumowanie!$E$97*'plan etatów'!L64/'plan etatów'!$AA$64)</f>
        <v>0</v>
      </c>
      <c r="M130" s="49" t="n">
        <f aca="false">IF('plan etatów'!$AA$64=0,0,Podsumowanie!$E$97*'plan etatów'!M64/'plan etatów'!$AA$64)</f>
        <v>0</v>
      </c>
      <c r="N130" s="49" t="n">
        <f aca="false">IF('plan etatów'!$AA$64=0,0,Podsumowanie!$E$97*'plan etatów'!N64/'plan etatów'!$AA$64)</f>
        <v>0</v>
      </c>
      <c r="O130" s="49" t="n">
        <f aca="false">IF('plan etatów'!$AA$64=0,0,Podsumowanie!$E$97*'plan etatów'!O64/'plan etatów'!$AA$64)</f>
        <v>15800</v>
      </c>
      <c r="P130" s="49" t="n">
        <f aca="false">IF('plan etatów'!$AA$64=0,0,Podsumowanie!$E$97*'plan etatów'!P64/'plan etatów'!$AA$64)</f>
        <v>15800</v>
      </c>
      <c r="Q130" s="49" t="n">
        <f aca="false">IF('plan etatów'!$AA$64=0,0,Podsumowanie!$E$97*'plan etatów'!Q64/'plan etatów'!$AA$64)</f>
        <v>15800</v>
      </c>
      <c r="R130" s="49" t="n">
        <f aca="false">IF('plan etatów'!$AA$64=0,0,Podsumowanie!$E$97*'plan etatów'!R64/'plan etatów'!$AA$64)</f>
        <v>15800</v>
      </c>
      <c r="S130" s="49" t="n">
        <f aca="false">IF('plan etatów'!$AA$64=0,0,Podsumowanie!$E$97*'plan etatów'!S64/'plan etatów'!$AA$64)</f>
        <v>15800</v>
      </c>
      <c r="T130" s="49" t="n">
        <f aca="false">IF('plan etatów'!$AA$64=0,0,Podsumowanie!$E$97*'plan etatów'!T64/'plan etatów'!$AA$64)</f>
        <v>15800</v>
      </c>
      <c r="U130" s="49" t="n">
        <f aca="false">IF('plan etatów'!$AA$64=0,0,Podsumowanie!$E$97*'plan etatów'!U64/'plan etatów'!$AA$64)</f>
        <v>0</v>
      </c>
      <c r="V130" s="49" t="n">
        <f aca="false">IF('plan etatów'!$AA$64=0,0,Podsumowanie!$E$97*'plan etatów'!V64/'plan etatów'!$AA$64)</f>
        <v>0</v>
      </c>
      <c r="W130" s="49" t="n">
        <f aca="false">IF('plan etatów'!$AA$64=0,0,Podsumowanie!$E$97*'plan etatów'!W64/'plan etatów'!$AA$64)</f>
        <v>0</v>
      </c>
      <c r="X130" s="49" t="n">
        <f aca="false">IF('plan etatów'!$AA$64=0,0,Podsumowanie!$E$97*'plan etatów'!X64/'plan etatów'!$AA$64)</f>
        <v>0</v>
      </c>
      <c r="Y130" s="49" t="n">
        <f aca="false">IF('plan etatów'!$AA$64=0,0,Podsumowanie!$E$97*'plan etatów'!Y64/'plan etatów'!$AA$64)</f>
        <v>0</v>
      </c>
      <c r="Z130" s="49" t="n">
        <f aca="false">IF('plan etatów'!$AA$64=0,0,Podsumowanie!$E$97*'plan etatów'!Z64/'plan etatów'!$AA$64)</f>
        <v>0</v>
      </c>
    </row>
    <row r="131" customFormat="false" ht="15" hidden="false" customHeight="false" outlineLevel="0" collapsed="false">
      <c r="A131" s="41" t="s">
        <v>45</v>
      </c>
      <c r="B131" s="41" t="n">
        <v>4</v>
      </c>
      <c r="C131" s="49" t="n">
        <f aca="false">SUM(D131:Z131)</f>
        <v>132960</v>
      </c>
      <c r="D131" s="49" t="n">
        <f aca="false">IF('plan etatów'!$AA$65=0,0,Podsumowanie!$E$103*'plan etatów'!D65/'plan etatów'!$AA$65)</f>
        <v>0</v>
      </c>
      <c r="E131" s="49" t="n">
        <f aca="false">IF('plan etatów'!$AA$65=0,0,Podsumowanie!$E$103*'plan etatów'!E65/'plan etatów'!$AA$65)</f>
        <v>0</v>
      </c>
      <c r="F131" s="49" t="n">
        <f aca="false">IF('plan etatów'!$AA$65=0,0,Podsumowanie!$E$103*'plan etatów'!F65/'plan etatów'!$AA$65)</f>
        <v>0</v>
      </c>
      <c r="G131" s="49" t="n">
        <f aca="false">IF('plan etatów'!$AA$65=0,0,Podsumowanie!$E$103*'plan etatów'!G65/'plan etatów'!$AA$65)</f>
        <v>0</v>
      </c>
      <c r="H131" s="49" t="n">
        <f aca="false">IF('plan etatów'!$AA$65=0,0,Podsumowanie!$E$103*'plan etatów'!H65/'plan etatów'!$AA$65)</f>
        <v>0</v>
      </c>
      <c r="I131" s="49" t="n">
        <f aca="false">IF('plan etatów'!$AA$65=0,0,Podsumowanie!$E$103*'plan etatów'!I65/'plan etatów'!$AA$65)</f>
        <v>0</v>
      </c>
      <c r="J131" s="49" t="n">
        <f aca="false">IF('plan etatów'!$AA$65=0,0,Podsumowanie!$E$103*'plan etatów'!J65/'plan etatów'!$AA$65)</f>
        <v>0</v>
      </c>
      <c r="K131" s="49" t="n">
        <f aca="false">IF('plan etatów'!$AA$65=0,0,Podsumowanie!$E$103*'plan etatów'!K65/'plan etatów'!$AA$65)</f>
        <v>0</v>
      </c>
      <c r="L131" s="49" t="n">
        <f aca="false">IF('plan etatów'!$AA$65=0,0,Podsumowanie!$E$103*'plan etatów'!L65/'plan etatów'!$AA$65)</f>
        <v>0</v>
      </c>
      <c r="M131" s="49" t="n">
        <f aca="false">IF('plan etatów'!$AA$65=0,0,Podsumowanie!$E$103*'plan etatów'!M65/'plan etatów'!$AA$65)</f>
        <v>0</v>
      </c>
      <c r="N131" s="49" t="n">
        <f aca="false">IF('plan etatów'!$AA$65=0,0,Podsumowanie!$E$103*'plan etatów'!N65/'plan etatów'!$AA$65)</f>
        <v>0</v>
      </c>
      <c r="O131" s="49" t="n">
        <f aca="false">IF('plan etatów'!$AA$65=0,0,Podsumowanie!$E$103*'plan etatów'!O65/'plan etatów'!$AA$65)</f>
        <v>0</v>
      </c>
      <c r="P131" s="49" t="n">
        <f aca="false">IF('plan etatów'!$AA$65=0,0,Podsumowanie!$E$103*'plan etatów'!P65/'plan etatów'!$AA$65)</f>
        <v>0</v>
      </c>
      <c r="Q131" s="49" t="n">
        <f aca="false">IF('plan etatów'!$AA$65=0,0,Podsumowanie!$E$103*'plan etatów'!Q65/'plan etatów'!$AA$65)</f>
        <v>0</v>
      </c>
      <c r="R131" s="49" t="n">
        <f aca="false">IF('plan etatów'!$AA$65=0,0,Podsumowanie!$E$103*'plan etatów'!R65/'plan etatów'!$AA$65)</f>
        <v>0</v>
      </c>
      <c r="S131" s="49" t="n">
        <f aca="false">IF('plan etatów'!$AA$65=0,0,Podsumowanie!$E$103*'plan etatów'!S65/'plan etatów'!$AA$65)</f>
        <v>0</v>
      </c>
      <c r="T131" s="49" t="n">
        <f aca="false">IF('plan etatów'!$AA$65=0,0,Podsumowanie!$E$103*'plan etatów'!T65/'plan etatów'!$AA$65)</f>
        <v>0</v>
      </c>
      <c r="U131" s="49" t="n">
        <f aca="false">IF('plan etatów'!$AA$65=0,0,Podsumowanie!$E$103*'plan etatów'!U65/'plan etatów'!$AA$65)</f>
        <v>33240</v>
      </c>
      <c r="V131" s="49" t="n">
        <f aca="false">IF('plan etatów'!$AA$65=0,0,Podsumowanie!$E$103*'plan etatów'!V65/'plan etatów'!$AA$65)</f>
        <v>33240</v>
      </c>
      <c r="W131" s="49" t="n">
        <f aca="false">IF('plan etatów'!$AA$65=0,0,Podsumowanie!$E$103*'plan etatów'!W65/'plan etatów'!$AA$65)</f>
        <v>33240</v>
      </c>
      <c r="X131" s="49" t="n">
        <f aca="false">IF('plan etatów'!$AA$65=0,0,Podsumowanie!$E$103*'plan etatów'!X65/'plan etatów'!$AA$65)</f>
        <v>33240</v>
      </c>
      <c r="Y131" s="49" t="n">
        <f aca="false">IF('plan etatów'!$AA$65=0,0,Podsumowanie!$E$103*'plan etatów'!Y65/'plan etatów'!$AA$65)</f>
        <v>0</v>
      </c>
      <c r="Z131" s="49" t="n">
        <f aca="false">IF('plan etatów'!$AA$65=0,0,Podsumowanie!$E$103*'plan etatów'!Z65/'plan etatów'!$AA$65)</f>
        <v>0</v>
      </c>
    </row>
    <row r="132" customFormat="false" ht="15" hidden="false" customHeight="false" outlineLevel="0" collapsed="false">
      <c r="A132" s="41" t="s">
        <v>46</v>
      </c>
      <c r="B132" s="41" t="n">
        <v>4</v>
      </c>
      <c r="C132" s="49" t="n">
        <f aca="false">SUM(D132:Z132)</f>
        <v>22632</v>
      </c>
      <c r="D132" s="49" t="n">
        <f aca="false">IF('plan etatów'!$AA$66=0,0,Podsumowanie!$E$106*'plan etatów'!D66/'plan etatów'!$AA$66)</f>
        <v>0</v>
      </c>
      <c r="E132" s="49" t="n">
        <f aca="false">IF('plan etatów'!$AA$66=0,0,Podsumowanie!$E$106*'plan etatów'!E66/'plan etatów'!$AA$66)</f>
        <v>0</v>
      </c>
      <c r="F132" s="49" t="n">
        <f aca="false">IF('plan etatów'!$AA$66=0,0,Podsumowanie!$E$106*'plan etatów'!F66/'plan etatów'!$AA$66)</f>
        <v>0</v>
      </c>
      <c r="G132" s="49" t="n">
        <f aca="false">IF('plan etatów'!$AA$66=0,0,Podsumowanie!$E$106*'plan etatów'!G66/'plan etatów'!$AA$66)</f>
        <v>0</v>
      </c>
      <c r="H132" s="49" t="n">
        <f aca="false">IF('plan etatów'!$AA$66=0,0,Podsumowanie!$E$106*'plan etatów'!H66/'plan etatów'!$AA$66)</f>
        <v>0</v>
      </c>
      <c r="I132" s="49" t="n">
        <f aca="false">IF('plan etatów'!$AA$66=0,0,Podsumowanie!$E$106*'plan etatów'!I66/'plan etatów'!$AA$66)</f>
        <v>0</v>
      </c>
      <c r="J132" s="49" t="n">
        <f aca="false">IF('plan etatów'!$AA$66=0,0,Podsumowanie!$E$106*'plan etatów'!J66/'plan etatów'!$AA$66)</f>
        <v>0</v>
      </c>
      <c r="K132" s="49" t="n">
        <f aca="false">IF('plan etatów'!$AA$66=0,0,Podsumowanie!$E$106*'plan etatów'!K66/'plan etatów'!$AA$66)</f>
        <v>0</v>
      </c>
      <c r="L132" s="49" t="n">
        <f aca="false">IF('plan etatów'!$AA$66=0,0,Podsumowanie!$E$106*'plan etatów'!L66/'plan etatów'!$AA$66)</f>
        <v>0</v>
      </c>
      <c r="M132" s="49" t="n">
        <f aca="false">IF('plan etatów'!$AA$66=0,0,Podsumowanie!$E$106*'plan etatów'!M66/'plan etatów'!$AA$66)</f>
        <v>0</v>
      </c>
      <c r="N132" s="49" t="n">
        <f aca="false">IF('plan etatów'!$AA$66=0,0,Podsumowanie!$E$106*'plan etatów'!N66/'plan etatów'!$AA$66)</f>
        <v>0</v>
      </c>
      <c r="O132" s="49" t="n">
        <f aca="false">IF('plan etatów'!$AA$66=0,0,Podsumowanie!$E$106*'plan etatów'!O66/'plan etatów'!$AA$66)</f>
        <v>0</v>
      </c>
      <c r="P132" s="49" t="n">
        <f aca="false">IF('plan etatów'!$AA$66=0,0,Podsumowanie!$E$106*'plan etatów'!P66/'plan etatów'!$AA$66)</f>
        <v>0</v>
      </c>
      <c r="Q132" s="49" t="n">
        <f aca="false">IF('plan etatów'!$AA$66=0,0,Podsumowanie!$E$106*'plan etatów'!Q66/'plan etatów'!$AA$66)</f>
        <v>0</v>
      </c>
      <c r="R132" s="49" t="n">
        <f aca="false">IF('plan etatów'!$AA$66=0,0,Podsumowanie!$E$106*'plan etatów'!R66/'plan etatów'!$AA$66)</f>
        <v>0</v>
      </c>
      <c r="S132" s="49" t="n">
        <f aca="false">IF('plan etatów'!$AA$66=0,0,Podsumowanie!$E$106*'plan etatów'!S66/'plan etatów'!$AA$66)</f>
        <v>0</v>
      </c>
      <c r="T132" s="49" t="n">
        <f aca="false">IF('plan etatów'!$AA$66=0,0,Podsumowanie!$E$106*'plan etatów'!T66/'plan etatów'!$AA$66)</f>
        <v>0</v>
      </c>
      <c r="U132" s="49" t="n">
        <f aca="false">IF('plan etatów'!$AA$66=0,0,Podsumowanie!$E$106*'plan etatów'!U66/'plan etatów'!$AA$66)</f>
        <v>5658</v>
      </c>
      <c r="V132" s="49" t="n">
        <f aca="false">IF('plan etatów'!$AA$66=0,0,Podsumowanie!$E$106*'plan etatów'!V66/'plan etatów'!$AA$66)</f>
        <v>5658</v>
      </c>
      <c r="W132" s="49" t="n">
        <f aca="false">IF('plan etatów'!$AA$66=0,0,Podsumowanie!$E$106*'plan etatów'!W66/'plan etatów'!$AA$66)</f>
        <v>5658</v>
      </c>
      <c r="X132" s="49" t="n">
        <f aca="false">IF('plan etatów'!$AA$66=0,0,Podsumowanie!$E$106*'plan etatów'!X66/'plan etatów'!$AA$66)</f>
        <v>5658</v>
      </c>
      <c r="Y132" s="49" t="n">
        <f aca="false">IF('plan etatów'!$AA$66=0,0,Podsumowanie!$E$106*'plan etatów'!Y66/'plan etatów'!$AA$66)</f>
        <v>0</v>
      </c>
      <c r="Z132" s="49" t="n">
        <f aca="false">IF('plan etatów'!$AA$66=0,0,Podsumowanie!$E$106*'plan etatów'!Z66/'plan etatów'!$AA$66)</f>
        <v>0</v>
      </c>
    </row>
    <row r="133" customFormat="false" ht="15" hidden="false" customHeight="false" outlineLevel="0" collapsed="false">
      <c r="A133" s="41" t="s">
        <v>47</v>
      </c>
      <c r="B133" s="41" t="n">
        <v>4</v>
      </c>
      <c r="C133" s="49" t="n">
        <f aca="false">SUM(D133:Z133)</f>
        <v>65064</v>
      </c>
      <c r="D133" s="49" t="n">
        <f aca="false">IF('plan etatów'!$AA$67=0,0,Podsumowanie!$E$109*'plan etatów'!D67/'plan etatów'!$AA$67)</f>
        <v>0</v>
      </c>
      <c r="E133" s="49" t="n">
        <f aca="false">IF('plan etatów'!$AA$67=0,0,Podsumowanie!$E$109*'plan etatów'!E67/'plan etatów'!$AA$67)</f>
        <v>0</v>
      </c>
      <c r="F133" s="49" t="n">
        <f aca="false">IF('plan etatów'!$AA$67=0,0,Podsumowanie!$E$109*'plan etatów'!F67/'plan etatów'!$AA$67)</f>
        <v>0</v>
      </c>
      <c r="G133" s="49" t="n">
        <f aca="false">IF('plan etatów'!$AA$67=0,0,Podsumowanie!$E$109*'plan etatów'!G67/'plan etatów'!$AA$67)</f>
        <v>0</v>
      </c>
      <c r="H133" s="49" t="n">
        <f aca="false">IF('plan etatów'!$AA$67=0,0,Podsumowanie!$E$109*'plan etatów'!H67/'plan etatów'!$AA$67)</f>
        <v>0</v>
      </c>
      <c r="I133" s="49" t="n">
        <f aca="false">IF('plan etatów'!$AA$67=0,0,Podsumowanie!$E$109*'plan etatów'!I67/'plan etatów'!$AA$67)</f>
        <v>0</v>
      </c>
      <c r="J133" s="49" t="n">
        <f aca="false">IF('plan etatów'!$AA$67=0,0,Podsumowanie!$E$109*'plan etatów'!J67/'plan etatów'!$AA$67)</f>
        <v>0</v>
      </c>
      <c r="K133" s="49" t="n">
        <f aca="false">IF('plan etatów'!$AA$67=0,0,Podsumowanie!$E$109*'plan etatów'!K67/'plan etatów'!$AA$67)</f>
        <v>0</v>
      </c>
      <c r="L133" s="49" t="n">
        <f aca="false">IF('plan etatów'!$AA$67=0,0,Podsumowanie!$E$109*'plan etatów'!L67/'plan etatów'!$AA$67)</f>
        <v>0</v>
      </c>
      <c r="M133" s="49" t="n">
        <f aca="false">IF('plan etatów'!$AA$67=0,0,Podsumowanie!$E$109*'plan etatów'!M67/'plan etatów'!$AA$67)</f>
        <v>0</v>
      </c>
      <c r="N133" s="49" t="n">
        <f aca="false">IF('plan etatów'!$AA$67=0,0,Podsumowanie!$E$109*'plan etatów'!N67/'plan etatów'!$AA$67)</f>
        <v>0</v>
      </c>
      <c r="O133" s="49" t="n">
        <f aca="false">IF('plan etatów'!$AA$67=0,0,Podsumowanie!$E$109*'plan etatów'!O67/'plan etatów'!$AA$67)</f>
        <v>0</v>
      </c>
      <c r="P133" s="49" t="n">
        <f aca="false">IF('plan etatów'!$AA$67=0,0,Podsumowanie!$E$109*'plan etatów'!P67/'plan etatów'!$AA$67)</f>
        <v>0</v>
      </c>
      <c r="Q133" s="49" t="n">
        <f aca="false">IF('plan etatów'!$AA$67=0,0,Podsumowanie!$E$109*'plan etatów'!Q67/'plan etatów'!$AA$67)</f>
        <v>0</v>
      </c>
      <c r="R133" s="49" t="n">
        <f aca="false">IF('plan etatów'!$AA$67=0,0,Podsumowanie!$E$109*'plan etatów'!R67/'plan etatów'!$AA$67)</f>
        <v>0</v>
      </c>
      <c r="S133" s="49" t="n">
        <f aca="false">IF('plan etatów'!$AA$67=0,0,Podsumowanie!$E$109*'plan etatów'!S67/'plan etatów'!$AA$67)</f>
        <v>0</v>
      </c>
      <c r="T133" s="49" t="n">
        <f aca="false">IF('plan etatów'!$AA$67=0,0,Podsumowanie!$E$109*'plan etatów'!T67/'plan etatów'!$AA$67)</f>
        <v>0</v>
      </c>
      <c r="U133" s="49" t="n">
        <f aca="false">IF('plan etatów'!$AA$67=0,0,Podsumowanie!$E$109*'plan etatów'!U67/'plan etatów'!$AA$67)</f>
        <v>16266</v>
      </c>
      <c r="V133" s="49" t="n">
        <f aca="false">IF('plan etatów'!$AA$67=0,0,Podsumowanie!$E$109*'plan etatów'!V67/'plan etatów'!$AA$67)</f>
        <v>16266</v>
      </c>
      <c r="W133" s="49" t="n">
        <f aca="false">IF('plan etatów'!$AA$67=0,0,Podsumowanie!$E$109*'plan etatów'!W67/'plan etatów'!$AA$67)</f>
        <v>16266</v>
      </c>
      <c r="X133" s="49" t="n">
        <f aca="false">IF('plan etatów'!$AA$67=0,0,Podsumowanie!$E$109*'plan etatów'!X67/'plan etatów'!$AA$67)</f>
        <v>16266</v>
      </c>
      <c r="Y133" s="49" t="n">
        <f aca="false">IF('plan etatów'!$AA$67=0,0,Podsumowanie!$E$109*'plan etatów'!Y67/'plan etatów'!$AA$67)</f>
        <v>0</v>
      </c>
      <c r="Z133" s="49" t="n">
        <f aca="false">IF('plan etatów'!$AA$67=0,0,Podsumowanie!$E$109*'plan etatów'!Z67/'plan etatów'!$AA$67)</f>
        <v>0</v>
      </c>
    </row>
    <row r="134" customFormat="false" ht="15" hidden="false" customHeight="false" outlineLevel="0" collapsed="false">
      <c r="A134" s="41" t="s">
        <v>48</v>
      </c>
      <c r="B134" s="41" t="n">
        <v>4</v>
      </c>
      <c r="C134" s="49" t="n">
        <f aca="false">SUM(D134:Z134)</f>
        <v>49500</v>
      </c>
      <c r="D134" s="49" t="n">
        <f aca="false">IF('plan etatów'!$AA$68=0,0,Podsumowanie!$E$112*'plan etatów'!D68/'plan etatów'!$AA$68)</f>
        <v>0</v>
      </c>
      <c r="E134" s="49" t="n">
        <f aca="false">IF('plan etatów'!$AA$68=0,0,Podsumowanie!$E$112*'plan etatów'!E68/'plan etatów'!$AA$68)</f>
        <v>0</v>
      </c>
      <c r="F134" s="49" t="n">
        <f aca="false">IF('plan etatów'!$AA$68=0,0,Podsumowanie!$E$112*'plan etatów'!F68/'plan etatów'!$AA$68)</f>
        <v>0</v>
      </c>
      <c r="G134" s="49" t="n">
        <f aca="false">IF('plan etatów'!$AA$68=0,0,Podsumowanie!$E$112*'plan etatów'!G68/'plan etatów'!$AA$68)</f>
        <v>0</v>
      </c>
      <c r="H134" s="49" t="n">
        <f aca="false">IF('plan etatów'!$AA$68=0,0,Podsumowanie!$E$112*'plan etatów'!H68/'plan etatów'!$AA$68)</f>
        <v>0</v>
      </c>
      <c r="I134" s="49" t="n">
        <f aca="false">IF('plan etatów'!$AA$68=0,0,Podsumowanie!$E$112*'plan etatów'!I68/'plan etatów'!$AA$68)</f>
        <v>0</v>
      </c>
      <c r="J134" s="49" t="n">
        <f aca="false">IF('plan etatów'!$AA$68=0,0,Podsumowanie!$E$112*'plan etatów'!J68/'plan etatów'!$AA$68)</f>
        <v>0</v>
      </c>
      <c r="K134" s="49" t="n">
        <f aca="false">IF('plan etatów'!$AA$68=0,0,Podsumowanie!$E$112*'plan etatów'!K68/'plan etatów'!$AA$68)</f>
        <v>0</v>
      </c>
      <c r="L134" s="49" t="n">
        <f aca="false">IF('plan etatów'!$AA$68=0,0,Podsumowanie!$E$112*'plan etatów'!L68/'plan etatów'!$AA$68)</f>
        <v>0</v>
      </c>
      <c r="M134" s="49" t="n">
        <f aca="false">IF('plan etatów'!$AA$68=0,0,Podsumowanie!$E$112*'plan etatów'!M68/'plan etatów'!$AA$68)</f>
        <v>0</v>
      </c>
      <c r="N134" s="49" t="n">
        <f aca="false">IF('plan etatów'!$AA$68=0,0,Podsumowanie!$E$112*'plan etatów'!N68/'plan etatów'!$AA$68)</f>
        <v>0</v>
      </c>
      <c r="O134" s="49" t="n">
        <f aca="false">IF('plan etatów'!$AA$68=0,0,Podsumowanie!$E$112*'plan etatów'!O68/'plan etatów'!$AA$68)</f>
        <v>0</v>
      </c>
      <c r="P134" s="49" t="n">
        <f aca="false">IF('plan etatów'!$AA$68=0,0,Podsumowanie!$E$112*'plan etatów'!P68/'plan etatów'!$AA$68)</f>
        <v>0</v>
      </c>
      <c r="Q134" s="49" t="n">
        <f aca="false">IF('plan etatów'!$AA$68=0,0,Podsumowanie!$E$112*'plan etatów'!Q68/'plan etatów'!$AA$68)</f>
        <v>0</v>
      </c>
      <c r="R134" s="49" t="n">
        <f aca="false">IF('plan etatów'!$AA$68=0,0,Podsumowanie!$E$112*'plan etatów'!R68/'plan etatów'!$AA$68)</f>
        <v>0</v>
      </c>
      <c r="S134" s="49" t="n">
        <f aca="false">IF('plan etatów'!$AA$68=0,0,Podsumowanie!$E$112*'plan etatów'!S68/'plan etatów'!$AA$68)</f>
        <v>0</v>
      </c>
      <c r="T134" s="49" t="n">
        <f aca="false">IF('plan etatów'!$AA$68=0,0,Podsumowanie!$E$112*'plan etatów'!T68/'plan etatów'!$AA$68)</f>
        <v>0</v>
      </c>
      <c r="U134" s="49" t="n">
        <f aca="false">IF('plan etatów'!$AA$68=0,0,Podsumowanie!$E$112*'plan etatów'!U68/'plan etatów'!$AA$68)</f>
        <v>12375</v>
      </c>
      <c r="V134" s="49" t="n">
        <f aca="false">IF('plan etatów'!$AA$68=0,0,Podsumowanie!$E$112*'plan etatów'!V68/'plan etatów'!$AA$68)</f>
        <v>12375</v>
      </c>
      <c r="W134" s="49" t="n">
        <f aca="false">IF('plan etatów'!$AA$68=0,0,Podsumowanie!$E$112*'plan etatów'!W68/'plan etatów'!$AA$68)</f>
        <v>12375</v>
      </c>
      <c r="X134" s="49" t="n">
        <f aca="false">IF('plan etatów'!$AA$68=0,0,Podsumowanie!$E$112*'plan etatów'!X68/'plan etatów'!$AA$68)</f>
        <v>12375</v>
      </c>
      <c r="Y134" s="49" t="n">
        <f aca="false">IF('plan etatów'!$AA$68=0,0,Podsumowanie!$E$112*'plan etatów'!Y68/'plan etatów'!$AA$68)</f>
        <v>0</v>
      </c>
      <c r="Z134" s="49" t="n">
        <f aca="false">IF('plan etatów'!$AA$68=0,0,Podsumowanie!$E$112*'plan etatów'!Z68/'plan etatów'!$AA$68)</f>
        <v>0</v>
      </c>
    </row>
    <row r="135" customFormat="false" ht="15" hidden="false" customHeight="false" outlineLevel="0" collapsed="false">
      <c r="A135" s="41" t="s">
        <v>49</v>
      </c>
      <c r="B135" s="41" t="n">
        <v>4</v>
      </c>
      <c r="C135" s="49" t="n">
        <f aca="false">SUM(D135:Z135)</f>
        <v>17856</v>
      </c>
      <c r="D135" s="49" t="n">
        <f aca="false">IF('plan etatów'!$AA$69=0,0,Podsumowanie!$E$115*'plan etatów'!D69/'plan etatów'!$AA$69)</f>
        <v>0</v>
      </c>
      <c r="E135" s="49" t="n">
        <f aca="false">IF('plan etatów'!$AA$69=0,0,Podsumowanie!$E$115*'plan etatów'!E69/'plan etatów'!$AA$69)</f>
        <v>0</v>
      </c>
      <c r="F135" s="49" t="n">
        <f aca="false">IF('plan etatów'!$AA$69=0,0,Podsumowanie!$E$115*'plan etatów'!F69/'plan etatów'!$AA$69)</f>
        <v>0</v>
      </c>
      <c r="G135" s="49" t="n">
        <f aca="false">IF('plan etatów'!$AA$69=0,0,Podsumowanie!$E$115*'plan etatów'!G69/'plan etatów'!$AA$69)</f>
        <v>0</v>
      </c>
      <c r="H135" s="49" t="n">
        <f aca="false">IF('plan etatów'!$AA$69=0,0,Podsumowanie!$E$115*'plan etatów'!H69/'plan etatów'!$AA$69)</f>
        <v>0</v>
      </c>
      <c r="I135" s="49" t="n">
        <f aca="false">IF('plan etatów'!$AA$69=0,0,Podsumowanie!$E$115*'plan etatów'!I69/'plan etatów'!$AA$69)</f>
        <v>0</v>
      </c>
      <c r="J135" s="49" t="n">
        <f aca="false">IF('plan etatów'!$AA$69=0,0,Podsumowanie!$E$115*'plan etatów'!J69/'plan etatów'!$AA$69)</f>
        <v>0</v>
      </c>
      <c r="K135" s="49" t="n">
        <f aca="false">IF('plan etatów'!$AA$69=0,0,Podsumowanie!$E$115*'plan etatów'!K69/'plan etatów'!$AA$69)</f>
        <v>0</v>
      </c>
      <c r="L135" s="49" t="n">
        <f aca="false">IF('plan etatów'!$AA$69=0,0,Podsumowanie!$E$115*'plan etatów'!L69/'plan etatów'!$AA$69)</f>
        <v>0</v>
      </c>
      <c r="M135" s="49" t="n">
        <f aca="false">IF('plan etatów'!$AA$69=0,0,Podsumowanie!$E$115*'plan etatów'!M69/'plan etatów'!$AA$69)</f>
        <v>0</v>
      </c>
      <c r="N135" s="49" t="n">
        <f aca="false">IF('plan etatów'!$AA$69=0,0,Podsumowanie!$E$115*'plan etatów'!N69/'plan etatów'!$AA$69)</f>
        <v>0</v>
      </c>
      <c r="O135" s="49" t="n">
        <f aca="false">IF('plan etatów'!$AA$69=0,0,Podsumowanie!$E$115*'plan etatów'!O69/'plan etatów'!$AA$69)</f>
        <v>0</v>
      </c>
      <c r="P135" s="49" t="n">
        <f aca="false">IF('plan etatów'!$AA$69=0,0,Podsumowanie!$E$115*'plan etatów'!P69/'plan etatów'!$AA$69)</f>
        <v>0</v>
      </c>
      <c r="Q135" s="49" t="n">
        <f aca="false">IF('plan etatów'!$AA$69=0,0,Podsumowanie!$E$115*'plan etatów'!Q69/'plan etatów'!$AA$69)</f>
        <v>0</v>
      </c>
      <c r="R135" s="49" t="n">
        <f aca="false">IF('plan etatów'!$AA$69=0,0,Podsumowanie!$E$115*'plan etatów'!R69/'plan etatów'!$AA$69)</f>
        <v>0</v>
      </c>
      <c r="S135" s="49" t="n">
        <f aca="false">IF('plan etatów'!$AA$69=0,0,Podsumowanie!$E$115*'plan etatów'!S69/'plan etatów'!$AA$69)</f>
        <v>0</v>
      </c>
      <c r="T135" s="49" t="n">
        <f aca="false">IF('plan etatów'!$AA$69=0,0,Podsumowanie!$E$115*'plan etatów'!T69/'plan etatów'!$AA$69)</f>
        <v>0</v>
      </c>
      <c r="U135" s="49" t="n">
        <f aca="false">IF('plan etatów'!$AA$69=0,0,Podsumowanie!$E$115*'plan etatów'!U69/'plan etatów'!$AA$69)</f>
        <v>4464</v>
      </c>
      <c r="V135" s="49" t="n">
        <f aca="false">IF('plan etatów'!$AA$69=0,0,Podsumowanie!$E$115*'plan etatów'!V69/'plan etatów'!$AA$69)</f>
        <v>4464</v>
      </c>
      <c r="W135" s="49" t="n">
        <f aca="false">IF('plan etatów'!$AA$69=0,0,Podsumowanie!$E$115*'plan etatów'!W69/'plan etatów'!$AA$69)</f>
        <v>4464</v>
      </c>
      <c r="X135" s="49" t="n">
        <f aca="false">IF('plan etatów'!$AA$69=0,0,Podsumowanie!$E$115*'plan etatów'!X69/'plan etatów'!$AA$69)</f>
        <v>4464</v>
      </c>
      <c r="Y135" s="49" t="n">
        <f aca="false">IF('plan etatów'!$AA$69=0,0,Podsumowanie!$E$115*'plan etatów'!Y69/'plan etatów'!$AA$69)</f>
        <v>0</v>
      </c>
      <c r="Z135" s="49" t="n">
        <f aca="false">IF('plan etatów'!$AA$69=0,0,Podsumowanie!$E$115*'plan etatów'!Z69/'plan etatów'!$AA$69)</f>
        <v>0</v>
      </c>
    </row>
    <row r="136" customFormat="false" ht="15" hidden="false" customHeight="false" outlineLevel="0" collapsed="false">
      <c r="A136" s="41" t="s">
        <v>50</v>
      </c>
      <c r="B136" s="41" t="n">
        <v>4</v>
      </c>
      <c r="C136" s="49" t="n">
        <f aca="false">SUM(D136:Z136)</f>
        <v>49500</v>
      </c>
      <c r="D136" s="49" t="n">
        <f aca="false">IF('plan etatów'!$AA$70=0,0,Podsumowanie!$E$118*'plan etatów'!D70/'plan etatów'!$AA$70)</f>
        <v>0</v>
      </c>
      <c r="E136" s="49" t="n">
        <f aca="false">IF('plan etatów'!$AA$70=0,0,Podsumowanie!$E$118*'plan etatów'!E70/'plan etatów'!$AA$70)</f>
        <v>0</v>
      </c>
      <c r="F136" s="49" t="n">
        <f aca="false">IF('plan etatów'!$AA$70=0,0,Podsumowanie!$E$118*'plan etatów'!F70/'plan etatów'!$AA$70)</f>
        <v>0</v>
      </c>
      <c r="G136" s="49" t="n">
        <f aca="false">IF('plan etatów'!$AA$70=0,0,Podsumowanie!$E$118*'plan etatów'!G70/'plan etatów'!$AA$70)</f>
        <v>0</v>
      </c>
      <c r="H136" s="49" t="n">
        <f aca="false">IF('plan etatów'!$AA$70=0,0,Podsumowanie!$E$118*'plan etatów'!H70/'plan etatów'!$AA$70)</f>
        <v>0</v>
      </c>
      <c r="I136" s="49" t="n">
        <f aca="false">IF('plan etatów'!$AA$70=0,0,Podsumowanie!$E$118*'plan etatów'!I70/'plan etatów'!$AA$70)</f>
        <v>0</v>
      </c>
      <c r="J136" s="49" t="n">
        <f aca="false">IF('plan etatów'!$AA$70=0,0,Podsumowanie!$E$118*'plan etatów'!J70/'plan etatów'!$AA$70)</f>
        <v>0</v>
      </c>
      <c r="K136" s="49" t="n">
        <f aca="false">IF('plan etatów'!$AA$70=0,0,Podsumowanie!$E$118*'plan etatów'!K70/'plan etatów'!$AA$70)</f>
        <v>0</v>
      </c>
      <c r="L136" s="49" t="n">
        <f aca="false">IF('plan etatów'!$AA$70=0,0,Podsumowanie!$E$118*'plan etatów'!L70/'plan etatów'!$AA$70)</f>
        <v>0</v>
      </c>
      <c r="M136" s="49" t="n">
        <f aca="false">IF('plan etatów'!$AA$70=0,0,Podsumowanie!$E$118*'plan etatów'!M70/'plan etatów'!$AA$70)</f>
        <v>0</v>
      </c>
      <c r="N136" s="49" t="n">
        <f aca="false">IF('plan etatów'!$AA$70=0,0,Podsumowanie!$E$118*'plan etatów'!N70/'plan etatów'!$AA$70)</f>
        <v>0</v>
      </c>
      <c r="O136" s="49" t="n">
        <f aca="false">IF('plan etatów'!$AA$70=0,0,Podsumowanie!$E$118*'plan etatów'!O70/'plan etatów'!$AA$70)</f>
        <v>0</v>
      </c>
      <c r="P136" s="49" t="n">
        <f aca="false">IF('plan etatów'!$AA$70=0,0,Podsumowanie!$E$118*'plan etatów'!P70/'plan etatów'!$AA$70)</f>
        <v>0</v>
      </c>
      <c r="Q136" s="49" t="n">
        <f aca="false">IF('plan etatów'!$AA$70=0,0,Podsumowanie!$E$118*'plan etatów'!Q70/'plan etatów'!$AA$70)</f>
        <v>0</v>
      </c>
      <c r="R136" s="49" t="n">
        <f aca="false">IF('plan etatów'!$AA$70=0,0,Podsumowanie!$E$118*'plan etatów'!R70/'plan etatów'!$AA$70)</f>
        <v>0</v>
      </c>
      <c r="S136" s="49" t="n">
        <f aca="false">IF('plan etatów'!$AA$70=0,0,Podsumowanie!$E$118*'plan etatów'!S70/'plan etatów'!$AA$70)</f>
        <v>0</v>
      </c>
      <c r="T136" s="49" t="n">
        <f aca="false">IF('plan etatów'!$AA$70=0,0,Podsumowanie!$E$118*'plan etatów'!T70/'plan etatów'!$AA$70)</f>
        <v>0</v>
      </c>
      <c r="U136" s="49" t="n">
        <f aca="false">IF('plan etatów'!$AA$70=0,0,Podsumowanie!$E$118*'plan etatów'!U70/'plan etatów'!$AA$70)</f>
        <v>12375</v>
      </c>
      <c r="V136" s="49" t="n">
        <f aca="false">IF('plan etatów'!$AA$70=0,0,Podsumowanie!$E$118*'plan etatów'!V70/'plan etatów'!$AA$70)</f>
        <v>12375</v>
      </c>
      <c r="W136" s="49" t="n">
        <f aca="false">IF('plan etatów'!$AA$70=0,0,Podsumowanie!$E$118*'plan etatów'!W70/'plan etatów'!$AA$70)</f>
        <v>12375</v>
      </c>
      <c r="X136" s="49" t="n">
        <f aca="false">IF('plan etatów'!$AA$70=0,0,Podsumowanie!$E$118*'plan etatów'!X70/'plan etatów'!$AA$70)</f>
        <v>12375</v>
      </c>
      <c r="Y136" s="49" t="n">
        <f aca="false">IF('plan etatów'!$AA$70=0,0,Podsumowanie!$E$118*'plan etatów'!Y70/'plan etatów'!$AA$70)</f>
        <v>0</v>
      </c>
      <c r="Z136" s="49" t="n">
        <f aca="false">IF('plan etatów'!$AA$70=0,0,Podsumowanie!$E$118*'plan etatów'!Z70/'plan etatów'!$AA$70)</f>
        <v>0</v>
      </c>
    </row>
    <row r="137" customFormat="false" ht="15" hidden="false" customHeight="false" outlineLevel="0" collapsed="false">
      <c r="A137" s="41" t="s">
        <v>51</v>
      </c>
      <c r="B137" s="41" t="n">
        <v>4</v>
      </c>
      <c r="C137" s="49" t="n">
        <f aca="false">SUM(D137:Z137)</f>
        <v>1714.28</v>
      </c>
      <c r="D137" s="49" t="n">
        <f aca="false">IF('plan etatów'!$AA$71=0,0,Podsumowanie!$E$121*'plan etatów'!D71/'plan etatów'!$AA$71)</f>
        <v>0</v>
      </c>
      <c r="E137" s="49" t="n">
        <f aca="false">IF('plan etatów'!$AA$71=0,0,Podsumowanie!$E$121*'plan etatów'!E71/'plan etatów'!$AA$71)</f>
        <v>0</v>
      </c>
      <c r="F137" s="49" t="n">
        <f aca="false">IF('plan etatów'!$AA$71=0,0,Podsumowanie!$E$121*'plan etatów'!F71/'plan etatów'!$AA$71)</f>
        <v>0</v>
      </c>
      <c r="G137" s="49" t="n">
        <f aca="false">IF('plan etatów'!$AA$71=0,0,Podsumowanie!$E$121*'plan etatów'!G71/'plan etatów'!$AA$71)</f>
        <v>0</v>
      </c>
      <c r="H137" s="49" t="n">
        <f aca="false">IF('plan etatów'!$AA$71=0,0,Podsumowanie!$E$121*'plan etatów'!H71/'plan etatów'!$AA$71)</f>
        <v>0</v>
      </c>
      <c r="I137" s="49" t="n">
        <f aca="false">IF('plan etatów'!$AA$71=0,0,Podsumowanie!$E$121*'plan etatów'!I71/'plan etatów'!$AA$71)</f>
        <v>0</v>
      </c>
      <c r="J137" s="49" t="n">
        <f aca="false">IF('plan etatów'!$AA$71=0,0,Podsumowanie!$E$121*'plan etatów'!J71/'plan etatów'!$AA$71)</f>
        <v>0</v>
      </c>
      <c r="K137" s="49" t="n">
        <f aca="false">IF('plan etatów'!$AA$71=0,0,Podsumowanie!$E$121*'plan etatów'!K71/'plan etatów'!$AA$71)</f>
        <v>0</v>
      </c>
      <c r="L137" s="49" t="n">
        <f aca="false">IF('plan etatów'!$AA$71=0,0,Podsumowanie!$E$121*'plan etatów'!L71/'plan etatów'!$AA$71)</f>
        <v>0</v>
      </c>
      <c r="M137" s="49" t="n">
        <f aca="false">IF('plan etatów'!$AA$71=0,0,Podsumowanie!$E$121*'plan etatów'!M71/'plan etatów'!$AA$71)</f>
        <v>0</v>
      </c>
      <c r="N137" s="49" t="n">
        <f aca="false">IF('plan etatów'!$AA$71=0,0,Podsumowanie!$E$121*'plan etatów'!N71/'plan etatów'!$AA$71)</f>
        <v>0</v>
      </c>
      <c r="O137" s="49" t="n">
        <f aca="false">IF('plan etatów'!$AA$71=0,0,Podsumowanie!$E$121*'plan etatów'!O71/'plan etatów'!$AA$71)</f>
        <v>0</v>
      </c>
      <c r="P137" s="49" t="n">
        <f aca="false">IF('plan etatów'!$AA$71=0,0,Podsumowanie!$E$121*'plan etatów'!P71/'plan etatów'!$AA$71)</f>
        <v>0</v>
      </c>
      <c r="Q137" s="49" t="n">
        <f aca="false">IF('plan etatów'!$AA$71=0,0,Podsumowanie!$E$121*'plan etatów'!Q71/'plan etatów'!$AA$71)</f>
        <v>0</v>
      </c>
      <c r="R137" s="49" t="n">
        <f aca="false">IF('plan etatów'!$AA$71=0,0,Podsumowanie!$E$121*'plan etatów'!R71/'plan etatów'!$AA$71)</f>
        <v>0</v>
      </c>
      <c r="S137" s="49" t="n">
        <f aca="false">IF('plan etatów'!$AA$71=0,0,Podsumowanie!$E$121*'plan etatów'!S71/'plan etatów'!$AA$71)</f>
        <v>0</v>
      </c>
      <c r="T137" s="49" t="n">
        <f aca="false">IF('plan etatów'!$AA$71=0,0,Podsumowanie!$E$121*'plan etatów'!T71/'plan etatów'!$AA$71)</f>
        <v>0</v>
      </c>
      <c r="U137" s="49" t="n">
        <f aca="false">IF('plan etatów'!$AA$71=0,0,Podsumowanie!$E$121*'plan etatów'!U71/'plan etatów'!$AA$71)</f>
        <v>428.57</v>
      </c>
      <c r="V137" s="49" t="n">
        <f aca="false">IF('plan etatów'!$AA$71=0,0,Podsumowanie!$E$121*'plan etatów'!V71/'plan etatów'!$AA$71)</f>
        <v>428.57</v>
      </c>
      <c r="W137" s="49" t="n">
        <f aca="false">IF('plan etatów'!$AA$71=0,0,Podsumowanie!$E$121*'plan etatów'!W71/'plan etatów'!$AA$71)</f>
        <v>428.57</v>
      </c>
      <c r="X137" s="49" t="n">
        <f aca="false">IF('plan etatów'!$AA$71=0,0,Podsumowanie!$E$121*'plan etatów'!X71/'plan etatów'!$AA$71)</f>
        <v>428.57</v>
      </c>
      <c r="Y137" s="49" t="n">
        <f aca="false">IF('plan etatów'!$AA$71=0,0,Podsumowanie!$E$121*'plan etatów'!Y71/'plan etatów'!$AA$71)</f>
        <v>0</v>
      </c>
      <c r="Z137" s="49" t="n">
        <f aca="false">IF('plan etatów'!$AA$71=0,0,Podsumowanie!$E$121*'plan etatów'!Z71/'plan etatów'!$AA$71)</f>
        <v>0</v>
      </c>
    </row>
    <row r="138" customFormat="false" ht="15" hidden="false" customHeight="false" outlineLevel="0" collapsed="false">
      <c r="A138" s="41" t="s">
        <v>52</v>
      </c>
      <c r="B138" s="41" t="n">
        <v>4</v>
      </c>
      <c r="C138" s="49" t="n">
        <f aca="false">SUM(D138:Z138)</f>
        <v>47400</v>
      </c>
      <c r="D138" s="49" t="n">
        <f aca="false">IF('plan etatów'!$AA$72=0,0,Podsumowanie!$E$124*'plan etatów'!D72/'plan etatów'!$AA$72)</f>
        <v>0</v>
      </c>
      <c r="E138" s="49" t="n">
        <f aca="false">IF('plan etatów'!$AA$72=0,0,Podsumowanie!$E$124*'plan etatów'!E72/'plan etatów'!$AA$72)</f>
        <v>0</v>
      </c>
      <c r="F138" s="49" t="n">
        <f aca="false">IF('plan etatów'!$AA$72=0,0,Podsumowanie!$E$124*'plan etatów'!F72/'plan etatów'!$AA$72)</f>
        <v>0</v>
      </c>
      <c r="G138" s="49" t="n">
        <f aca="false">IF('plan etatów'!$AA$72=0,0,Podsumowanie!$E$124*'plan etatów'!G72/'plan etatów'!$AA$72)</f>
        <v>0</v>
      </c>
      <c r="H138" s="49" t="n">
        <f aca="false">IF('plan etatów'!$AA$72=0,0,Podsumowanie!$E$124*'plan etatów'!H72/'plan etatów'!$AA$72)</f>
        <v>0</v>
      </c>
      <c r="I138" s="49" t="n">
        <f aca="false">IF('plan etatów'!$AA$72=0,0,Podsumowanie!$E$124*'plan etatów'!I72/'plan etatów'!$AA$72)</f>
        <v>0</v>
      </c>
      <c r="J138" s="49" t="n">
        <f aca="false">IF('plan etatów'!$AA$72=0,0,Podsumowanie!$E$124*'plan etatów'!J72/'plan etatów'!$AA$72)</f>
        <v>0</v>
      </c>
      <c r="K138" s="49" t="n">
        <f aca="false">IF('plan etatów'!$AA$72=0,0,Podsumowanie!$E$124*'plan etatów'!K72/'plan etatów'!$AA$72)</f>
        <v>0</v>
      </c>
      <c r="L138" s="49" t="n">
        <f aca="false">IF('plan etatów'!$AA$72=0,0,Podsumowanie!$E$124*'plan etatów'!L72/'plan etatów'!$AA$72)</f>
        <v>0</v>
      </c>
      <c r="M138" s="49" t="n">
        <f aca="false">IF('plan etatów'!$AA$72=0,0,Podsumowanie!$E$124*'plan etatów'!M72/'plan etatów'!$AA$72)</f>
        <v>0</v>
      </c>
      <c r="N138" s="49" t="n">
        <f aca="false">IF('plan etatów'!$AA$72=0,0,Podsumowanie!$E$124*'plan etatów'!N72/'plan etatów'!$AA$72)</f>
        <v>0</v>
      </c>
      <c r="O138" s="49" t="n">
        <f aca="false">IF('plan etatów'!$AA$72=0,0,Podsumowanie!$E$124*'plan etatów'!O72/'plan etatów'!$AA$72)</f>
        <v>0</v>
      </c>
      <c r="P138" s="49" t="n">
        <f aca="false">IF('plan etatów'!$AA$72=0,0,Podsumowanie!$E$124*'plan etatów'!P72/'plan etatów'!$AA$72)</f>
        <v>0</v>
      </c>
      <c r="Q138" s="49" t="n">
        <f aca="false">IF('plan etatów'!$AA$72=0,0,Podsumowanie!$E$124*'plan etatów'!Q72/'plan etatów'!$AA$72)</f>
        <v>0</v>
      </c>
      <c r="R138" s="49" t="n">
        <f aca="false">IF('plan etatów'!$AA$72=0,0,Podsumowanie!$E$124*'plan etatów'!R72/'plan etatów'!$AA$72)</f>
        <v>0</v>
      </c>
      <c r="S138" s="49" t="n">
        <f aca="false">IF('plan etatów'!$AA$72=0,0,Podsumowanie!$E$124*'plan etatów'!S72/'plan etatów'!$AA$72)</f>
        <v>0</v>
      </c>
      <c r="T138" s="49" t="n">
        <f aca="false">IF('plan etatów'!$AA$72=0,0,Podsumowanie!$E$124*'plan etatów'!T72/'plan etatów'!$AA$72)</f>
        <v>0</v>
      </c>
      <c r="U138" s="49" t="n">
        <f aca="false">IF('plan etatów'!$AA$72=0,0,Podsumowanie!$E$124*'plan etatów'!U72/'plan etatów'!$AA$72)</f>
        <v>11850</v>
      </c>
      <c r="V138" s="49" t="n">
        <f aca="false">IF('plan etatów'!$AA$72=0,0,Podsumowanie!$E$124*'plan etatów'!V72/'plan etatów'!$AA$72)</f>
        <v>11850</v>
      </c>
      <c r="W138" s="49" t="n">
        <f aca="false">IF('plan etatów'!$AA$72=0,0,Podsumowanie!$E$124*'plan etatów'!W72/'plan etatów'!$AA$72)</f>
        <v>11850</v>
      </c>
      <c r="X138" s="49" t="n">
        <f aca="false">IF('plan etatów'!$AA$72=0,0,Podsumowanie!$E$124*'plan etatów'!X72/'plan etatów'!$AA$72)</f>
        <v>11850</v>
      </c>
      <c r="Y138" s="49" t="n">
        <f aca="false">IF('plan etatów'!$AA$72=0,0,Podsumowanie!$E$124*'plan etatów'!Y72/'plan etatów'!$AA$72)</f>
        <v>0</v>
      </c>
      <c r="Z138" s="49" t="n">
        <f aca="false">IF('plan etatów'!$AA$72=0,0,Podsumowanie!$E$124*'plan etatów'!Z72/'plan etatów'!$AA$72)</f>
        <v>0</v>
      </c>
    </row>
    <row r="139" customFormat="false" ht="15" hidden="false" customHeight="false" outlineLevel="0" collapsed="false">
      <c r="A139" s="41" t="s">
        <v>53</v>
      </c>
      <c r="B139" s="41" t="n">
        <v>4</v>
      </c>
      <c r="C139" s="49" t="n">
        <f aca="false">SUM(D139:Z139)</f>
        <v>32316</v>
      </c>
      <c r="D139" s="49" t="n">
        <f aca="false">IF('plan etatów'!$AA$73=0,0,Podsumowanie!$E$127*'plan etatów'!D73/'plan etatów'!$AA$73)</f>
        <v>0</v>
      </c>
      <c r="E139" s="49" t="n">
        <f aca="false">IF('plan etatów'!$AA$73=0,0,Podsumowanie!$E$127*'plan etatów'!E73/'plan etatów'!$AA$73)</f>
        <v>0</v>
      </c>
      <c r="F139" s="49" t="n">
        <f aca="false">IF('plan etatów'!$AA$73=0,0,Podsumowanie!$E$127*'plan etatów'!F73/'plan etatów'!$AA$73)</f>
        <v>0</v>
      </c>
      <c r="G139" s="49" t="n">
        <f aca="false">IF('plan etatów'!$AA$73=0,0,Podsumowanie!$E$127*'plan etatów'!G73/'plan etatów'!$AA$73)</f>
        <v>0</v>
      </c>
      <c r="H139" s="49" t="n">
        <f aca="false">IF('plan etatów'!$AA$73=0,0,Podsumowanie!$E$127*'plan etatów'!H73/'plan etatów'!$AA$73)</f>
        <v>0</v>
      </c>
      <c r="I139" s="49" t="n">
        <f aca="false">IF('plan etatów'!$AA$73=0,0,Podsumowanie!$E$127*'plan etatów'!I73/'plan etatów'!$AA$73)</f>
        <v>0</v>
      </c>
      <c r="J139" s="49" t="n">
        <f aca="false">IF('plan etatów'!$AA$73=0,0,Podsumowanie!$E$127*'plan etatów'!J73/'plan etatów'!$AA$73)</f>
        <v>0</v>
      </c>
      <c r="K139" s="49" t="n">
        <f aca="false">IF('plan etatów'!$AA$73=0,0,Podsumowanie!$E$127*'plan etatów'!K73/'plan etatów'!$AA$73)</f>
        <v>0</v>
      </c>
      <c r="L139" s="49" t="n">
        <f aca="false">IF('plan etatów'!$AA$73=0,0,Podsumowanie!$E$127*'plan etatów'!L73/'plan etatów'!$AA$73)</f>
        <v>0</v>
      </c>
      <c r="M139" s="49" t="n">
        <f aca="false">IF('plan etatów'!$AA$73=0,0,Podsumowanie!$E$127*'plan etatów'!M73/'plan etatów'!$AA$73)</f>
        <v>0</v>
      </c>
      <c r="N139" s="49" t="n">
        <f aca="false">IF('plan etatów'!$AA$73=0,0,Podsumowanie!$E$127*'plan etatów'!N73/'plan etatów'!$AA$73)</f>
        <v>0</v>
      </c>
      <c r="O139" s="49" t="n">
        <f aca="false">IF('plan etatów'!$AA$73=0,0,Podsumowanie!$E$127*'plan etatów'!O73/'plan etatów'!$AA$73)</f>
        <v>0</v>
      </c>
      <c r="P139" s="49" t="n">
        <f aca="false">IF('plan etatów'!$AA$73=0,0,Podsumowanie!$E$127*'plan etatów'!P73/'plan etatów'!$AA$73)</f>
        <v>0</v>
      </c>
      <c r="Q139" s="49" t="n">
        <f aca="false">IF('plan etatów'!$AA$73=0,0,Podsumowanie!$E$127*'plan etatów'!Q73/'plan etatów'!$AA$73)</f>
        <v>0</v>
      </c>
      <c r="R139" s="49" t="n">
        <f aca="false">IF('plan etatów'!$AA$73=0,0,Podsumowanie!$E$127*'plan etatów'!R73/'plan etatów'!$AA$73)</f>
        <v>0</v>
      </c>
      <c r="S139" s="49" t="n">
        <f aca="false">IF('plan etatów'!$AA$73=0,0,Podsumowanie!$E$127*'plan etatów'!S73/'plan etatów'!$AA$73)</f>
        <v>0</v>
      </c>
      <c r="T139" s="49" t="n">
        <f aca="false">IF('plan etatów'!$AA$73=0,0,Podsumowanie!$E$127*'plan etatów'!T73/'plan etatów'!$AA$73)</f>
        <v>0</v>
      </c>
      <c r="U139" s="49" t="n">
        <f aca="false">IF('plan etatów'!$AA$73=0,0,Podsumowanie!$E$127*'plan etatów'!U73/'plan etatów'!$AA$73)</f>
        <v>8079</v>
      </c>
      <c r="V139" s="49" t="n">
        <f aca="false">IF('plan etatów'!$AA$73=0,0,Podsumowanie!$E$127*'plan etatów'!V73/'plan etatów'!$AA$73)</f>
        <v>8079</v>
      </c>
      <c r="W139" s="49" t="n">
        <f aca="false">IF('plan etatów'!$AA$73=0,0,Podsumowanie!$E$127*'plan etatów'!W73/'plan etatów'!$AA$73)</f>
        <v>8079</v>
      </c>
      <c r="X139" s="49" t="n">
        <f aca="false">IF('plan etatów'!$AA$73=0,0,Podsumowanie!$E$127*'plan etatów'!X73/'plan etatów'!$AA$73)</f>
        <v>8079</v>
      </c>
      <c r="Y139" s="49" t="n">
        <f aca="false">IF('plan etatów'!$AA$73=0,0,Podsumowanie!$E$127*'plan etatów'!Y73/'plan etatów'!$AA$73)</f>
        <v>0</v>
      </c>
      <c r="Z139" s="49" t="n">
        <f aca="false">IF('plan etatów'!$AA$73=0,0,Podsumowanie!$E$127*'plan etatów'!Z73/'plan etatów'!$AA$73)</f>
        <v>0</v>
      </c>
    </row>
    <row r="140" customFormat="false" ht="15" hidden="false" customHeight="false" outlineLevel="0" collapsed="false">
      <c r="A140" s="40" t="s">
        <v>231</v>
      </c>
      <c r="B140" s="40" t="n">
        <v>1</v>
      </c>
      <c r="C140" s="63" t="n">
        <f aca="false">SUMIF($B$103:$B$139,1,C$103:C$139)</f>
        <v>694707.14</v>
      </c>
      <c r="D140" s="63" t="n">
        <f aca="false">SUMIF($B$103:$B$139,1,D$103:D$139)</f>
        <v>138941.428</v>
      </c>
      <c r="E140" s="63" t="n">
        <f aca="false">SUMIF($B$103:$B$139,1,E$103:E$139)</f>
        <v>138941.428</v>
      </c>
      <c r="F140" s="63" t="n">
        <f aca="false">SUMIF($B$103:$B$139,1,F$103:F$139)</f>
        <v>138941.428</v>
      </c>
      <c r="G140" s="63" t="n">
        <f aca="false">SUMIF($B$103:$B$139,1,G$103:G$139)</f>
        <v>138941.428</v>
      </c>
      <c r="H140" s="63" t="n">
        <f aca="false">SUMIF($B$103:$B$139,1,H$103:H$139)</f>
        <v>138941.428</v>
      </c>
      <c r="I140" s="63" t="n">
        <f aca="false">SUMIF($B$103:$B$139,1,I$103:I$139)</f>
        <v>0</v>
      </c>
      <c r="J140" s="63" t="n">
        <f aca="false">SUMIF($B$103:$B$139,1,J$103:J$139)</f>
        <v>0</v>
      </c>
      <c r="K140" s="63" t="n">
        <f aca="false">SUMIF($B$103:$B$139,1,K$103:K$139)</f>
        <v>0</v>
      </c>
      <c r="L140" s="63" t="n">
        <f aca="false">SUMIF($B$103:$B$139,1,L$103:L$139)</f>
        <v>0</v>
      </c>
      <c r="M140" s="63" t="n">
        <f aca="false">SUMIF($B$103:$B$139,1,M$103:M$139)</f>
        <v>0</v>
      </c>
      <c r="N140" s="63" t="n">
        <f aca="false">SUMIF($B$103:$B$139,1,N$103:N$139)</f>
        <v>0</v>
      </c>
      <c r="O140" s="63" t="n">
        <f aca="false">SUMIF($B$103:$B$139,1,O$103:O$139)</f>
        <v>0</v>
      </c>
      <c r="P140" s="63" t="n">
        <f aca="false">SUMIF($B$103:$B$139,1,P$103:P$139)</f>
        <v>0</v>
      </c>
      <c r="Q140" s="63" t="n">
        <f aca="false">SUMIF($B$103:$B$139,1,Q$103:Q$139)</f>
        <v>0</v>
      </c>
      <c r="R140" s="63" t="n">
        <f aca="false">SUMIF($B$103:$B$139,1,R$103:R$139)</f>
        <v>0</v>
      </c>
      <c r="S140" s="63" t="n">
        <f aca="false">SUMIF($B$103:$B$139,1,S$103:S$139)</f>
        <v>0</v>
      </c>
      <c r="T140" s="63" t="n">
        <f aca="false">SUMIF($B$103:$B$139,1,T$103:T$139)</f>
        <v>0</v>
      </c>
      <c r="U140" s="63" t="n">
        <f aca="false">SUMIF($B$103:$B$139,1,U$103:U$139)</f>
        <v>0</v>
      </c>
      <c r="V140" s="63" t="n">
        <f aca="false">SUMIF($B$103:$B$139,1,V$103:V$139)</f>
        <v>0</v>
      </c>
      <c r="W140" s="63" t="n">
        <f aca="false">SUMIF($B$103:$B$139,1,W$103:W$139)</f>
        <v>0</v>
      </c>
      <c r="X140" s="63" t="n">
        <f aca="false">SUMIF($B$103:$B$139,1,X$103:X$139)</f>
        <v>0</v>
      </c>
      <c r="Y140" s="63" t="n">
        <f aca="false">SUMIF($B$103:$B$139,1,Y$103:Y$139)</f>
        <v>0</v>
      </c>
      <c r="Z140" s="63" t="n">
        <f aca="false">SUMIF($B$103:$B$139,1,Z$103:Z$139)</f>
        <v>0</v>
      </c>
    </row>
    <row r="141" customFormat="false" ht="15" hidden="false" customHeight="false" outlineLevel="0" collapsed="false">
      <c r="A141" s="40" t="s">
        <v>232</v>
      </c>
      <c r="B141" s="40" t="n">
        <v>2</v>
      </c>
      <c r="C141" s="63" t="n">
        <f aca="false">SUMIF($B$103:$B$139,2,C$103:C$139)</f>
        <v>963148.56</v>
      </c>
      <c r="D141" s="63" t="n">
        <f aca="false">SUMIF($B$103:$B$139,2,D$103:D$139)</f>
        <v>0</v>
      </c>
      <c r="E141" s="63" t="n">
        <f aca="false">SUMIF($B$103:$B$139,2,E$103:E$139)</f>
        <v>0</v>
      </c>
      <c r="F141" s="63" t="n">
        <f aca="false">SUMIF($B$103:$B$139,2,F$103:F$139)</f>
        <v>0</v>
      </c>
      <c r="G141" s="63" t="n">
        <f aca="false">SUMIF($B$103:$B$139,2,G$103:G$139)</f>
        <v>0</v>
      </c>
      <c r="H141" s="63" t="n">
        <f aca="false">SUMIF($B$103:$B$139,2,H$103:H$139)</f>
        <v>0</v>
      </c>
      <c r="I141" s="63" t="n">
        <f aca="false">SUMIF($B$103:$B$139,2,I$103:I$139)</f>
        <v>147191.426666667</v>
      </c>
      <c r="J141" s="63" t="n">
        <f aca="false">SUMIF($B$103:$B$139,2,J$103:J$139)</f>
        <v>147191.426666667</v>
      </c>
      <c r="K141" s="63" t="n">
        <f aca="false">SUMIF($B$103:$B$139,2,K$103:K$139)</f>
        <v>147191.426666667</v>
      </c>
      <c r="L141" s="63" t="n">
        <f aca="false">SUMIF($B$103:$B$139,2,L$103:L$139)</f>
        <v>147191.426666667</v>
      </c>
      <c r="M141" s="63" t="n">
        <f aca="false">SUMIF($B$103:$B$139,2,M$103:M$139)</f>
        <v>147191.426666667</v>
      </c>
      <c r="N141" s="63" t="n">
        <f aca="false">SUMIF($B$103:$B$139,2,N$103:N$139)</f>
        <v>227191.426666667</v>
      </c>
      <c r="O141" s="63" t="n">
        <f aca="false">SUMIF($B$103:$B$139,2,O$103:O$139)</f>
        <v>0</v>
      </c>
      <c r="P141" s="63" t="n">
        <f aca="false">SUMIF($B$103:$B$139,2,P$103:P$139)</f>
        <v>0</v>
      </c>
      <c r="Q141" s="63" t="n">
        <f aca="false">SUMIF($B$103:$B$139,2,Q$103:Q$139)</f>
        <v>0</v>
      </c>
      <c r="R141" s="63" t="n">
        <f aca="false">SUMIF($B$103:$B$139,2,R$103:R$139)</f>
        <v>0</v>
      </c>
      <c r="S141" s="63" t="n">
        <f aca="false">SUMIF($B$103:$B$139,2,S$103:S$139)</f>
        <v>0</v>
      </c>
      <c r="T141" s="63" t="n">
        <f aca="false">SUMIF($B$103:$B$139,2,T$103:T$139)</f>
        <v>0</v>
      </c>
      <c r="U141" s="63" t="n">
        <f aca="false">SUMIF($B$103:$B$139,2,U$103:U$139)</f>
        <v>0</v>
      </c>
      <c r="V141" s="63" t="n">
        <f aca="false">SUMIF($B$103:$B$139,2,V$103:V$139)</f>
        <v>0</v>
      </c>
      <c r="W141" s="63" t="n">
        <f aca="false">SUMIF($B$103:$B$139,2,W$103:W$139)</f>
        <v>0</v>
      </c>
      <c r="X141" s="63" t="n">
        <f aca="false">SUMIF($B$103:$B$139,2,X$103:X$139)</f>
        <v>0</v>
      </c>
      <c r="Y141" s="63" t="n">
        <f aca="false">SUMIF($B$103:$B$139,2,Y$103:Y$139)</f>
        <v>0</v>
      </c>
      <c r="Z141" s="63" t="n">
        <f aca="false">SUMIF($B$103:$B$139,2,Z$103:Z$139)</f>
        <v>0</v>
      </c>
    </row>
    <row r="142" customFormat="false" ht="15" hidden="false" customHeight="false" outlineLevel="0" collapsed="false">
      <c r="A142" s="40" t="s">
        <v>233</v>
      </c>
      <c r="B142" s="40" t="n">
        <v>3</v>
      </c>
      <c r="C142" s="63" t="n">
        <f aca="false">SUMIF($B$103:$B$139,3,C$103:C$139)</f>
        <v>883148.56</v>
      </c>
      <c r="D142" s="63" t="n">
        <f aca="false">SUMIF($B$103:$B$139,3,D$103:D$139)</f>
        <v>0</v>
      </c>
      <c r="E142" s="63" t="n">
        <f aca="false">SUMIF($B$103:$B$139,3,E$103:E$139)</f>
        <v>0</v>
      </c>
      <c r="F142" s="63" t="n">
        <f aca="false">SUMIF($B$103:$B$139,3,F$103:F$139)</f>
        <v>0</v>
      </c>
      <c r="G142" s="63" t="n">
        <f aca="false">SUMIF($B$103:$B$139,3,G$103:G$139)</f>
        <v>0</v>
      </c>
      <c r="H142" s="63" t="n">
        <f aca="false">SUMIF($B$103:$B$139,3,H$103:H$139)</f>
        <v>0</v>
      </c>
      <c r="I142" s="63" t="n">
        <f aca="false">SUMIF($B$103:$B$139,3,I$103:I$139)</f>
        <v>0</v>
      </c>
      <c r="J142" s="63" t="n">
        <f aca="false">SUMIF($B$103:$B$139,3,J$103:J$139)</f>
        <v>0</v>
      </c>
      <c r="K142" s="63" t="n">
        <f aca="false">SUMIF($B$103:$B$139,3,K$103:K$139)</f>
        <v>0</v>
      </c>
      <c r="L142" s="63" t="n">
        <f aca="false">SUMIF($B$103:$B$139,3,L$103:L$139)</f>
        <v>0</v>
      </c>
      <c r="M142" s="63" t="n">
        <f aca="false">SUMIF($B$103:$B$139,3,M$103:M$139)</f>
        <v>0</v>
      </c>
      <c r="N142" s="63" t="n">
        <f aca="false">SUMIF($B$103:$B$139,3,N$103:N$139)</f>
        <v>0</v>
      </c>
      <c r="O142" s="63" t="n">
        <f aca="false">SUMIF($B$103:$B$139,3,O$103:O$139)</f>
        <v>147191.426666667</v>
      </c>
      <c r="P142" s="63" t="n">
        <f aca="false">SUMIF($B$103:$B$139,3,P$103:P$139)</f>
        <v>147191.426666667</v>
      </c>
      <c r="Q142" s="63" t="n">
        <f aca="false">SUMIF($B$103:$B$139,3,Q$103:Q$139)</f>
        <v>147191.426666667</v>
      </c>
      <c r="R142" s="63" t="n">
        <f aca="false">SUMIF($B$103:$B$139,3,R$103:R$139)</f>
        <v>147191.426666667</v>
      </c>
      <c r="S142" s="63" t="n">
        <f aca="false">SUMIF($B$103:$B$139,3,S$103:S$139)</f>
        <v>147191.426666667</v>
      </c>
      <c r="T142" s="63" t="n">
        <f aca="false">SUMIF($B$103:$B$139,3,T$103:T$139)</f>
        <v>147191.426666667</v>
      </c>
      <c r="U142" s="63" t="n">
        <f aca="false">SUMIF($B$103:$B$139,3,U$103:U$139)</f>
        <v>0</v>
      </c>
      <c r="V142" s="63" t="n">
        <f aca="false">SUMIF($B$103:$B$139,3,V$103:V$139)</f>
        <v>0</v>
      </c>
      <c r="W142" s="63" t="n">
        <f aca="false">SUMIF($B$103:$B$139,3,W$103:W$139)</f>
        <v>0</v>
      </c>
      <c r="X142" s="63" t="n">
        <f aca="false">SUMIF($B$103:$B$139,3,X$103:X$139)</f>
        <v>0</v>
      </c>
      <c r="Y142" s="63" t="n">
        <f aca="false">SUMIF($B$103:$B$139,3,Y$103:Y$139)</f>
        <v>0</v>
      </c>
      <c r="Z142" s="63" t="n">
        <f aca="false">SUMIF($B$103:$B$139,3,Z$103:Z$139)</f>
        <v>0</v>
      </c>
    </row>
    <row r="143" customFormat="false" ht="15" hidden="false" customHeight="false" outlineLevel="0" collapsed="false">
      <c r="A143" s="40" t="s">
        <v>234</v>
      </c>
      <c r="B143" s="40" t="n">
        <v>4</v>
      </c>
      <c r="C143" s="63" t="n">
        <f aca="false">SUMIF($B$103:$B$139,4,C$103:C$139)</f>
        <v>418942.28</v>
      </c>
      <c r="D143" s="63" t="n">
        <f aca="false">SUMIF($B$103:$B$139,4,D$103:D$139)</f>
        <v>0</v>
      </c>
      <c r="E143" s="63" t="n">
        <f aca="false">SUMIF($B$103:$B$139,4,E$103:E$139)</f>
        <v>0</v>
      </c>
      <c r="F143" s="63" t="n">
        <f aca="false">SUMIF($B$103:$B$139,4,F$103:F$139)</f>
        <v>0</v>
      </c>
      <c r="G143" s="63" t="n">
        <f aca="false">SUMIF($B$103:$B$139,4,G$103:G$139)</f>
        <v>0</v>
      </c>
      <c r="H143" s="63" t="n">
        <f aca="false">SUMIF($B$103:$B$139,4,H$103:H$139)</f>
        <v>0</v>
      </c>
      <c r="I143" s="63" t="n">
        <f aca="false">SUMIF($B$103:$B$139,4,I$103:I$139)</f>
        <v>0</v>
      </c>
      <c r="J143" s="63" t="n">
        <f aca="false">SUMIF($B$103:$B$139,4,J$103:J$139)</f>
        <v>0</v>
      </c>
      <c r="K143" s="63" t="n">
        <f aca="false">SUMIF($B$103:$B$139,4,K$103:K$139)</f>
        <v>0</v>
      </c>
      <c r="L143" s="63" t="n">
        <f aca="false">SUMIF($B$103:$B$139,4,L$103:L$139)</f>
        <v>0</v>
      </c>
      <c r="M143" s="63" t="n">
        <f aca="false">SUMIF($B$103:$B$139,4,M$103:M$139)</f>
        <v>0</v>
      </c>
      <c r="N143" s="63" t="n">
        <f aca="false">SUMIF($B$103:$B$139,4,N$103:N$139)</f>
        <v>0</v>
      </c>
      <c r="O143" s="63" t="n">
        <f aca="false">SUMIF($B$103:$B$139,4,O$103:O$139)</f>
        <v>0</v>
      </c>
      <c r="P143" s="63" t="n">
        <f aca="false">SUMIF($B$103:$B$139,4,P$103:P$139)</f>
        <v>0</v>
      </c>
      <c r="Q143" s="63" t="n">
        <f aca="false">SUMIF($B$103:$B$139,4,Q$103:Q$139)</f>
        <v>0</v>
      </c>
      <c r="R143" s="63" t="n">
        <f aca="false">SUMIF($B$103:$B$139,4,R$103:R$139)</f>
        <v>0</v>
      </c>
      <c r="S143" s="63" t="n">
        <f aca="false">SUMIF($B$103:$B$139,4,S$103:S$139)</f>
        <v>0</v>
      </c>
      <c r="T143" s="63" t="n">
        <f aca="false">SUMIF($B$103:$B$139,4,T$103:T$139)</f>
        <v>0</v>
      </c>
      <c r="U143" s="63" t="n">
        <f aca="false">SUMIF($B$103:$B$139,4,U$103:U$139)</f>
        <v>104735.57</v>
      </c>
      <c r="V143" s="63" t="n">
        <f aca="false">SUMIF($B$103:$B$139,4,V$103:V$139)</f>
        <v>104735.57</v>
      </c>
      <c r="W143" s="63" t="n">
        <f aca="false">SUMIF($B$103:$B$139,4,W$103:W$139)</f>
        <v>104735.57</v>
      </c>
      <c r="X143" s="63" t="n">
        <f aca="false">SUMIF($B$103:$B$139,4,X$103:X$139)</f>
        <v>104735.57</v>
      </c>
      <c r="Y143" s="63" t="n">
        <f aca="false">SUMIF($B$103:$B$139,4,Y$103:Y$139)</f>
        <v>0</v>
      </c>
      <c r="Z143" s="63" t="n">
        <f aca="false">SUMIF($B$103:$B$139,4,Z$103:Z$139)</f>
        <v>0</v>
      </c>
    </row>
    <row r="144" customFormat="false" ht="15" hidden="false" customHeight="false" outlineLevel="0" collapsed="false">
      <c r="A144" s="40" t="s">
        <v>60</v>
      </c>
      <c r="B144" s="40"/>
      <c r="C144" s="63" t="n">
        <f aca="false">SUM(C140:C143)</f>
        <v>2959946.54</v>
      </c>
      <c r="D144" s="63" t="n">
        <f aca="false">SUM(D140:D143)</f>
        <v>138941.428</v>
      </c>
      <c r="E144" s="63" t="n">
        <f aca="false">SUM(E140:E143)</f>
        <v>138941.428</v>
      </c>
      <c r="F144" s="63" t="n">
        <f aca="false">SUM(F140:F143)</f>
        <v>138941.428</v>
      </c>
      <c r="G144" s="63" t="n">
        <f aca="false">SUM(G140:G143)</f>
        <v>138941.428</v>
      </c>
      <c r="H144" s="63" t="n">
        <f aca="false">SUM(H140:H143)</f>
        <v>138941.428</v>
      </c>
      <c r="I144" s="63" t="n">
        <f aca="false">SUM(I140:I143)</f>
        <v>147191.426666667</v>
      </c>
      <c r="J144" s="63" t="n">
        <f aca="false">SUM(J140:J143)</f>
        <v>147191.426666667</v>
      </c>
      <c r="K144" s="63" t="n">
        <f aca="false">SUM(K140:K143)</f>
        <v>147191.426666667</v>
      </c>
      <c r="L144" s="63" t="n">
        <f aca="false">SUM(L140:L143)</f>
        <v>147191.426666667</v>
      </c>
      <c r="M144" s="63" t="n">
        <f aca="false">SUM(M140:M143)</f>
        <v>147191.426666667</v>
      </c>
      <c r="N144" s="63" t="n">
        <f aca="false">SUM(N140:N143)</f>
        <v>227191.426666667</v>
      </c>
      <c r="O144" s="63" t="n">
        <f aca="false">SUM(O140:O143)</f>
        <v>147191.426666667</v>
      </c>
      <c r="P144" s="63" t="n">
        <f aca="false">SUM(P140:P143)</f>
        <v>147191.426666667</v>
      </c>
      <c r="Q144" s="63" t="n">
        <f aca="false">SUM(Q140:Q143)</f>
        <v>147191.426666667</v>
      </c>
      <c r="R144" s="63" t="n">
        <f aca="false">SUM(R140:R143)</f>
        <v>147191.426666667</v>
      </c>
      <c r="S144" s="63" t="n">
        <f aca="false">SUM(S140:S143)</f>
        <v>147191.426666667</v>
      </c>
      <c r="T144" s="63" t="n">
        <f aca="false">SUM(T140:T143)</f>
        <v>147191.426666667</v>
      </c>
      <c r="U144" s="63" t="n">
        <f aca="false">SUM(U140:U143)</f>
        <v>104735.57</v>
      </c>
      <c r="V144" s="63" t="n">
        <f aca="false">SUM(V140:V143)</f>
        <v>104735.57</v>
      </c>
      <c r="W144" s="63" t="n">
        <f aca="false">SUM(W140:W143)</f>
        <v>104735.57</v>
      </c>
      <c r="X144" s="63" t="n">
        <f aca="false">SUM(X140:X143)</f>
        <v>104735.57</v>
      </c>
      <c r="Y144" s="63" t="n">
        <f aca="false">SUM(Y140:Y143)</f>
        <v>0</v>
      </c>
      <c r="Z144" s="63" t="n">
        <f aca="false">SUM(Z140:Z143)</f>
        <v>0</v>
      </c>
    </row>
    <row r="145" customFormat="false" ht="15" hidden="false" customHeight="false" outlineLevel="0" collapsed="false">
      <c r="A145" s="40" t="s">
        <v>235</v>
      </c>
      <c r="B145" s="40"/>
      <c r="C145" s="63" t="n">
        <f aca="false">IF($C$50=0,0,C51*$C$144/$C$50)</f>
        <v>739986.635</v>
      </c>
      <c r="D145" s="63" t="n">
        <f aca="false">IF($C$50=0,0,D51*$C$144/$C$50)</f>
        <v>33170.408971358</v>
      </c>
      <c r="E145" s="63" t="n">
        <f aca="false">IF($C$50=0,0,E51*$C$144/$C$50)</f>
        <v>33170.408971358</v>
      </c>
      <c r="F145" s="63" t="n">
        <f aca="false">IF($C$50=0,0,F51*$C$144/$C$50)</f>
        <v>33170.408971358</v>
      </c>
      <c r="G145" s="63" t="n">
        <f aca="false">IF($C$50=0,0,G51*$C$144/$C$50)</f>
        <v>33170.408971358</v>
      </c>
      <c r="H145" s="63" t="n">
        <f aca="false">IF($C$50=0,0,H51*$C$144/$C$50)</f>
        <v>33170.408971358</v>
      </c>
      <c r="I145" s="63" t="n">
        <f aca="false">IF($C$50=0,0,I51*$C$144/$C$50)</f>
        <v>35139.9860070979</v>
      </c>
      <c r="J145" s="63" t="n">
        <f aca="false">IF($C$50=0,0,J51*$C$144/$C$50)</f>
        <v>35139.9860070979</v>
      </c>
      <c r="K145" s="63" t="n">
        <f aca="false">IF($C$50=0,0,K51*$C$144/$C$50)</f>
        <v>35139.9860070979</v>
      </c>
      <c r="L145" s="63" t="n">
        <f aca="false">IF($C$50=0,0,L51*$C$144/$C$50)</f>
        <v>35139.9860070979</v>
      </c>
      <c r="M145" s="63" t="n">
        <f aca="false">IF($C$50=0,0,M51*$C$144/$C$50)</f>
        <v>35139.9860070979</v>
      </c>
      <c r="N145" s="63" t="n">
        <f aca="false">IF($C$50=0,0,N51*$C$144/$C$50)</f>
        <v>54238.9166905331</v>
      </c>
      <c r="O145" s="63" t="n">
        <f aca="false">IF($C$50=0,0,O51*$C$144/$C$50)</f>
        <v>35139.9860070979</v>
      </c>
      <c r="P145" s="63" t="n">
        <f aca="false">IF($C$50=0,0,P51*$C$144/$C$50)</f>
        <v>35139.9860070979</v>
      </c>
      <c r="Q145" s="63" t="n">
        <f aca="false">IF($C$50=0,0,Q51*$C$144/$C$50)</f>
        <v>35139.9860070979</v>
      </c>
      <c r="R145" s="63" t="n">
        <f aca="false">IF($C$50=0,0,R51*$C$144/$C$50)</f>
        <v>35139.9860070979</v>
      </c>
      <c r="S145" s="63" t="n">
        <f aca="false">IF($C$50=0,0,S51*$C$144/$C$50)</f>
        <v>35139.9860070979</v>
      </c>
      <c r="T145" s="63" t="n">
        <f aca="false">IF($C$50=0,0,T51*$C$144/$C$50)</f>
        <v>35139.9860070979</v>
      </c>
      <c r="U145" s="63" t="n">
        <f aca="false">IF($C$50=0,0,U51*$C$144/$C$50)</f>
        <v>33338.95684365</v>
      </c>
      <c r="V145" s="63" t="n">
        <f aca="false">IF($C$50=0,0,V51*$C$144/$C$50)</f>
        <v>33338.95684365</v>
      </c>
      <c r="W145" s="63" t="n">
        <f aca="false">IF($C$50=0,0,W51*$C$144/$C$50)</f>
        <v>33338.95684365</v>
      </c>
      <c r="X145" s="63" t="n">
        <f aca="false">IF($C$50=0,0,X51*$C$144/$C$50)</f>
        <v>33338.95684365</v>
      </c>
      <c r="Y145" s="63" t="n">
        <f aca="false">IF($C$50=0,0,Y51*$C$144/$C$50)</f>
        <v>0</v>
      </c>
      <c r="Z145" s="63" t="n">
        <f aca="false">IF($C$50=0,0,Z51*$C$144/$C$50)</f>
        <v>0</v>
      </c>
    </row>
    <row r="146" customFormat="false" ht="15" hidden="false" customHeight="false" outlineLevel="0" collapsed="false">
      <c r="A146" s="40" t="s">
        <v>236</v>
      </c>
      <c r="B146" s="40"/>
      <c r="C146" s="63" t="n">
        <f aca="false">C144+C145</f>
        <v>3699933.175</v>
      </c>
      <c r="D146" s="63" t="n">
        <f aca="false">D144+D145</f>
        <v>172111.836971358</v>
      </c>
      <c r="E146" s="63" t="n">
        <f aca="false">E144+E145</f>
        <v>172111.836971358</v>
      </c>
      <c r="F146" s="63" t="n">
        <f aca="false">F144+F145</f>
        <v>172111.836971358</v>
      </c>
      <c r="G146" s="63" t="n">
        <f aca="false">G144+G145</f>
        <v>172111.836971358</v>
      </c>
      <c r="H146" s="63" t="n">
        <f aca="false">H144+H145</f>
        <v>172111.836971358</v>
      </c>
      <c r="I146" s="63" t="n">
        <f aca="false">I144+I145</f>
        <v>182331.412673765</v>
      </c>
      <c r="J146" s="63" t="n">
        <f aca="false">J144+J145</f>
        <v>182331.412673765</v>
      </c>
      <c r="K146" s="63" t="n">
        <f aca="false">K144+K145</f>
        <v>182331.412673765</v>
      </c>
      <c r="L146" s="63" t="n">
        <f aca="false">L144+L145</f>
        <v>182331.412673765</v>
      </c>
      <c r="M146" s="63" t="n">
        <f aca="false">M144+M145</f>
        <v>182331.412673765</v>
      </c>
      <c r="N146" s="63" t="n">
        <f aca="false">N144+N145</f>
        <v>281430.3433572</v>
      </c>
      <c r="O146" s="63" t="n">
        <f aca="false">O144+O145</f>
        <v>182331.412673765</v>
      </c>
      <c r="P146" s="63" t="n">
        <f aca="false">P144+P145</f>
        <v>182331.412673765</v>
      </c>
      <c r="Q146" s="63" t="n">
        <f aca="false">Q144+Q145</f>
        <v>182331.412673765</v>
      </c>
      <c r="R146" s="63" t="n">
        <f aca="false">R144+R145</f>
        <v>182331.412673765</v>
      </c>
      <c r="S146" s="63" t="n">
        <f aca="false">S144+S145</f>
        <v>182331.412673765</v>
      </c>
      <c r="T146" s="63" t="n">
        <f aca="false">T144+T145</f>
        <v>182331.412673765</v>
      </c>
      <c r="U146" s="63" t="n">
        <f aca="false">U144+U145</f>
        <v>138074.52684365</v>
      </c>
      <c r="V146" s="63" t="n">
        <f aca="false">V144+V145</f>
        <v>138074.52684365</v>
      </c>
      <c r="W146" s="63" t="n">
        <f aca="false">W144+W145</f>
        <v>138074.52684365</v>
      </c>
      <c r="X146" s="63" t="n">
        <f aca="false">X144+X145</f>
        <v>138074.52684365</v>
      </c>
      <c r="Y146" s="63" t="n">
        <f aca="false">Y144+Y145</f>
        <v>0</v>
      </c>
      <c r="Z146" s="63" t="n">
        <f aca="false">Z144+Z145</f>
        <v>0</v>
      </c>
    </row>
    <row r="147" customFormat="false" ht="15" hidden="false" customHeight="false" outlineLevel="0" collapsed="false">
      <c r="A147" s="40" t="s">
        <v>237</v>
      </c>
      <c r="B147" s="40"/>
      <c r="C147" s="63"/>
      <c r="D147" s="63" t="n">
        <f aca="false">D146</f>
        <v>172111.836971358</v>
      </c>
      <c r="E147" s="63" t="n">
        <f aca="false">D147+E146</f>
        <v>344223.673942716</v>
      </c>
      <c r="F147" s="63" t="n">
        <f aca="false">E147+F146</f>
        <v>516335.510914074</v>
      </c>
      <c r="G147" s="63" t="n">
        <f aca="false">F147+G146</f>
        <v>688447.347885432</v>
      </c>
      <c r="H147" s="63" t="n">
        <f aca="false">G147+H146</f>
        <v>860559.18485679</v>
      </c>
      <c r="I147" s="63" t="n">
        <f aca="false">H147+I146</f>
        <v>1042890.59753055</v>
      </c>
      <c r="J147" s="63" t="n">
        <f aca="false">I147+J146</f>
        <v>1225222.01020432</v>
      </c>
      <c r="K147" s="63" t="n">
        <f aca="false">J147+K146</f>
        <v>1407553.42287808</v>
      </c>
      <c r="L147" s="63" t="n">
        <f aca="false">K147+L146</f>
        <v>1589884.83555185</v>
      </c>
      <c r="M147" s="63" t="n">
        <f aca="false">L147+M146</f>
        <v>1772216.24822561</v>
      </c>
      <c r="N147" s="63" t="n">
        <f aca="false">M147+N146</f>
        <v>2053646.59158281</v>
      </c>
      <c r="O147" s="63" t="n">
        <f aca="false">N147+O146</f>
        <v>2235978.00425658</v>
      </c>
      <c r="P147" s="63" t="n">
        <f aca="false">O147+P146</f>
        <v>2418309.41693034</v>
      </c>
      <c r="Q147" s="63" t="n">
        <f aca="false">P147+Q146</f>
        <v>2600640.82960411</v>
      </c>
      <c r="R147" s="63" t="n">
        <f aca="false">Q147+R146</f>
        <v>2782972.24227787</v>
      </c>
      <c r="S147" s="63" t="n">
        <f aca="false">R147+S146</f>
        <v>2965303.65495164</v>
      </c>
      <c r="T147" s="63" t="n">
        <f aca="false">S147+T146</f>
        <v>3147635.0676254</v>
      </c>
      <c r="U147" s="63" t="n">
        <f aca="false">T147+U146</f>
        <v>3285709.59446905</v>
      </c>
      <c r="V147" s="63" t="n">
        <f aca="false">U147+V146</f>
        <v>3423784.1213127</v>
      </c>
      <c r="W147" s="63" t="n">
        <f aca="false">V147+W146</f>
        <v>3561858.64815635</v>
      </c>
      <c r="X147" s="63" t="n">
        <f aca="false">W147+X146</f>
        <v>3699933.175</v>
      </c>
      <c r="Y147" s="63" t="n">
        <f aca="false">X147+Y146</f>
        <v>3699933.175</v>
      </c>
      <c r="Z147" s="63" t="n">
        <f aca="false">Y147+Z146</f>
        <v>3699933.175</v>
      </c>
    </row>
    <row r="148" customFormat="false" ht="15" hidden="false" customHeight="false" outlineLevel="0" collapsed="false">
      <c r="A148" s="41"/>
      <c r="B148" s="41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 customFormat="false" ht="15" hidden="false" customHeight="false" outlineLevel="0" collapsed="false">
      <c r="A149" s="64" t="s">
        <v>240</v>
      </c>
      <c r="B149" s="65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customFormat="false" ht="15" hidden="false" customHeight="false" outlineLevel="0" collapsed="false">
      <c r="A150" s="41" t="s">
        <v>14</v>
      </c>
      <c r="B150" s="41" t="n">
        <v>1</v>
      </c>
      <c r="C150" s="49" t="n">
        <f aca="false">SUM(D150:Z150)</f>
        <v>221600</v>
      </c>
      <c r="D150" s="49" t="n">
        <f aca="false">IF('plan etatów'!$AA$78=0,0,'nowy format 2'!$D$4*'plan etatów'!D78/'plan etatów'!$AA$78)</f>
        <v>44320</v>
      </c>
      <c r="E150" s="49" t="n">
        <f aca="false">IF('plan etatów'!$AA$78=0,0,'nowy format 2'!$D$4*'plan etatów'!E78/'plan etatów'!$AA$78)</f>
        <v>44320</v>
      </c>
      <c r="F150" s="49" t="n">
        <f aca="false">IF('plan etatów'!$AA$78=0,0,'nowy format 2'!$D$4*'plan etatów'!F78/'plan etatów'!$AA$78)</f>
        <v>44320</v>
      </c>
      <c r="G150" s="49" t="n">
        <f aca="false">IF('plan etatów'!$AA$78=0,0,'nowy format 2'!$D$4*'plan etatów'!G78/'plan etatów'!$AA$78)</f>
        <v>44320</v>
      </c>
      <c r="H150" s="49" t="n">
        <f aca="false">IF('plan etatów'!$AA$78=0,0,'nowy format 2'!$D$4*'plan etatów'!H78/'plan etatów'!$AA$78)</f>
        <v>44320</v>
      </c>
      <c r="I150" s="49" t="n">
        <f aca="false">IF('plan etatów'!$AA$78=0,0,'nowy format 2'!$D$4*'plan etatów'!I78/'plan etatów'!$AA$78)</f>
        <v>0</v>
      </c>
      <c r="J150" s="49" t="n">
        <f aca="false">IF('plan etatów'!$AA$78=0,0,'nowy format 2'!$D$4*'plan etatów'!J78/'plan etatów'!$AA$78)</f>
        <v>0</v>
      </c>
      <c r="K150" s="49" t="n">
        <f aca="false">IF('plan etatów'!$AA$78=0,0,'nowy format 2'!$D$4*'plan etatów'!K78/'plan etatów'!$AA$78)</f>
        <v>0</v>
      </c>
      <c r="L150" s="49" t="n">
        <f aca="false">IF('plan etatów'!$AA$78=0,0,'nowy format 2'!$D$4*'plan etatów'!L78/'plan etatów'!$AA$78)</f>
        <v>0</v>
      </c>
      <c r="M150" s="49" t="n">
        <f aca="false">IF('plan etatów'!$AA$78=0,0,'nowy format 2'!$D$4*'plan etatów'!M78/'plan etatów'!$AA$78)</f>
        <v>0</v>
      </c>
      <c r="N150" s="49" t="n">
        <f aca="false">IF('plan etatów'!$AA$78=0,0,'nowy format 2'!$D$4*'plan etatów'!N78/'plan etatów'!$AA$78)</f>
        <v>0</v>
      </c>
      <c r="O150" s="49" t="n">
        <f aca="false">IF('plan etatów'!$AA$78=0,0,'nowy format 2'!$D$4*'plan etatów'!O78/'plan etatów'!$AA$78)</f>
        <v>0</v>
      </c>
      <c r="P150" s="49" t="n">
        <f aca="false">IF('plan etatów'!$AA$78=0,0,'nowy format 2'!$D$4*'plan etatów'!P78/'plan etatów'!$AA$78)</f>
        <v>0</v>
      </c>
      <c r="Q150" s="49" t="n">
        <f aca="false">IF('plan etatów'!$AA$78=0,0,'nowy format 2'!$D$4*'plan etatów'!Q78/'plan etatów'!$AA$78)</f>
        <v>0</v>
      </c>
      <c r="R150" s="49" t="n">
        <f aca="false">IF('plan etatów'!$AA$78=0,0,'nowy format 2'!$D$4*'plan etatów'!R78/'plan etatów'!$AA$78)</f>
        <v>0</v>
      </c>
      <c r="S150" s="49" t="n">
        <f aca="false">IF('plan etatów'!$AA$78=0,0,'nowy format 2'!$D$4*'plan etatów'!S78/'plan etatów'!$AA$78)</f>
        <v>0</v>
      </c>
      <c r="T150" s="49" t="n">
        <f aca="false">IF('plan etatów'!$AA$78=0,0,'nowy format 2'!$D$4*'plan etatów'!T78/'plan etatów'!$AA$78)</f>
        <v>0</v>
      </c>
      <c r="U150" s="49" t="n">
        <f aca="false">IF('plan etatów'!$AA$78=0,0,'nowy format 2'!$D$4*'plan etatów'!U78/'plan etatów'!$AA$78)</f>
        <v>0</v>
      </c>
      <c r="V150" s="49" t="n">
        <f aca="false">IF('plan etatów'!$AA$78=0,0,'nowy format 2'!$D$4*'plan etatów'!V78/'plan etatów'!$AA$78)</f>
        <v>0</v>
      </c>
      <c r="W150" s="49" t="n">
        <f aca="false">IF('plan etatów'!$AA$78=0,0,'nowy format 2'!$D$4*'plan etatów'!W78/'plan etatów'!$AA$78)</f>
        <v>0</v>
      </c>
      <c r="X150" s="49" t="n">
        <f aca="false">IF('plan etatów'!$AA$78=0,0,'nowy format 2'!$D$4*'plan etatów'!X78/'plan etatów'!$AA$78)</f>
        <v>0</v>
      </c>
      <c r="Y150" s="49" t="n">
        <f aca="false">IF('plan etatów'!$AA$78=0,0,'nowy format 2'!$D$4*'plan etatów'!Y78/'plan etatów'!$AA$78)</f>
        <v>0</v>
      </c>
      <c r="Z150" s="49" t="n">
        <f aca="false">IF('plan etatów'!$AA$78=0,0,'nowy format 2'!$D$4*'plan etatów'!Z78/'plan etatów'!$AA$78)</f>
        <v>0</v>
      </c>
    </row>
    <row r="151" customFormat="false" ht="15" hidden="false" customHeight="false" outlineLevel="0" collapsed="false">
      <c r="A151" s="41" t="s">
        <v>15</v>
      </c>
      <c r="B151" s="41" t="n">
        <v>1</v>
      </c>
      <c r="C151" s="49" t="n">
        <f aca="false">SUM(D151:Z151)</f>
        <v>75440</v>
      </c>
      <c r="D151" s="49" t="n">
        <f aca="false">IF('plan etatów'!$AA$79=0,0,'nowy format 2'!$D$5*'plan etatów'!D79/'plan etatów'!$AA$79)</f>
        <v>15088</v>
      </c>
      <c r="E151" s="49" t="n">
        <f aca="false">IF('plan etatów'!$AA$79=0,0,'nowy format 2'!$D$5*'plan etatów'!E79/'plan etatów'!$AA$79)</f>
        <v>15088</v>
      </c>
      <c r="F151" s="49" t="n">
        <f aca="false">IF('plan etatów'!$AA$79=0,0,'nowy format 2'!$D$5*'plan etatów'!F79/'plan etatów'!$AA$79)</f>
        <v>15088</v>
      </c>
      <c r="G151" s="49" t="n">
        <f aca="false">IF('plan etatów'!$AA$79=0,0,'nowy format 2'!$D$5*'plan etatów'!G79/'plan etatów'!$AA$79)</f>
        <v>15088</v>
      </c>
      <c r="H151" s="49" t="n">
        <f aca="false">IF('plan etatów'!$AA$79=0,0,'nowy format 2'!$D$5*'plan etatów'!H79/'plan etatów'!$AA$79)</f>
        <v>15088</v>
      </c>
      <c r="I151" s="49" t="n">
        <f aca="false">IF('plan etatów'!$AA$79=0,0,'nowy format 2'!$D$5*'plan etatów'!I79/'plan etatów'!$AA$79)</f>
        <v>0</v>
      </c>
      <c r="J151" s="49" t="n">
        <f aca="false">IF('plan etatów'!$AA$79=0,0,'nowy format 2'!$D$5*'plan etatów'!J79/'plan etatów'!$AA$79)</f>
        <v>0</v>
      </c>
      <c r="K151" s="49" t="n">
        <f aca="false">IF('plan etatów'!$AA$79=0,0,'nowy format 2'!$D$5*'plan etatów'!K79/'plan etatów'!$AA$79)</f>
        <v>0</v>
      </c>
      <c r="L151" s="49" t="n">
        <f aca="false">IF('plan etatów'!$AA$79=0,0,'nowy format 2'!$D$5*'plan etatów'!L79/'plan etatów'!$AA$79)</f>
        <v>0</v>
      </c>
      <c r="M151" s="49" t="n">
        <f aca="false">IF('plan etatów'!$AA$79=0,0,'nowy format 2'!$D$5*'plan etatów'!M79/'plan etatów'!$AA$79)</f>
        <v>0</v>
      </c>
      <c r="N151" s="49" t="n">
        <f aca="false">IF('plan etatów'!$AA$79=0,0,'nowy format 2'!$D$5*'plan etatów'!N79/'plan etatów'!$AA$79)</f>
        <v>0</v>
      </c>
      <c r="O151" s="49" t="n">
        <f aca="false">IF('plan etatów'!$AA$79=0,0,'nowy format 2'!$D$5*'plan etatów'!O79/'plan etatów'!$AA$79)</f>
        <v>0</v>
      </c>
      <c r="P151" s="49" t="n">
        <f aca="false">IF('plan etatów'!$AA$79=0,0,'nowy format 2'!$D$5*'plan etatów'!P79/'plan etatów'!$AA$79)</f>
        <v>0</v>
      </c>
      <c r="Q151" s="49" t="n">
        <f aca="false">IF('plan etatów'!$AA$79=0,0,'nowy format 2'!$D$5*'plan etatów'!Q79/'plan etatów'!$AA$79)</f>
        <v>0</v>
      </c>
      <c r="R151" s="49" t="n">
        <f aca="false">IF('plan etatów'!$AA$79=0,0,'nowy format 2'!$D$5*'plan etatów'!R79/'plan etatów'!$AA$79)</f>
        <v>0</v>
      </c>
      <c r="S151" s="49" t="n">
        <f aca="false">IF('plan etatów'!$AA$79=0,0,'nowy format 2'!$D$5*'plan etatów'!S79/'plan etatów'!$AA$79)</f>
        <v>0</v>
      </c>
      <c r="T151" s="49" t="n">
        <f aca="false">IF('plan etatów'!$AA$79=0,0,'nowy format 2'!$D$5*'plan etatów'!T79/'plan etatów'!$AA$79)</f>
        <v>0</v>
      </c>
      <c r="U151" s="49" t="n">
        <f aca="false">IF('plan etatów'!$AA$79=0,0,'nowy format 2'!$D$5*'plan etatów'!U79/'plan etatów'!$AA$79)</f>
        <v>0</v>
      </c>
      <c r="V151" s="49" t="n">
        <f aca="false">IF('plan etatów'!$AA$79=0,0,'nowy format 2'!$D$5*'plan etatów'!V79/'plan etatów'!$AA$79)</f>
        <v>0</v>
      </c>
      <c r="W151" s="49" t="n">
        <f aca="false">IF('plan etatów'!$AA$79=0,0,'nowy format 2'!$D$5*'plan etatów'!W79/'plan etatów'!$AA$79)</f>
        <v>0</v>
      </c>
      <c r="X151" s="49" t="n">
        <f aca="false">IF('plan etatów'!$AA$79=0,0,'nowy format 2'!$D$5*'plan etatów'!X79/'plan etatów'!$AA$79)</f>
        <v>0</v>
      </c>
      <c r="Y151" s="49" t="n">
        <f aca="false">IF('plan etatów'!$AA$79=0,0,'nowy format 2'!$D$5*'plan etatów'!Y79/'plan etatów'!$AA$79)</f>
        <v>0</v>
      </c>
      <c r="Z151" s="49" t="n">
        <f aca="false">IF('plan etatów'!$AA$79=0,0,'nowy format 2'!$D$5*'plan etatów'!Z79/'plan etatów'!$AA$79)</f>
        <v>0</v>
      </c>
    </row>
    <row r="152" customFormat="false" ht="15" hidden="false" customHeight="false" outlineLevel="0" collapsed="false">
      <c r="A152" s="41" t="s">
        <v>16</v>
      </c>
      <c r="B152" s="41" t="n">
        <v>1</v>
      </c>
      <c r="C152" s="49" t="n">
        <f aca="false">SUM(D152:Z152)</f>
        <v>97595.98</v>
      </c>
      <c r="D152" s="49" t="n">
        <f aca="false">IF('plan etatów'!$AA$80=0,0,'nowy format 2'!$D$6*'plan etatów'!D80/'plan etatów'!$AA$80)</f>
        <v>21687.9955555556</v>
      </c>
      <c r="E152" s="49" t="n">
        <f aca="false">IF('plan etatów'!$AA$80=0,0,'nowy format 2'!$D$6*'plan etatów'!E80/'plan etatów'!$AA$80)</f>
        <v>21687.9955555556</v>
      </c>
      <c r="F152" s="49" t="n">
        <f aca="false">IF('plan etatów'!$AA$80=0,0,'nowy format 2'!$D$6*'plan etatów'!F80/'plan etatów'!$AA$80)</f>
        <v>21687.9955555556</v>
      </c>
      <c r="G152" s="49" t="n">
        <f aca="false">IF('plan etatów'!$AA$80=0,0,'nowy format 2'!$D$6*'plan etatów'!G80/'plan etatów'!$AA$80)</f>
        <v>16265.9966666667</v>
      </c>
      <c r="H152" s="49" t="n">
        <f aca="false">IF('plan etatów'!$AA$80=0,0,'nowy format 2'!$D$6*'plan etatów'!H80/'plan etatów'!$AA$80)</f>
        <v>16265.9966666667</v>
      </c>
      <c r="I152" s="49" t="n">
        <f aca="false">IF('plan etatów'!$AA$80=0,0,'nowy format 2'!$D$6*'plan etatów'!I80/'plan etatów'!$AA$80)</f>
        <v>0</v>
      </c>
      <c r="J152" s="49" t="n">
        <f aca="false">IF('plan etatów'!$AA$80=0,0,'nowy format 2'!$D$6*'plan etatów'!J80/'plan etatów'!$AA$80)</f>
        <v>0</v>
      </c>
      <c r="K152" s="49" t="n">
        <f aca="false">IF('plan etatów'!$AA$80=0,0,'nowy format 2'!$D$6*'plan etatów'!K80/'plan etatów'!$AA$80)</f>
        <v>0</v>
      </c>
      <c r="L152" s="49" t="n">
        <f aca="false">IF('plan etatów'!$AA$80=0,0,'nowy format 2'!$D$6*'plan etatów'!L80/'plan etatów'!$AA$80)</f>
        <v>0</v>
      </c>
      <c r="M152" s="49" t="n">
        <f aca="false">IF('plan etatów'!$AA$80=0,0,'nowy format 2'!$D$6*'plan etatów'!M80/'plan etatów'!$AA$80)</f>
        <v>0</v>
      </c>
      <c r="N152" s="49" t="n">
        <f aca="false">IF('plan etatów'!$AA$80=0,0,'nowy format 2'!$D$6*'plan etatów'!N80/'plan etatów'!$AA$80)</f>
        <v>0</v>
      </c>
      <c r="O152" s="49" t="n">
        <f aca="false">IF('plan etatów'!$AA$80=0,0,'nowy format 2'!$D$6*'plan etatów'!O80/'plan etatów'!$AA$80)</f>
        <v>0</v>
      </c>
      <c r="P152" s="49" t="n">
        <f aca="false">IF('plan etatów'!$AA$80=0,0,'nowy format 2'!$D$6*'plan etatów'!P80/'plan etatów'!$AA$80)</f>
        <v>0</v>
      </c>
      <c r="Q152" s="49" t="n">
        <f aca="false">IF('plan etatów'!$AA$80=0,0,'nowy format 2'!$D$6*'plan etatów'!Q80/'plan etatów'!$AA$80)</f>
        <v>0</v>
      </c>
      <c r="R152" s="49" t="n">
        <f aca="false">IF('plan etatów'!$AA$80=0,0,'nowy format 2'!$D$6*'plan etatów'!R80/'plan etatów'!$AA$80)</f>
        <v>0</v>
      </c>
      <c r="S152" s="49" t="n">
        <f aca="false">IF('plan etatów'!$AA$80=0,0,'nowy format 2'!$D$6*'plan etatów'!S80/'plan etatów'!$AA$80)</f>
        <v>0</v>
      </c>
      <c r="T152" s="49" t="n">
        <f aca="false">IF('plan etatów'!$AA$80=0,0,'nowy format 2'!$D$6*'plan etatów'!T80/'plan etatów'!$AA$80)</f>
        <v>0</v>
      </c>
      <c r="U152" s="49" t="n">
        <f aca="false">IF('plan etatów'!$AA$80=0,0,'nowy format 2'!$D$6*'plan etatów'!U80/'plan etatów'!$AA$80)</f>
        <v>0</v>
      </c>
      <c r="V152" s="49" t="n">
        <f aca="false">IF('plan etatów'!$AA$80=0,0,'nowy format 2'!$D$6*'plan etatów'!V80/'plan etatów'!$AA$80)</f>
        <v>0</v>
      </c>
      <c r="W152" s="49" t="n">
        <f aca="false">IF('plan etatów'!$AA$80=0,0,'nowy format 2'!$D$6*'plan etatów'!W80/'plan etatów'!$AA$80)</f>
        <v>0</v>
      </c>
      <c r="X152" s="49" t="n">
        <f aca="false">IF('plan etatów'!$AA$80=0,0,'nowy format 2'!$D$6*'plan etatów'!X80/'plan etatów'!$AA$80)</f>
        <v>0</v>
      </c>
      <c r="Y152" s="49" t="n">
        <f aca="false">IF('plan etatów'!$AA$80=0,0,'nowy format 2'!$D$6*'plan etatów'!Y80/'plan etatów'!$AA$80)</f>
        <v>0</v>
      </c>
      <c r="Z152" s="49" t="n">
        <f aca="false">IF('plan etatów'!$AA$80=0,0,'nowy format 2'!$D$6*'plan etatów'!Z80/'plan etatów'!$AA$80)</f>
        <v>0</v>
      </c>
    </row>
    <row r="153" customFormat="false" ht="15" hidden="false" customHeight="false" outlineLevel="0" collapsed="false">
      <c r="A153" s="41" t="s">
        <v>17</v>
      </c>
      <c r="B153" s="41" t="n">
        <v>1</v>
      </c>
      <c r="C153" s="49" t="n">
        <f aca="false">SUM(D153:Z153)</f>
        <v>40662.83</v>
      </c>
      <c r="D153" s="49" t="n">
        <f aca="false">IF('plan etatów'!$AA$81=0,0,'nowy format 2'!$D$7*'plan etatów'!D81/'plan etatów'!$AA$81)</f>
        <v>8132.566</v>
      </c>
      <c r="E153" s="49" t="n">
        <f aca="false">IF('plan etatów'!$AA$81=0,0,'nowy format 2'!$D$7*'plan etatów'!E81/'plan etatów'!$AA$81)</f>
        <v>8132.566</v>
      </c>
      <c r="F153" s="49" t="n">
        <f aca="false">IF('plan etatów'!$AA$81=0,0,'nowy format 2'!$D$7*'plan etatów'!F81/'plan etatów'!$AA$81)</f>
        <v>8132.566</v>
      </c>
      <c r="G153" s="49" t="n">
        <f aca="false">IF('plan etatów'!$AA$81=0,0,'nowy format 2'!$D$7*'plan etatów'!G81/'plan etatów'!$AA$81)</f>
        <v>8132.566</v>
      </c>
      <c r="H153" s="49" t="n">
        <f aca="false">IF('plan etatów'!$AA$81=0,0,'nowy format 2'!$D$7*'plan etatów'!H81/'plan etatów'!$AA$81)</f>
        <v>8132.566</v>
      </c>
      <c r="I153" s="49" t="n">
        <f aca="false">IF('plan etatów'!$AA$81=0,0,'nowy format 2'!$D$7*'plan etatów'!I81/'plan etatów'!$AA$81)</f>
        <v>0</v>
      </c>
      <c r="J153" s="49" t="n">
        <f aca="false">IF('plan etatów'!$AA$81=0,0,'nowy format 2'!$D$7*'plan etatów'!J81/'plan etatów'!$AA$81)</f>
        <v>0</v>
      </c>
      <c r="K153" s="49" t="n">
        <f aca="false">IF('plan etatów'!$AA$81=0,0,'nowy format 2'!$D$7*'plan etatów'!K81/'plan etatów'!$AA$81)</f>
        <v>0</v>
      </c>
      <c r="L153" s="49" t="n">
        <f aca="false">IF('plan etatów'!$AA$81=0,0,'nowy format 2'!$D$7*'plan etatów'!L81/'plan etatów'!$AA$81)</f>
        <v>0</v>
      </c>
      <c r="M153" s="49" t="n">
        <f aca="false">IF('plan etatów'!$AA$81=0,0,'nowy format 2'!$D$7*'plan etatów'!M81/'plan etatów'!$AA$81)</f>
        <v>0</v>
      </c>
      <c r="N153" s="49" t="n">
        <f aca="false">IF('plan etatów'!$AA$81=0,0,'nowy format 2'!$D$7*'plan etatów'!N81/'plan etatów'!$AA$81)</f>
        <v>0</v>
      </c>
      <c r="O153" s="49" t="n">
        <f aca="false">IF('plan etatów'!$AA$81=0,0,'nowy format 2'!$D$7*'plan etatów'!O81/'plan etatów'!$AA$81)</f>
        <v>0</v>
      </c>
      <c r="P153" s="49" t="n">
        <f aca="false">IF('plan etatów'!$AA$81=0,0,'nowy format 2'!$D$7*'plan etatów'!P81/'plan etatów'!$AA$81)</f>
        <v>0</v>
      </c>
      <c r="Q153" s="49" t="n">
        <f aca="false">IF('plan etatów'!$AA$81=0,0,'nowy format 2'!$D$7*'plan etatów'!Q81/'plan etatów'!$AA$81)</f>
        <v>0</v>
      </c>
      <c r="R153" s="49" t="n">
        <f aca="false">IF('plan etatów'!$AA$81=0,0,'nowy format 2'!$D$7*'plan etatów'!R81/'plan etatów'!$AA$81)</f>
        <v>0</v>
      </c>
      <c r="S153" s="49" t="n">
        <f aca="false">IF('plan etatów'!$AA$81=0,0,'nowy format 2'!$D$7*'plan etatów'!S81/'plan etatów'!$AA$81)</f>
        <v>0</v>
      </c>
      <c r="T153" s="49" t="n">
        <f aca="false">IF('plan etatów'!$AA$81=0,0,'nowy format 2'!$D$7*'plan etatów'!T81/'plan etatów'!$AA$81)</f>
        <v>0</v>
      </c>
      <c r="U153" s="49" t="n">
        <f aca="false">IF('plan etatów'!$AA$81=0,0,'nowy format 2'!$D$7*'plan etatów'!U81/'plan etatów'!$AA$81)</f>
        <v>0</v>
      </c>
      <c r="V153" s="49" t="n">
        <f aca="false">IF('plan etatów'!$AA$81=0,0,'nowy format 2'!$D$7*'plan etatów'!V81/'plan etatów'!$AA$81)</f>
        <v>0</v>
      </c>
      <c r="W153" s="49" t="n">
        <f aca="false">IF('plan etatów'!$AA$81=0,0,'nowy format 2'!$D$7*'plan etatów'!W81/'plan etatów'!$AA$81)</f>
        <v>0</v>
      </c>
      <c r="X153" s="49" t="n">
        <f aca="false">IF('plan etatów'!$AA$81=0,0,'nowy format 2'!$D$7*'plan etatów'!X81/'plan etatów'!$AA$81)</f>
        <v>0</v>
      </c>
      <c r="Y153" s="49" t="n">
        <f aca="false">IF('plan etatów'!$AA$81=0,0,'nowy format 2'!$D$7*'plan etatów'!Y81/'plan etatów'!$AA$81)</f>
        <v>0</v>
      </c>
      <c r="Z153" s="49" t="n">
        <f aca="false">IF('plan etatów'!$AA$81=0,0,'nowy format 2'!$D$7*'plan etatów'!Z81/'plan etatów'!$AA$81)</f>
        <v>0</v>
      </c>
    </row>
    <row r="154" customFormat="false" ht="15" hidden="false" customHeight="false" outlineLevel="0" collapsed="false">
      <c r="A154" s="41" t="s">
        <v>18</v>
      </c>
      <c r="B154" s="41" t="n">
        <v>1</v>
      </c>
      <c r="C154" s="49" t="n">
        <f aca="false">SUM(D154:Z154)</f>
        <v>27640.23</v>
      </c>
      <c r="D154" s="49" t="n">
        <f aca="false">IF('plan etatów'!$AA$82=0,0,'nowy format 2'!$D$8*'plan etatów'!D82/'plan etatów'!$AA$82)</f>
        <v>5528.046</v>
      </c>
      <c r="E154" s="49" t="n">
        <f aca="false">IF('plan etatów'!$AA$82=0,0,'nowy format 2'!$D$8*'plan etatów'!E82/'plan etatów'!$AA$82)</f>
        <v>5528.046</v>
      </c>
      <c r="F154" s="49" t="n">
        <f aca="false">IF('plan etatów'!$AA$82=0,0,'nowy format 2'!$D$8*'plan etatów'!F82/'plan etatów'!$AA$82)</f>
        <v>5528.046</v>
      </c>
      <c r="G154" s="49" t="n">
        <f aca="false">IF('plan etatów'!$AA$82=0,0,'nowy format 2'!$D$8*'plan etatów'!G82/'plan etatów'!$AA$82)</f>
        <v>5528.046</v>
      </c>
      <c r="H154" s="49" t="n">
        <f aca="false">IF('plan etatów'!$AA$82=0,0,'nowy format 2'!$D$8*'plan etatów'!H82/'plan etatów'!$AA$82)</f>
        <v>5528.046</v>
      </c>
      <c r="I154" s="49" t="n">
        <f aca="false">IF('plan etatów'!$AA$82=0,0,'nowy format 2'!$D$8*'plan etatów'!I82/'plan etatów'!$AA$82)</f>
        <v>0</v>
      </c>
      <c r="J154" s="49" t="n">
        <f aca="false">IF('plan etatów'!$AA$82=0,0,'nowy format 2'!$D$8*'plan etatów'!J82/'plan etatów'!$AA$82)</f>
        <v>0</v>
      </c>
      <c r="K154" s="49" t="n">
        <f aca="false">IF('plan etatów'!$AA$82=0,0,'nowy format 2'!$D$8*'plan etatów'!K82/'plan etatów'!$AA$82)</f>
        <v>0</v>
      </c>
      <c r="L154" s="49" t="n">
        <f aca="false">IF('plan etatów'!$AA$82=0,0,'nowy format 2'!$D$8*'plan etatów'!L82/'plan etatów'!$AA$82)</f>
        <v>0</v>
      </c>
      <c r="M154" s="49" t="n">
        <f aca="false">IF('plan etatów'!$AA$82=0,0,'nowy format 2'!$D$8*'plan etatów'!M82/'plan etatów'!$AA$82)</f>
        <v>0</v>
      </c>
      <c r="N154" s="49" t="n">
        <f aca="false">IF('plan etatów'!$AA$82=0,0,'nowy format 2'!$D$8*'plan etatów'!N82/'plan etatów'!$AA$82)</f>
        <v>0</v>
      </c>
      <c r="O154" s="49" t="n">
        <f aca="false">IF('plan etatów'!$AA$82=0,0,'nowy format 2'!$D$8*'plan etatów'!O82/'plan etatów'!$AA$82)</f>
        <v>0</v>
      </c>
      <c r="P154" s="49" t="n">
        <f aca="false">IF('plan etatów'!$AA$82=0,0,'nowy format 2'!$D$8*'plan etatów'!P82/'plan etatów'!$AA$82)</f>
        <v>0</v>
      </c>
      <c r="Q154" s="49" t="n">
        <f aca="false">IF('plan etatów'!$AA$82=0,0,'nowy format 2'!$D$8*'plan etatów'!Q82/'plan etatów'!$AA$82)</f>
        <v>0</v>
      </c>
      <c r="R154" s="49" t="n">
        <f aca="false">IF('plan etatów'!$AA$82=0,0,'nowy format 2'!$D$8*'plan etatów'!R82/'plan etatów'!$AA$82)</f>
        <v>0</v>
      </c>
      <c r="S154" s="49" t="n">
        <f aca="false">IF('plan etatów'!$AA$82=0,0,'nowy format 2'!$D$8*'plan etatów'!S82/'plan etatów'!$AA$82)</f>
        <v>0</v>
      </c>
      <c r="T154" s="49" t="n">
        <f aca="false">IF('plan etatów'!$AA$82=0,0,'nowy format 2'!$D$8*'plan etatów'!T82/'plan etatów'!$AA$82)</f>
        <v>0</v>
      </c>
      <c r="U154" s="49" t="n">
        <f aca="false">IF('plan etatów'!$AA$82=0,0,'nowy format 2'!$D$8*'plan etatów'!U82/'plan etatów'!$AA$82)</f>
        <v>0</v>
      </c>
      <c r="V154" s="49" t="n">
        <f aca="false">IF('plan etatów'!$AA$82=0,0,'nowy format 2'!$D$8*'plan etatów'!V82/'plan etatów'!$AA$82)</f>
        <v>0</v>
      </c>
      <c r="W154" s="49" t="n">
        <f aca="false">IF('plan etatów'!$AA$82=0,0,'nowy format 2'!$D$8*'plan etatów'!W82/'plan etatów'!$AA$82)</f>
        <v>0</v>
      </c>
      <c r="X154" s="49" t="n">
        <f aca="false">IF('plan etatów'!$AA$82=0,0,'nowy format 2'!$D$8*'plan etatów'!X82/'plan etatów'!$AA$82)</f>
        <v>0</v>
      </c>
      <c r="Y154" s="49" t="n">
        <f aca="false">IF('plan etatów'!$AA$82=0,0,'nowy format 2'!$D$8*'plan etatów'!Y82/'plan etatów'!$AA$82)</f>
        <v>0</v>
      </c>
      <c r="Z154" s="49" t="n">
        <f aca="false">IF('plan etatów'!$AA$82=0,0,'nowy format 2'!$D$8*'plan etatów'!Z82/'plan etatów'!$AA$82)</f>
        <v>0</v>
      </c>
    </row>
    <row r="155" customFormat="false" ht="15" hidden="false" customHeight="false" outlineLevel="0" collapsed="false">
      <c r="A155" s="41" t="s">
        <v>19</v>
      </c>
      <c r="B155" s="41" t="n">
        <v>1</v>
      </c>
      <c r="C155" s="49" t="n">
        <f aca="false">SUM(D155:Z155)</f>
        <v>19680</v>
      </c>
      <c r="D155" s="49" t="n">
        <f aca="false">IF('plan etatów'!$AA$83=0,0,'nowy format 2'!$D$9*'plan etatów'!D83/'plan etatów'!$AA$83)</f>
        <v>3936</v>
      </c>
      <c r="E155" s="49" t="n">
        <f aca="false">IF('plan etatów'!$AA$83=0,0,'nowy format 2'!$D$9*'plan etatów'!E83/'plan etatów'!$AA$83)</f>
        <v>3936</v>
      </c>
      <c r="F155" s="49" t="n">
        <f aca="false">IF('plan etatów'!$AA$83=0,0,'nowy format 2'!$D$9*'plan etatów'!F83/'plan etatów'!$AA$83)</f>
        <v>3936</v>
      </c>
      <c r="G155" s="49" t="n">
        <f aca="false">IF('plan etatów'!$AA$83=0,0,'nowy format 2'!$D$9*'plan etatów'!G83/'plan etatów'!$AA$83)</f>
        <v>3936</v>
      </c>
      <c r="H155" s="49" t="n">
        <f aca="false">IF('plan etatów'!$AA$83=0,0,'nowy format 2'!$D$9*'plan etatów'!H83/'plan etatów'!$AA$83)</f>
        <v>3936</v>
      </c>
      <c r="I155" s="49" t="n">
        <f aca="false">IF('plan etatów'!$AA$83=0,0,'nowy format 2'!$D$9*'plan etatów'!I83/'plan etatów'!$AA$83)</f>
        <v>0</v>
      </c>
      <c r="J155" s="49" t="n">
        <f aca="false">IF('plan etatów'!$AA$83=0,0,'nowy format 2'!$D$9*'plan etatów'!J83/'plan etatów'!$AA$83)</f>
        <v>0</v>
      </c>
      <c r="K155" s="49" t="n">
        <f aca="false">IF('plan etatów'!$AA$83=0,0,'nowy format 2'!$D$9*'plan etatów'!K83/'plan etatów'!$AA$83)</f>
        <v>0</v>
      </c>
      <c r="L155" s="49" t="n">
        <f aca="false">IF('plan etatów'!$AA$83=0,0,'nowy format 2'!$D$9*'plan etatów'!L83/'plan etatów'!$AA$83)</f>
        <v>0</v>
      </c>
      <c r="M155" s="49" t="n">
        <f aca="false">IF('plan etatów'!$AA$83=0,0,'nowy format 2'!$D$9*'plan etatów'!M83/'plan etatów'!$AA$83)</f>
        <v>0</v>
      </c>
      <c r="N155" s="49" t="n">
        <f aca="false">IF('plan etatów'!$AA$83=0,0,'nowy format 2'!$D$9*'plan etatów'!N83/'plan etatów'!$AA$83)</f>
        <v>0</v>
      </c>
      <c r="O155" s="49" t="n">
        <f aca="false">IF('plan etatów'!$AA$83=0,0,'nowy format 2'!$D$9*'plan etatów'!O83/'plan etatów'!$AA$83)</f>
        <v>0</v>
      </c>
      <c r="P155" s="49" t="n">
        <f aca="false">IF('plan etatów'!$AA$83=0,0,'nowy format 2'!$D$9*'plan etatów'!P83/'plan etatów'!$AA$83)</f>
        <v>0</v>
      </c>
      <c r="Q155" s="49" t="n">
        <f aca="false">IF('plan etatów'!$AA$83=0,0,'nowy format 2'!$D$9*'plan etatów'!Q83/'plan etatów'!$AA$83)</f>
        <v>0</v>
      </c>
      <c r="R155" s="49" t="n">
        <f aca="false">IF('plan etatów'!$AA$83=0,0,'nowy format 2'!$D$9*'plan etatów'!R83/'plan etatów'!$AA$83)</f>
        <v>0</v>
      </c>
      <c r="S155" s="49" t="n">
        <f aca="false">IF('plan etatów'!$AA$83=0,0,'nowy format 2'!$D$9*'plan etatów'!S83/'plan etatów'!$AA$83)</f>
        <v>0</v>
      </c>
      <c r="T155" s="49" t="n">
        <f aca="false">IF('plan etatów'!$AA$83=0,0,'nowy format 2'!$D$9*'plan etatów'!T83/'plan etatów'!$AA$83)</f>
        <v>0</v>
      </c>
      <c r="U155" s="49" t="n">
        <f aca="false">IF('plan etatów'!$AA$83=0,0,'nowy format 2'!$D$9*'plan etatów'!U83/'plan etatów'!$AA$83)</f>
        <v>0</v>
      </c>
      <c r="V155" s="49" t="n">
        <f aca="false">IF('plan etatów'!$AA$83=0,0,'nowy format 2'!$D$9*'plan etatów'!V83/'plan etatów'!$AA$83)</f>
        <v>0</v>
      </c>
      <c r="W155" s="49" t="n">
        <f aca="false">IF('plan etatów'!$AA$83=0,0,'nowy format 2'!$D$9*'plan etatów'!W83/'plan etatów'!$AA$83)</f>
        <v>0</v>
      </c>
      <c r="X155" s="49" t="n">
        <f aca="false">IF('plan etatów'!$AA$83=0,0,'nowy format 2'!$D$9*'plan etatów'!X83/'plan etatów'!$AA$83)</f>
        <v>0</v>
      </c>
      <c r="Y155" s="49" t="n">
        <f aca="false">IF('plan etatów'!$AA$83=0,0,'nowy format 2'!$D$9*'plan etatów'!Y83/'plan etatów'!$AA$83)</f>
        <v>0</v>
      </c>
      <c r="Z155" s="49" t="n">
        <f aca="false">IF('plan etatów'!$AA$83=0,0,'nowy format 2'!$D$9*'plan etatów'!Z83/'plan etatów'!$AA$83)</f>
        <v>0</v>
      </c>
    </row>
    <row r="156" customFormat="false" ht="15" hidden="false" customHeight="false" outlineLevel="0" collapsed="false">
      <c r="A156" s="41" t="s">
        <v>20</v>
      </c>
      <c r="B156" s="41" t="n">
        <v>1</v>
      </c>
      <c r="C156" s="49" t="n">
        <f aca="false">SUM(D156:Z156)</f>
        <v>82500</v>
      </c>
      <c r="D156" s="49" t="n">
        <f aca="false">IF('plan etatów'!$AA$84=0,0,'nowy format 2'!$D$10*'plan etatów'!D84/'plan etatów'!$AA$84)</f>
        <v>16500</v>
      </c>
      <c r="E156" s="49" t="n">
        <f aca="false">IF('plan etatów'!$AA$84=0,0,'nowy format 2'!$D$10*'plan etatów'!E84/'plan etatów'!$AA$84)</f>
        <v>16500</v>
      </c>
      <c r="F156" s="49" t="n">
        <f aca="false">IF('plan etatów'!$AA$84=0,0,'nowy format 2'!$D$10*'plan etatów'!F84/'plan etatów'!$AA$84)</f>
        <v>16500</v>
      </c>
      <c r="G156" s="49" t="n">
        <f aca="false">IF('plan etatów'!$AA$84=0,0,'nowy format 2'!$D$10*'plan etatów'!G84/'plan etatów'!$AA$84)</f>
        <v>16500</v>
      </c>
      <c r="H156" s="49" t="n">
        <f aca="false">IF('plan etatów'!$AA$84=0,0,'nowy format 2'!$D$10*'plan etatów'!H84/'plan etatów'!$AA$84)</f>
        <v>16500</v>
      </c>
      <c r="I156" s="49" t="n">
        <f aca="false">IF('plan etatów'!$AA$84=0,0,'nowy format 2'!$D$10*'plan etatów'!I84/'plan etatów'!$AA$84)</f>
        <v>0</v>
      </c>
      <c r="J156" s="49" t="n">
        <f aca="false">IF('plan etatów'!$AA$84=0,0,'nowy format 2'!$D$10*'plan etatów'!J84/'plan etatów'!$AA$84)</f>
        <v>0</v>
      </c>
      <c r="K156" s="49" t="n">
        <f aca="false">IF('plan etatów'!$AA$84=0,0,'nowy format 2'!$D$10*'plan etatów'!K84/'plan etatów'!$AA$84)</f>
        <v>0</v>
      </c>
      <c r="L156" s="49" t="n">
        <f aca="false">IF('plan etatów'!$AA$84=0,0,'nowy format 2'!$D$10*'plan etatów'!L84/'plan etatów'!$AA$84)</f>
        <v>0</v>
      </c>
      <c r="M156" s="49" t="n">
        <f aca="false">IF('plan etatów'!$AA$84=0,0,'nowy format 2'!$D$10*'plan etatów'!M84/'plan etatów'!$AA$84)</f>
        <v>0</v>
      </c>
      <c r="N156" s="49" t="n">
        <f aca="false">IF('plan etatów'!$AA$84=0,0,'nowy format 2'!$D$10*'plan etatów'!N84/'plan etatów'!$AA$84)</f>
        <v>0</v>
      </c>
      <c r="O156" s="49" t="n">
        <f aca="false">IF('plan etatów'!$AA$84=0,0,'nowy format 2'!$D$10*'plan etatów'!O84/'plan etatów'!$AA$84)</f>
        <v>0</v>
      </c>
      <c r="P156" s="49" t="n">
        <f aca="false">IF('plan etatów'!$AA$84=0,0,'nowy format 2'!$D$10*'plan etatów'!P84/'plan etatów'!$AA$84)</f>
        <v>0</v>
      </c>
      <c r="Q156" s="49" t="n">
        <f aca="false">IF('plan etatów'!$AA$84=0,0,'nowy format 2'!$D$10*'plan etatów'!Q84/'plan etatów'!$AA$84)</f>
        <v>0</v>
      </c>
      <c r="R156" s="49" t="n">
        <f aca="false">IF('plan etatów'!$AA$84=0,0,'nowy format 2'!$D$10*'plan etatów'!R84/'plan etatów'!$AA$84)</f>
        <v>0</v>
      </c>
      <c r="S156" s="49" t="n">
        <f aca="false">IF('plan etatów'!$AA$84=0,0,'nowy format 2'!$D$10*'plan etatów'!S84/'plan etatów'!$AA$84)</f>
        <v>0</v>
      </c>
      <c r="T156" s="49" t="n">
        <f aca="false">IF('plan etatów'!$AA$84=0,0,'nowy format 2'!$D$10*'plan etatów'!T84/'plan etatów'!$AA$84)</f>
        <v>0</v>
      </c>
      <c r="U156" s="49" t="n">
        <f aca="false">IF('plan etatów'!$AA$84=0,0,'nowy format 2'!$D$10*'plan etatów'!U84/'plan etatów'!$AA$84)</f>
        <v>0</v>
      </c>
      <c r="V156" s="49" t="n">
        <f aca="false">IF('plan etatów'!$AA$84=0,0,'nowy format 2'!$D$10*'plan etatów'!V84/'plan etatów'!$AA$84)</f>
        <v>0</v>
      </c>
      <c r="W156" s="49" t="n">
        <f aca="false">IF('plan etatów'!$AA$84=0,0,'nowy format 2'!$D$10*'plan etatów'!W84/'plan etatów'!$AA$84)</f>
        <v>0</v>
      </c>
      <c r="X156" s="49" t="n">
        <f aca="false">IF('plan etatów'!$AA$84=0,0,'nowy format 2'!$D$10*'plan etatów'!X84/'plan etatów'!$AA$84)</f>
        <v>0</v>
      </c>
      <c r="Y156" s="49" t="n">
        <f aca="false">IF('plan etatów'!$AA$84=0,0,'nowy format 2'!$D$10*'plan etatów'!Y84/'plan etatów'!$AA$84)</f>
        <v>0</v>
      </c>
      <c r="Z156" s="49" t="n">
        <f aca="false">IF('plan etatów'!$AA$84=0,0,'nowy format 2'!$D$10*'plan etatów'!Z84/'plan etatów'!$AA$84)</f>
        <v>0</v>
      </c>
    </row>
    <row r="157" customFormat="false" ht="15" hidden="false" customHeight="false" outlineLevel="0" collapsed="false">
      <c r="A157" s="41" t="s">
        <v>21</v>
      </c>
      <c r="B157" s="41" t="n">
        <v>1</v>
      </c>
      <c r="C157" s="49" t="n">
        <f aca="false">SUM(D157:Z157)</f>
        <v>1820.86</v>
      </c>
      <c r="D157" s="49" t="n">
        <f aca="false">IF('plan etatów'!$AA$85=0,0,'nowy format 2'!$D$11*'plan etatów'!D85/'plan etatów'!$AA$85)</f>
        <v>364.172</v>
      </c>
      <c r="E157" s="49" t="n">
        <f aca="false">IF('plan etatów'!$AA$85=0,0,'nowy format 2'!$D$11*'plan etatów'!E85/'plan etatów'!$AA$85)</f>
        <v>364.172</v>
      </c>
      <c r="F157" s="49" t="n">
        <f aca="false">IF('plan etatów'!$AA$85=0,0,'nowy format 2'!$D$11*'plan etatów'!F85/'plan etatów'!$AA$85)</f>
        <v>364.172</v>
      </c>
      <c r="G157" s="49" t="n">
        <f aca="false">IF('plan etatów'!$AA$85=0,0,'nowy format 2'!$D$11*'plan etatów'!G85/'plan etatów'!$AA$85)</f>
        <v>364.172</v>
      </c>
      <c r="H157" s="49" t="n">
        <f aca="false">IF('plan etatów'!$AA$85=0,0,'nowy format 2'!$D$11*'plan etatów'!H85/'plan etatów'!$AA$85)</f>
        <v>364.172</v>
      </c>
      <c r="I157" s="49" t="n">
        <f aca="false">IF('plan etatów'!$AA$85=0,0,'nowy format 2'!$D$11*'plan etatów'!I85/'plan etatów'!$AA$85)</f>
        <v>0</v>
      </c>
      <c r="J157" s="49" t="n">
        <f aca="false">IF('plan etatów'!$AA$85=0,0,'nowy format 2'!$D$11*'plan etatów'!J85/'plan etatów'!$AA$85)</f>
        <v>0</v>
      </c>
      <c r="K157" s="49" t="n">
        <f aca="false">IF('plan etatów'!$AA$85=0,0,'nowy format 2'!$D$11*'plan etatów'!K85/'plan etatów'!$AA$85)</f>
        <v>0</v>
      </c>
      <c r="L157" s="49" t="n">
        <f aca="false">IF('plan etatów'!$AA$85=0,0,'nowy format 2'!$D$11*'plan etatów'!L85/'plan etatów'!$AA$85)</f>
        <v>0</v>
      </c>
      <c r="M157" s="49" t="n">
        <f aca="false">IF('plan etatów'!$AA$85=0,0,'nowy format 2'!$D$11*'plan etatów'!M85/'plan etatów'!$AA$85)</f>
        <v>0</v>
      </c>
      <c r="N157" s="49" t="n">
        <f aca="false">IF('plan etatów'!$AA$85=0,0,'nowy format 2'!$D$11*'plan etatów'!N85/'plan etatów'!$AA$85)</f>
        <v>0</v>
      </c>
      <c r="O157" s="49" t="n">
        <f aca="false">IF('plan etatów'!$AA$85=0,0,'nowy format 2'!$D$11*'plan etatów'!O85/'plan etatów'!$AA$85)</f>
        <v>0</v>
      </c>
      <c r="P157" s="49" t="n">
        <f aca="false">IF('plan etatów'!$AA$85=0,0,'nowy format 2'!$D$11*'plan etatów'!P85/'plan etatów'!$AA$85)</f>
        <v>0</v>
      </c>
      <c r="Q157" s="49" t="n">
        <f aca="false">IF('plan etatów'!$AA$85=0,0,'nowy format 2'!$D$11*'plan etatów'!Q85/'plan etatów'!$AA$85)</f>
        <v>0</v>
      </c>
      <c r="R157" s="49" t="n">
        <f aca="false">IF('plan etatów'!$AA$85=0,0,'nowy format 2'!$D$11*'plan etatów'!R85/'plan etatów'!$AA$85)</f>
        <v>0</v>
      </c>
      <c r="S157" s="49" t="n">
        <f aca="false">IF('plan etatów'!$AA$85=0,0,'nowy format 2'!$D$11*'plan etatów'!S85/'plan etatów'!$AA$85)</f>
        <v>0</v>
      </c>
      <c r="T157" s="49" t="n">
        <f aca="false">IF('plan etatów'!$AA$85=0,0,'nowy format 2'!$D$11*'plan etatów'!T85/'plan etatów'!$AA$85)</f>
        <v>0</v>
      </c>
      <c r="U157" s="49" t="n">
        <f aca="false">IF('plan etatów'!$AA$85=0,0,'nowy format 2'!$D$11*'plan etatów'!U85/'plan etatów'!$AA$85)</f>
        <v>0</v>
      </c>
      <c r="V157" s="49" t="n">
        <f aca="false">IF('plan etatów'!$AA$85=0,0,'nowy format 2'!$D$11*'plan etatów'!V85/'plan etatów'!$AA$85)</f>
        <v>0</v>
      </c>
      <c r="W157" s="49" t="n">
        <f aca="false">IF('plan etatów'!$AA$85=0,0,'nowy format 2'!$D$11*'plan etatów'!W85/'plan etatów'!$AA$85)</f>
        <v>0</v>
      </c>
      <c r="X157" s="49" t="n">
        <f aca="false">IF('plan etatów'!$AA$85=0,0,'nowy format 2'!$D$11*'plan etatów'!X85/'plan etatów'!$AA$85)</f>
        <v>0</v>
      </c>
      <c r="Y157" s="49" t="n">
        <f aca="false">IF('plan etatów'!$AA$85=0,0,'nowy format 2'!$D$11*'plan etatów'!Y85/'plan etatów'!$AA$85)</f>
        <v>0</v>
      </c>
      <c r="Z157" s="49" t="n">
        <f aca="false">IF('plan etatów'!$AA$85=0,0,'nowy format 2'!$D$11*'plan etatów'!Z85/'plan etatów'!$AA$85)</f>
        <v>0</v>
      </c>
    </row>
    <row r="158" customFormat="false" ht="15" hidden="false" customHeight="false" outlineLevel="0" collapsed="false">
      <c r="A158" s="41" t="s">
        <v>22</v>
      </c>
      <c r="B158" s="41" t="n">
        <v>1</v>
      </c>
      <c r="C158" s="49" t="n">
        <f aca="false">SUM(D158:Z158)</f>
        <v>79000</v>
      </c>
      <c r="D158" s="49" t="n">
        <f aca="false">IF('plan etatów'!$AA$86=0,0,'nowy format 2'!$D$12*'plan etatów'!D86/'plan etatów'!$AA$86)</f>
        <v>15800</v>
      </c>
      <c r="E158" s="49" t="n">
        <f aca="false">IF('plan etatów'!$AA$86=0,0,'nowy format 2'!$D$12*'plan etatów'!E86/'plan etatów'!$AA$86)</f>
        <v>15800</v>
      </c>
      <c r="F158" s="49" t="n">
        <f aca="false">IF('plan etatów'!$AA$86=0,0,'nowy format 2'!$D$12*'plan etatów'!F86/'plan etatów'!$AA$86)</f>
        <v>15800</v>
      </c>
      <c r="G158" s="49" t="n">
        <f aca="false">IF('plan etatów'!$AA$86=0,0,'nowy format 2'!$D$12*'plan etatów'!G86/'plan etatów'!$AA$86)</f>
        <v>15800</v>
      </c>
      <c r="H158" s="49" t="n">
        <f aca="false">IF('plan etatów'!$AA$86=0,0,'nowy format 2'!$D$12*'plan etatów'!H86/'plan etatów'!$AA$86)</f>
        <v>15800</v>
      </c>
      <c r="I158" s="49" t="n">
        <f aca="false">IF('plan etatów'!$AA$86=0,0,'nowy format 2'!$D$12*'plan etatów'!I86/'plan etatów'!$AA$86)</f>
        <v>0</v>
      </c>
      <c r="J158" s="49" t="n">
        <f aca="false">IF('plan etatów'!$AA$86=0,0,'nowy format 2'!$D$12*'plan etatów'!J86/'plan etatów'!$AA$86)</f>
        <v>0</v>
      </c>
      <c r="K158" s="49" t="n">
        <f aca="false">IF('plan etatów'!$AA$86=0,0,'nowy format 2'!$D$12*'plan etatów'!K86/'plan etatów'!$AA$86)</f>
        <v>0</v>
      </c>
      <c r="L158" s="49" t="n">
        <f aca="false">IF('plan etatów'!$AA$86=0,0,'nowy format 2'!$D$12*'plan etatów'!L86/'plan etatów'!$AA$86)</f>
        <v>0</v>
      </c>
      <c r="M158" s="49" t="n">
        <f aca="false">IF('plan etatów'!$AA$86=0,0,'nowy format 2'!$D$12*'plan etatów'!M86/'plan etatów'!$AA$86)</f>
        <v>0</v>
      </c>
      <c r="N158" s="49" t="n">
        <f aca="false">IF('plan etatów'!$AA$86=0,0,'nowy format 2'!$D$12*'plan etatów'!N86/'plan etatów'!$AA$86)</f>
        <v>0</v>
      </c>
      <c r="O158" s="49" t="n">
        <f aca="false">IF('plan etatów'!$AA$86=0,0,'nowy format 2'!$D$12*'plan etatów'!O86/'plan etatów'!$AA$86)</f>
        <v>0</v>
      </c>
      <c r="P158" s="49" t="n">
        <f aca="false">IF('plan etatów'!$AA$86=0,0,'nowy format 2'!$D$12*'plan etatów'!P86/'plan etatów'!$AA$86)</f>
        <v>0</v>
      </c>
      <c r="Q158" s="49" t="n">
        <f aca="false">IF('plan etatów'!$AA$86=0,0,'nowy format 2'!$D$12*'plan etatów'!Q86/'plan etatów'!$AA$86)</f>
        <v>0</v>
      </c>
      <c r="R158" s="49" t="n">
        <f aca="false">IF('plan etatów'!$AA$86=0,0,'nowy format 2'!$D$12*'plan etatów'!R86/'plan etatów'!$AA$86)</f>
        <v>0</v>
      </c>
      <c r="S158" s="49" t="n">
        <f aca="false">IF('plan etatów'!$AA$86=0,0,'nowy format 2'!$D$12*'plan etatów'!S86/'plan etatów'!$AA$86)</f>
        <v>0</v>
      </c>
      <c r="T158" s="49" t="n">
        <f aca="false">IF('plan etatów'!$AA$86=0,0,'nowy format 2'!$D$12*'plan etatów'!T86/'plan etatów'!$AA$86)</f>
        <v>0</v>
      </c>
      <c r="U158" s="49" t="n">
        <f aca="false">IF('plan etatów'!$AA$86=0,0,'nowy format 2'!$D$12*'plan etatów'!U86/'plan etatów'!$AA$86)</f>
        <v>0</v>
      </c>
      <c r="V158" s="49" t="n">
        <f aca="false">IF('plan etatów'!$AA$86=0,0,'nowy format 2'!$D$12*'plan etatów'!V86/'plan etatów'!$AA$86)</f>
        <v>0</v>
      </c>
      <c r="W158" s="49" t="n">
        <f aca="false">IF('plan etatów'!$AA$86=0,0,'nowy format 2'!$D$12*'plan etatów'!W86/'plan etatów'!$AA$86)</f>
        <v>0</v>
      </c>
      <c r="X158" s="49" t="n">
        <f aca="false">IF('plan etatów'!$AA$86=0,0,'nowy format 2'!$D$12*'plan etatów'!X86/'plan etatów'!$AA$86)</f>
        <v>0</v>
      </c>
      <c r="Y158" s="49" t="n">
        <f aca="false">IF('plan etatów'!$AA$86=0,0,'nowy format 2'!$D$12*'plan etatów'!Y86/'plan etatów'!$AA$86)</f>
        <v>0</v>
      </c>
      <c r="Z158" s="49" t="n">
        <f aca="false">IF('plan etatów'!$AA$86=0,0,'nowy format 2'!$D$12*'plan etatów'!Z86/'plan etatów'!$AA$86)</f>
        <v>0</v>
      </c>
    </row>
    <row r="159" customFormat="false" ht="15" hidden="false" customHeight="false" outlineLevel="0" collapsed="false">
      <c r="A159" s="41" t="s">
        <v>24</v>
      </c>
      <c r="B159" s="41" t="n">
        <v>2</v>
      </c>
      <c r="C159" s="49" t="n">
        <f aca="false">SUM(D159:Z159)</f>
        <v>265920</v>
      </c>
      <c r="D159" s="49" t="n">
        <f aca="false">IF('plan etatów'!$AA$87=0,0,'nowy format 2'!$D$14*'plan etatów'!D87/'plan etatów'!$AA$87)</f>
        <v>0</v>
      </c>
      <c r="E159" s="49" t="n">
        <f aca="false">IF('plan etatów'!$AA$87=0,0,'nowy format 2'!$D$14*'plan etatów'!E87/'plan etatów'!$AA$87)</f>
        <v>0</v>
      </c>
      <c r="F159" s="49" t="n">
        <f aca="false">IF('plan etatów'!$AA$87=0,0,'nowy format 2'!$D$14*'plan etatów'!F87/'plan etatów'!$AA$87)</f>
        <v>0</v>
      </c>
      <c r="G159" s="49" t="n">
        <f aca="false">IF('plan etatów'!$AA$87=0,0,'nowy format 2'!$D$14*'plan etatów'!G87/'plan etatów'!$AA$87)</f>
        <v>0</v>
      </c>
      <c r="H159" s="49" t="n">
        <f aca="false">IF('plan etatów'!$AA$87=0,0,'nowy format 2'!$D$14*'plan etatów'!H87/'plan etatów'!$AA$87)</f>
        <v>0</v>
      </c>
      <c r="I159" s="49" t="n">
        <f aca="false">IF('plan etatów'!$AA$87=0,0,'nowy format 2'!$D$14*'plan etatów'!I87/'plan etatów'!$AA$87)</f>
        <v>44320</v>
      </c>
      <c r="J159" s="49" t="n">
        <f aca="false">IF('plan etatów'!$AA$87=0,0,'nowy format 2'!$D$14*'plan etatów'!J87/'plan etatów'!$AA$87)</f>
        <v>44320</v>
      </c>
      <c r="K159" s="49" t="n">
        <f aca="false">IF('plan etatów'!$AA$87=0,0,'nowy format 2'!$D$14*'plan etatów'!K87/'plan etatów'!$AA$87)</f>
        <v>44320</v>
      </c>
      <c r="L159" s="49" t="n">
        <f aca="false">IF('plan etatów'!$AA$87=0,0,'nowy format 2'!$D$14*'plan etatów'!L87/'plan etatów'!$AA$87)</f>
        <v>44320</v>
      </c>
      <c r="M159" s="49" t="n">
        <f aca="false">IF('plan etatów'!$AA$87=0,0,'nowy format 2'!$D$14*'plan etatów'!M87/'plan etatów'!$AA$87)</f>
        <v>44320</v>
      </c>
      <c r="N159" s="49" t="n">
        <f aca="false">IF('plan etatów'!$AA$87=0,0,'nowy format 2'!$D$14*'plan etatów'!N87/'plan etatów'!$AA$87)</f>
        <v>44320</v>
      </c>
      <c r="O159" s="49" t="n">
        <f aca="false">IF('plan etatów'!$AA$87=0,0,'nowy format 2'!$D$14*'plan etatów'!O87/'plan etatów'!$AA$87)</f>
        <v>0</v>
      </c>
      <c r="P159" s="49" t="n">
        <f aca="false">IF('plan etatów'!$AA$87=0,0,'nowy format 2'!$D$14*'plan etatów'!P87/'plan etatów'!$AA$87)</f>
        <v>0</v>
      </c>
      <c r="Q159" s="49" t="n">
        <f aca="false">IF('plan etatów'!$AA$87=0,0,'nowy format 2'!$D$14*'plan etatów'!Q87/'plan etatów'!$AA$87)</f>
        <v>0</v>
      </c>
      <c r="R159" s="49" t="n">
        <f aca="false">IF('plan etatów'!$AA$87=0,0,'nowy format 2'!$D$14*'plan etatów'!R87/'plan etatów'!$AA$87)</f>
        <v>0</v>
      </c>
      <c r="S159" s="49" t="n">
        <f aca="false">IF('plan etatów'!$AA$87=0,0,'nowy format 2'!$D$14*'plan etatów'!S87/'plan etatów'!$AA$87)</f>
        <v>0</v>
      </c>
      <c r="T159" s="49" t="n">
        <f aca="false">IF('plan etatów'!$AA$87=0,0,'nowy format 2'!$D$14*'plan etatów'!T87/'plan etatów'!$AA$87)</f>
        <v>0</v>
      </c>
      <c r="U159" s="49" t="n">
        <f aca="false">IF('plan etatów'!$AA$87=0,0,'nowy format 2'!$D$14*'plan etatów'!U87/'plan etatów'!$AA$87)</f>
        <v>0</v>
      </c>
      <c r="V159" s="49" t="n">
        <f aca="false">IF('plan etatów'!$AA$87=0,0,'nowy format 2'!$D$14*'plan etatów'!V87/'plan etatów'!$AA$87)</f>
        <v>0</v>
      </c>
      <c r="W159" s="49" t="n">
        <f aca="false">IF('plan etatów'!$AA$87=0,0,'nowy format 2'!$D$14*'plan etatów'!W87/'plan etatów'!$AA$87)</f>
        <v>0</v>
      </c>
      <c r="X159" s="49" t="n">
        <f aca="false">IF('plan etatów'!$AA$87=0,0,'nowy format 2'!$D$14*'plan etatów'!X87/'plan etatów'!$AA$87)</f>
        <v>0</v>
      </c>
      <c r="Y159" s="49" t="n">
        <f aca="false">IF('plan etatów'!$AA$87=0,0,'nowy format 2'!$D$14*'plan etatów'!Y87/'plan etatów'!$AA$87)</f>
        <v>0</v>
      </c>
      <c r="Z159" s="49" t="n">
        <f aca="false">IF('plan etatów'!$AA$87=0,0,'nowy format 2'!$D$14*'plan etatów'!Z87/'plan etatów'!$AA$87)</f>
        <v>0</v>
      </c>
    </row>
    <row r="160" customFormat="false" ht="15" hidden="false" customHeight="false" outlineLevel="0" collapsed="false">
      <c r="A160" s="41" t="s">
        <v>25</v>
      </c>
      <c r="B160" s="41" t="n">
        <v>2</v>
      </c>
      <c r="C160" s="49" t="n">
        <f aca="false">SUM(D160:Z160)</f>
        <v>90534.53</v>
      </c>
      <c r="D160" s="49" t="n">
        <f aca="false">IF('plan etatów'!$AA$88=0,0,'nowy format 2'!$D$15*'plan etatów'!D88/'plan etatów'!$AA$88)</f>
        <v>0</v>
      </c>
      <c r="E160" s="49" t="n">
        <f aca="false">IF('plan etatów'!$AA$88=0,0,'nowy format 2'!$D$15*'plan etatów'!E88/'plan etatów'!$AA$88)</f>
        <v>0</v>
      </c>
      <c r="F160" s="49" t="n">
        <f aca="false">IF('plan etatów'!$AA$88=0,0,'nowy format 2'!$D$15*'plan etatów'!F88/'plan etatów'!$AA$88)</f>
        <v>0</v>
      </c>
      <c r="G160" s="49" t="n">
        <f aca="false">IF('plan etatów'!$AA$88=0,0,'nowy format 2'!$D$15*'plan etatów'!G88/'plan etatów'!$AA$88)</f>
        <v>0</v>
      </c>
      <c r="H160" s="49" t="n">
        <f aca="false">IF('plan etatów'!$AA$88=0,0,'nowy format 2'!$D$15*'plan etatów'!H88/'plan etatów'!$AA$88)</f>
        <v>0</v>
      </c>
      <c r="I160" s="49" t="n">
        <f aca="false">IF('plan etatów'!$AA$88=0,0,'nowy format 2'!$D$15*'plan etatów'!I88/'plan etatów'!$AA$88)</f>
        <v>15089.0883333333</v>
      </c>
      <c r="J160" s="49" t="n">
        <f aca="false">IF('plan etatów'!$AA$88=0,0,'nowy format 2'!$D$15*'plan etatów'!J88/'plan etatów'!$AA$88)</f>
        <v>15089.0883333333</v>
      </c>
      <c r="K160" s="49" t="n">
        <f aca="false">IF('plan etatów'!$AA$88=0,0,'nowy format 2'!$D$15*'plan etatów'!K88/'plan etatów'!$AA$88)</f>
        <v>15089.0883333333</v>
      </c>
      <c r="L160" s="49" t="n">
        <f aca="false">IF('plan etatów'!$AA$88=0,0,'nowy format 2'!$D$15*'plan etatów'!L88/'plan etatów'!$AA$88)</f>
        <v>15089.0883333333</v>
      </c>
      <c r="M160" s="49" t="n">
        <f aca="false">IF('plan etatów'!$AA$88=0,0,'nowy format 2'!$D$15*'plan etatów'!M88/'plan etatów'!$AA$88)</f>
        <v>15089.0883333333</v>
      </c>
      <c r="N160" s="49" t="n">
        <f aca="false">IF('plan etatów'!$AA$88=0,0,'nowy format 2'!$D$15*'plan etatów'!N88/'plan etatów'!$AA$88)</f>
        <v>15089.0883333333</v>
      </c>
      <c r="O160" s="49" t="n">
        <f aca="false">IF('plan etatów'!$AA$88=0,0,'nowy format 2'!$D$15*'plan etatów'!O88/'plan etatów'!$AA$88)</f>
        <v>0</v>
      </c>
      <c r="P160" s="49" t="n">
        <f aca="false">IF('plan etatów'!$AA$88=0,0,'nowy format 2'!$D$15*'plan etatów'!P88/'plan etatów'!$AA$88)</f>
        <v>0</v>
      </c>
      <c r="Q160" s="49" t="n">
        <f aca="false">IF('plan etatów'!$AA$88=0,0,'nowy format 2'!$D$15*'plan etatów'!Q88/'plan etatów'!$AA$88)</f>
        <v>0</v>
      </c>
      <c r="R160" s="49" t="n">
        <f aca="false">IF('plan etatów'!$AA$88=0,0,'nowy format 2'!$D$15*'plan etatów'!R88/'plan etatów'!$AA$88)</f>
        <v>0</v>
      </c>
      <c r="S160" s="49" t="n">
        <f aca="false">IF('plan etatów'!$AA$88=0,0,'nowy format 2'!$D$15*'plan etatów'!S88/'plan etatów'!$AA$88)</f>
        <v>0</v>
      </c>
      <c r="T160" s="49" t="n">
        <f aca="false">IF('plan etatów'!$AA$88=0,0,'nowy format 2'!$D$15*'plan etatów'!T88/'plan etatów'!$AA$88)</f>
        <v>0</v>
      </c>
      <c r="U160" s="49" t="n">
        <f aca="false">IF('plan etatów'!$AA$88=0,0,'nowy format 2'!$D$15*'plan etatów'!U88/'plan etatów'!$AA$88)</f>
        <v>0</v>
      </c>
      <c r="V160" s="49" t="n">
        <f aca="false">IF('plan etatów'!$AA$88=0,0,'nowy format 2'!$D$15*'plan etatów'!V88/'plan etatów'!$AA$88)</f>
        <v>0</v>
      </c>
      <c r="W160" s="49" t="n">
        <f aca="false">IF('plan etatów'!$AA$88=0,0,'nowy format 2'!$D$15*'plan etatów'!W88/'plan etatów'!$AA$88)</f>
        <v>0</v>
      </c>
      <c r="X160" s="49" t="n">
        <f aca="false">IF('plan etatów'!$AA$88=0,0,'nowy format 2'!$D$15*'plan etatów'!X88/'plan etatów'!$AA$88)</f>
        <v>0</v>
      </c>
      <c r="Y160" s="49" t="n">
        <f aca="false">IF('plan etatów'!$AA$88=0,0,'nowy format 2'!$D$15*'plan etatów'!Y88/'plan etatów'!$AA$88)</f>
        <v>0</v>
      </c>
      <c r="Z160" s="49" t="n">
        <f aca="false">IF('plan etatów'!$AA$88=0,0,'nowy format 2'!$D$15*'plan etatów'!Z88/'plan etatów'!$AA$88)</f>
        <v>0</v>
      </c>
    </row>
    <row r="161" customFormat="false" ht="15" hidden="false" customHeight="false" outlineLevel="0" collapsed="false">
      <c r="A161" s="41" t="s">
        <v>26</v>
      </c>
      <c r="B161" s="41" t="n">
        <v>2</v>
      </c>
      <c r="C161" s="49" t="n">
        <f aca="false">SUM(D161:Z161)</f>
        <v>96819.8</v>
      </c>
      <c r="D161" s="49" t="n">
        <f aca="false">IF('plan etatów'!$AA$89=0,0,'nowy format 2'!$D$16*'plan etatów'!D89/'plan etatów'!$AA$89)</f>
        <v>0</v>
      </c>
      <c r="E161" s="49" t="n">
        <f aca="false">IF('plan etatów'!$AA$89=0,0,'nowy format 2'!$D$16*'plan etatów'!E89/'plan etatów'!$AA$89)</f>
        <v>0</v>
      </c>
      <c r="F161" s="49" t="n">
        <f aca="false">IF('plan etatów'!$AA$89=0,0,'nowy format 2'!$D$16*'plan etatów'!F89/'plan etatów'!$AA$89)</f>
        <v>0</v>
      </c>
      <c r="G161" s="49" t="n">
        <f aca="false">IF('plan etatów'!$AA$89=0,0,'nowy format 2'!$D$16*'plan etatów'!G89/'plan etatów'!$AA$89)</f>
        <v>0</v>
      </c>
      <c r="H161" s="49" t="n">
        <f aca="false">IF('plan etatów'!$AA$89=0,0,'nowy format 2'!$D$16*'plan etatów'!H89/'plan etatów'!$AA$89)</f>
        <v>0</v>
      </c>
      <c r="I161" s="49" t="n">
        <f aca="false">IF('plan etatów'!$AA$89=0,0,'nowy format 2'!$D$16*'plan etatów'!I89/'plan etatów'!$AA$89)</f>
        <v>16136.6333333333</v>
      </c>
      <c r="J161" s="49" t="n">
        <f aca="false">IF('plan etatów'!$AA$89=0,0,'nowy format 2'!$D$16*'plan etatów'!J89/'plan etatów'!$AA$89)</f>
        <v>16136.6333333333</v>
      </c>
      <c r="K161" s="49" t="n">
        <f aca="false">IF('plan etatów'!$AA$89=0,0,'nowy format 2'!$D$16*'plan etatów'!K89/'plan etatów'!$AA$89)</f>
        <v>16136.6333333333</v>
      </c>
      <c r="L161" s="49" t="n">
        <f aca="false">IF('plan etatów'!$AA$89=0,0,'nowy format 2'!$D$16*'plan etatów'!L89/'plan etatów'!$AA$89)</f>
        <v>16136.6333333333</v>
      </c>
      <c r="M161" s="49" t="n">
        <f aca="false">IF('plan etatów'!$AA$89=0,0,'nowy format 2'!$D$16*'plan etatów'!M89/'plan etatów'!$AA$89)</f>
        <v>16136.6333333333</v>
      </c>
      <c r="N161" s="49" t="n">
        <f aca="false">IF('plan etatów'!$AA$89=0,0,'nowy format 2'!$D$16*'plan etatów'!N89/'plan etatów'!$AA$89)</f>
        <v>16136.6333333333</v>
      </c>
      <c r="O161" s="49" t="n">
        <f aca="false">IF('plan etatów'!$AA$89=0,0,'nowy format 2'!$D$16*'plan etatów'!O89/'plan etatów'!$AA$89)</f>
        <v>0</v>
      </c>
      <c r="P161" s="49" t="n">
        <f aca="false">IF('plan etatów'!$AA$89=0,0,'nowy format 2'!$D$16*'plan etatów'!P89/'plan etatów'!$AA$89)</f>
        <v>0</v>
      </c>
      <c r="Q161" s="49" t="n">
        <f aca="false">IF('plan etatów'!$AA$89=0,0,'nowy format 2'!$D$16*'plan etatów'!Q89/'plan etatów'!$AA$89)</f>
        <v>0</v>
      </c>
      <c r="R161" s="49" t="n">
        <f aca="false">IF('plan etatów'!$AA$89=0,0,'nowy format 2'!$D$16*'plan etatów'!R89/'plan etatów'!$AA$89)</f>
        <v>0</v>
      </c>
      <c r="S161" s="49" t="n">
        <f aca="false">IF('plan etatów'!$AA$89=0,0,'nowy format 2'!$D$16*'plan etatów'!S89/'plan etatów'!$AA$89)</f>
        <v>0</v>
      </c>
      <c r="T161" s="49" t="n">
        <f aca="false">IF('plan etatów'!$AA$89=0,0,'nowy format 2'!$D$16*'plan etatów'!T89/'plan etatów'!$AA$89)</f>
        <v>0</v>
      </c>
      <c r="U161" s="49" t="n">
        <f aca="false">IF('plan etatów'!$AA$89=0,0,'nowy format 2'!$D$16*'plan etatów'!U89/'plan etatów'!$AA$89)</f>
        <v>0</v>
      </c>
      <c r="V161" s="49" t="n">
        <f aca="false">IF('plan etatów'!$AA$89=0,0,'nowy format 2'!$D$16*'plan etatów'!V89/'plan etatów'!$AA$89)</f>
        <v>0</v>
      </c>
      <c r="W161" s="49" t="n">
        <f aca="false">IF('plan etatów'!$AA$89=0,0,'nowy format 2'!$D$16*'plan etatów'!W89/'plan etatów'!$AA$89)</f>
        <v>0</v>
      </c>
      <c r="X161" s="49" t="n">
        <f aca="false">IF('plan etatów'!$AA$89=0,0,'nowy format 2'!$D$16*'plan etatów'!X89/'plan etatów'!$AA$89)</f>
        <v>0</v>
      </c>
      <c r="Y161" s="49" t="n">
        <f aca="false">IF('plan etatów'!$AA$89=0,0,'nowy format 2'!$D$16*'plan etatów'!Y89/'plan etatów'!$AA$89)</f>
        <v>0</v>
      </c>
      <c r="Z161" s="49" t="n">
        <f aca="false">IF('plan etatów'!$AA$89=0,0,'nowy format 2'!$D$16*'plan etatów'!Z89/'plan etatów'!$AA$89)</f>
        <v>0</v>
      </c>
    </row>
    <row r="162" customFormat="false" ht="15" hidden="false" customHeight="false" outlineLevel="0" collapsed="false">
      <c r="A162" s="41" t="s">
        <v>27</v>
      </c>
      <c r="B162" s="41" t="n">
        <v>2</v>
      </c>
      <c r="C162" s="49" t="n">
        <f aca="false">SUM(D162:Z162)</f>
        <v>99000</v>
      </c>
      <c r="D162" s="49" t="n">
        <f aca="false">IF('plan etatów'!$AA$90=0,0,'nowy format 2'!$D$17*'plan etatów'!D90/'plan etatów'!$AA$90)</f>
        <v>0</v>
      </c>
      <c r="E162" s="49" t="n">
        <f aca="false">IF('plan etatów'!$AA$90=0,0,'nowy format 2'!$D$17*'plan etatów'!E90/'plan etatów'!$AA$90)</f>
        <v>0</v>
      </c>
      <c r="F162" s="49" t="n">
        <f aca="false">IF('plan etatów'!$AA$90=0,0,'nowy format 2'!$D$17*'plan etatów'!F90/'plan etatów'!$AA$90)</f>
        <v>0</v>
      </c>
      <c r="G162" s="49" t="n">
        <f aca="false">IF('plan etatów'!$AA$90=0,0,'nowy format 2'!$D$17*'plan etatów'!G90/'plan etatów'!$AA$90)</f>
        <v>0</v>
      </c>
      <c r="H162" s="49" t="n">
        <f aca="false">IF('plan etatów'!$AA$90=0,0,'nowy format 2'!$D$17*'plan etatów'!H90/'plan etatów'!$AA$90)</f>
        <v>0</v>
      </c>
      <c r="I162" s="49" t="n">
        <f aca="false">IF('plan etatów'!$AA$90=0,0,'nowy format 2'!$D$17*'plan etatów'!I90/'plan etatów'!$AA$90)</f>
        <v>16500</v>
      </c>
      <c r="J162" s="49" t="n">
        <f aca="false">IF('plan etatów'!$AA$90=0,0,'nowy format 2'!$D$17*'plan etatów'!J90/'plan etatów'!$AA$90)</f>
        <v>16500</v>
      </c>
      <c r="K162" s="49" t="n">
        <f aca="false">IF('plan etatów'!$AA$90=0,0,'nowy format 2'!$D$17*'plan etatów'!K90/'plan etatów'!$AA$90)</f>
        <v>16500</v>
      </c>
      <c r="L162" s="49" t="n">
        <f aca="false">IF('plan etatów'!$AA$90=0,0,'nowy format 2'!$D$17*'plan etatów'!L90/'plan etatów'!$AA$90)</f>
        <v>16500</v>
      </c>
      <c r="M162" s="49" t="n">
        <f aca="false">IF('plan etatów'!$AA$90=0,0,'nowy format 2'!$D$17*'plan etatów'!M90/'plan etatów'!$AA$90)</f>
        <v>16500</v>
      </c>
      <c r="N162" s="49" t="n">
        <f aca="false">IF('plan etatów'!$AA$90=0,0,'nowy format 2'!$D$17*'plan etatów'!N90/'plan etatów'!$AA$90)</f>
        <v>16500</v>
      </c>
      <c r="O162" s="49" t="n">
        <f aca="false">IF('plan etatów'!$AA$90=0,0,'nowy format 2'!$D$17*'plan etatów'!O90/'plan etatów'!$AA$90)</f>
        <v>0</v>
      </c>
      <c r="P162" s="49" t="n">
        <f aca="false">IF('plan etatów'!$AA$90=0,0,'nowy format 2'!$D$17*'plan etatów'!P90/'plan etatów'!$AA$90)</f>
        <v>0</v>
      </c>
      <c r="Q162" s="49" t="n">
        <f aca="false">IF('plan etatów'!$AA$90=0,0,'nowy format 2'!$D$17*'plan etatów'!Q90/'plan etatów'!$AA$90)</f>
        <v>0</v>
      </c>
      <c r="R162" s="49" t="n">
        <f aca="false">IF('plan etatów'!$AA$90=0,0,'nowy format 2'!$D$17*'plan etatów'!R90/'plan etatów'!$AA$90)</f>
        <v>0</v>
      </c>
      <c r="S162" s="49" t="n">
        <f aca="false">IF('plan etatów'!$AA$90=0,0,'nowy format 2'!$D$17*'plan etatów'!S90/'plan etatów'!$AA$90)</f>
        <v>0</v>
      </c>
      <c r="T162" s="49" t="n">
        <f aca="false">IF('plan etatów'!$AA$90=0,0,'nowy format 2'!$D$17*'plan etatów'!T90/'plan etatów'!$AA$90)</f>
        <v>0</v>
      </c>
      <c r="U162" s="49" t="n">
        <f aca="false">IF('plan etatów'!$AA$90=0,0,'nowy format 2'!$D$17*'plan etatów'!U90/'plan etatów'!$AA$90)</f>
        <v>0</v>
      </c>
      <c r="V162" s="49" t="n">
        <f aca="false">IF('plan etatów'!$AA$90=0,0,'nowy format 2'!$D$17*'plan etatów'!V90/'plan etatów'!$AA$90)</f>
        <v>0</v>
      </c>
      <c r="W162" s="49" t="n">
        <f aca="false">IF('plan etatów'!$AA$90=0,0,'nowy format 2'!$D$17*'plan etatów'!W90/'plan etatów'!$AA$90)</f>
        <v>0</v>
      </c>
      <c r="X162" s="49" t="n">
        <f aca="false">IF('plan etatów'!$AA$90=0,0,'nowy format 2'!$D$17*'plan etatów'!X90/'plan etatów'!$AA$90)</f>
        <v>0</v>
      </c>
      <c r="Y162" s="49" t="n">
        <f aca="false">IF('plan etatów'!$AA$90=0,0,'nowy format 2'!$D$17*'plan etatów'!Y90/'plan etatów'!$AA$90)</f>
        <v>0</v>
      </c>
      <c r="Z162" s="49" t="n">
        <f aca="false">IF('plan etatów'!$AA$90=0,0,'nowy format 2'!$D$17*'plan etatów'!Z90/'plan etatów'!$AA$90)</f>
        <v>0</v>
      </c>
    </row>
    <row r="163" customFormat="false" ht="15" hidden="false" customHeight="false" outlineLevel="0" collapsed="false">
      <c r="A163" s="41" t="s">
        <v>28</v>
      </c>
      <c r="B163" s="41" t="n">
        <v>2</v>
      </c>
      <c r="C163" s="49" t="n">
        <f aca="false">SUM(D163:Z163)</f>
        <v>35511.02</v>
      </c>
      <c r="D163" s="49" t="n">
        <f aca="false">IF('plan etatów'!$AA$91=0,0,'nowy format 2'!$D$18*'plan etatów'!D91/'plan etatów'!$AA$91)</f>
        <v>0</v>
      </c>
      <c r="E163" s="49" t="n">
        <f aca="false">IF('plan etatów'!$AA$91=0,0,'nowy format 2'!$D$18*'plan etatów'!E91/'plan etatów'!$AA$91)</f>
        <v>0</v>
      </c>
      <c r="F163" s="49" t="n">
        <f aca="false">IF('plan etatów'!$AA$91=0,0,'nowy format 2'!$D$18*'plan etatów'!F91/'plan etatów'!$AA$91)</f>
        <v>0</v>
      </c>
      <c r="G163" s="49" t="n">
        <f aca="false">IF('plan etatów'!$AA$91=0,0,'nowy format 2'!$D$18*'plan etatów'!G91/'plan etatów'!$AA$91)</f>
        <v>0</v>
      </c>
      <c r="H163" s="49" t="n">
        <f aca="false">IF('plan etatów'!$AA$91=0,0,'nowy format 2'!$D$18*'plan etatów'!H91/'plan etatów'!$AA$91)</f>
        <v>0</v>
      </c>
      <c r="I163" s="49" t="n">
        <f aca="false">IF('plan etatów'!$AA$91=0,0,'nowy format 2'!$D$18*'plan etatów'!I91/'plan etatów'!$AA$91)</f>
        <v>5918.50333333333</v>
      </c>
      <c r="J163" s="49" t="n">
        <f aca="false">IF('plan etatów'!$AA$91=0,0,'nowy format 2'!$D$18*'plan etatów'!J91/'plan etatów'!$AA$91)</f>
        <v>5918.50333333333</v>
      </c>
      <c r="K163" s="49" t="n">
        <f aca="false">IF('plan etatów'!$AA$91=0,0,'nowy format 2'!$D$18*'plan etatów'!K91/'plan etatów'!$AA$91)</f>
        <v>5918.50333333333</v>
      </c>
      <c r="L163" s="49" t="n">
        <f aca="false">IF('plan etatów'!$AA$91=0,0,'nowy format 2'!$D$18*'plan etatów'!L91/'plan etatów'!$AA$91)</f>
        <v>5918.50333333333</v>
      </c>
      <c r="M163" s="49" t="n">
        <f aca="false">IF('plan etatów'!$AA$91=0,0,'nowy format 2'!$D$18*'plan etatów'!M91/'plan etatów'!$AA$91)</f>
        <v>5918.50333333333</v>
      </c>
      <c r="N163" s="49" t="n">
        <f aca="false">IF('plan etatów'!$AA$91=0,0,'nowy format 2'!$D$18*'plan etatów'!N91/'plan etatów'!$AA$91)</f>
        <v>5918.50333333333</v>
      </c>
      <c r="O163" s="49" t="n">
        <f aca="false">IF('plan etatów'!$AA$91=0,0,'nowy format 2'!$D$18*'plan etatów'!O91/'plan etatów'!$AA$91)</f>
        <v>0</v>
      </c>
      <c r="P163" s="49" t="n">
        <f aca="false">IF('plan etatów'!$AA$91=0,0,'nowy format 2'!$D$18*'plan etatów'!P91/'plan etatów'!$AA$91)</f>
        <v>0</v>
      </c>
      <c r="Q163" s="49" t="n">
        <f aca="false">IF('plan etatów'!$AA$91=0,0,'nowy format 2'!$D$18*'plan etatów'!Q91/'plan etatów'!$AA$91)</f>
        <v>0</v>
      </c>
      <c r="R163" s="49" t="n">
        <f aca="false">IF('plan etatów'!$AA$91=0,0,'nowy format 2'!$D$18*'plan etatów'!R91/'plan etatów'!$AA$91)</f>
        <v>0</v>
      </c>
      <c r="S163" s="49" t="n">
        <f aca="false">IF('plan etatów'!$AA$91=0,0,'nowy format 2'!$D$18*'plan etatów'!S91/'plan etatów'!$AA$91)</f>
        <v>0</v>
      </c>
      <c r="T163" s="49" t="n">
        <f aca="false">IF('plan etatów'!$AA$91=0,0,'nowy format 2'!$D$18*'plan etatów'!T91/'plan etatów'!$AA$91)</f>
        <v>0</v>
      </c>
      <c r="U163" s="49" t="n">
        <f aca="false">IF('plan etatów'!$AA$91=0,0,'nowy format 2'!$D$18*'plan etatów'!U91/'plan etatów'!$AA$91)</f>
        <v>0</v>
      </c>
      <c r="V163" s="49" t="n">
        <f aca="false">IF('plan etatów'!$AA$91=0,0,'nowy format 2'!$D$18*'plan etatów'!V91/'plan etatów'!$AA$91)</f>
        <v>0</v>
      </c>
      <c r="W163" s="49" t="n">
        <f aca="false">IF('plan etatów'!$AA$91=0,0,'nowy format 2'!$D$18*'plan etatów'!W91/'plan etatów'!$AA$91)</f>
        <v>0</v>
      </c>
      <c r="X163" s="49" t="n">
        <f aca="false">IF('plan etatów'!$AA$91=0,0,'nowy format 2'!$D$18*'plan etatów'!X91/'plan etatów'!$AA$91)</f>
        <v>0</v>
      </c>
      <c r="Y163" s="49" t="n">
        <f aca="false">IF('plan etatów'!$AA$91=0,0,'nowy format 2'!$D$18*'plan etatów'!Y91/'plan etatów'!$AA$91)</f>
        <v>0</v>
      </c>
      <c r="Z163" s="49" t="n">
        <f aca="false">IF('plan etatów'!$AA$91=0,0,'nowy format 2'!$D$18*'plan etatów'!Z91/'plan etatów'!$AA$91)</f>
        <v>0</v>
      </c>
    </row>
    <row r="164" customFormat="false" ht="15" hidden="false" customHeight="false" outlineLevel="0" collapsed="false">
      <c r="A164" s="41" t="s">
        <v>29</v>
      </c>
      <c r="B164" s="41" t="n">
        <v>2</v>
      </c>
      <c r="C164" s="49" t="n">
        <f aca="false">SUM(D164:Z164)</f>
        <v>99000</v>
      </c>
      <c r="D164" s="49" t="n">
        <f aca="false">IF('plan etatów'!$AA$92=0,0,'nowy format 2'!$D$19*'plan etatów'!D92/'plan etatów'!$AA$92)</f>
        <v>0</v>
      </c>
      <c r="E164" s="49" t="n">
        <f aca="false">IF('plan etatów'!$AA$92=0,0,'nowy format 2'!$D$19*'plan etatów'!E92/'plan etatów'!$AA$92)</f>
        <v>0</v>
      </c>
      <c r="F164" s="49" t="n">
        <f aca="false">IF('plan etatów'!$AA$92=0,0,'nowy format 2'!$D$19*'plan etatów'!F92/'plan etatów'!$AA$92)</f>
        <v>0</v>
      </c>
      <c r="G164" s="49" t="n">
        <f aca="false">IF('plan etatów'!$AA$92=0,0,'nowy format 2'!$D$19*'plan etatów'!G92/'plan etatów'!$AA$92)</f>
        <v>0</v>
      </c>
      <c r="H164" s="49" t="n">
        <f aca="false">IF('plan etatów'!$AA$92=0,0,'nowy format 2'!$D$19*'plan etatów'!H92/'plan etatów'!$AA$92)</f>
        <v>0</v>
      </c>
      <c r="I164" s="49" t="n">
        <f aca="false">IF('plan etatów'!$AA$92=0,0,'nowy format 2'!$D$19*'plan etatów'!I92/'plan etatów'!$AA$92)</f>
        <v>16500</v>
      </c>
      <c r="J164" s="49" t="n">
        <f aca="false">IF('plan etatów'!$AA$92=0,0,'nowy format 2'!$D$19*'plan etatów'!J92/'plan etatów'!$AA$92)</f>
        <v>16500</v>
      </c>
      <c r="K164" s="49" t="n">
        <f aca="false">IF('plan etatów'!$AA$92=0,0,'nowy format 2'!$D$19*'plan etatów'!K92/'plan etatów'!$AA$92)</f>
        <v>16500</v>
      </c>
      <c r="L164" s="49" t="n">
        <f aca="false">IF('plan etatów'!$AA$92=0,0,'nowy format 2'!$D$19*'plan etatów'!L92/'plan etatów'!$AA$92)</f>
        <v>16500</v>
      </c>
      <c r="M164" s="49" t="n">
        <f aca="false">IF('plan etatów'!$AA$92=0,0,'nowy format 2'!$D$19*'plan etatów'!M92/'plan etatów'!$AA$92)</f>
        <v>16500</v>
      </c>
      <c r="N164" s="49" t="n">
        <f aca="false">IF('plan etatów'!$AA$92=0,0,'nowy format 2'!$D$19*'plan etatów'!N92/'plan etatów'!$AA$92)</f>
        <v>16500</v>
      </c>
      <c r="O164" s="49" t="n">
        <f aca="false">IF('plan etatów'!$AA$92=0,0,'nowy format 2'!$D$19*'plan etatów'!O92/'plan etatów'!$AA$92)</f>
        <v>0</v>
      </c>
      <c r="P164" s="49" t="n">
        <f aca="false">IF('plan etatów'!$AA$92=0,0,'nowy format 2'!$D$19*'plan etatów'!P92/'plan etatów'!$AA$92)</f>
        <v>0</v>
      </c>
      <c r="Q164" s="49" t="n">
        <f aca="false">IF('plan etatów'!$AA$92=0,0,'nowy format 2'!$D$19*'plan etatów'!Q92/'plan etatów'!$AA$92)</f>
        <v>0</v>
      </c>
      <c r="R164" s="49" t="n">
        <f aca="false">IF('plan etatów'!$AA$92=0,0,'nowy format 2'!$D$19*'plan etatów'!R92/'plan etatów'!$AA$92)</f>
        <v>0</v>
      </c>
      <c r="S164" s="49" t="n">
        <f aca="false">IF('plan etatów'!$AA$92=0,0,'nowy format 2'!$D$19*'plan etatów'!S92/'plan etatów'!$AA$92)</f>
        <v>0</v>
      </c>
      <c r="T164" s="49" t="n">
        <f aca="false">IF('plan etatów'!$AA$92=0,0,'nowy format 2'!$D$19*'plan etatów'!T92/'plan etatów'!$AA$92)</f>
        <v>0</v>
      </c>
      <c r="U164" s="49" t="n">
        <f aca="false">IF('plan etatów'!$AA$92=0,0,'nowy format 2'!$D$19*'plan etatów'!U92/'plan etatów'!$AA$92)</f>
        <v>0</v>
      </c>
      <c r="V164" s="49" t="n">
        <f aca="false">IF('plan etatów'!$AA$92=0,0,'nowy format 2'!$D$19*'plan etatów'!V92/'plan etatów'!$AA$92)</f>
        <v>0</v>
      </c>
      <c r="W164" s="49" t="n">
        <f aca="false">IF('plan etatów'!$AA$92=0,0,'nowy format 2'!$D$19*'plan etatów'!W92/'plan etatów'!$AA$92)</f>
        <v>0</v>
      </c>
      <c r="X164" s="49" t="n">
        <f aca="false">IF('plan etatów'!$AA$92=0,0,'nowy format 2'!$D$19*'plan etatów'!X92/'plan etatów'!$AA$92)</f>
        <v>0</v>
      </c>
      <c r="Y164" s="49" t="n">
        <f aca="false">IF('plan etatów'!$AA$92=0,0,'nowy format 2'!$D$19*'plan etatów'!Y92/'plan etatów'!$AA$92)</f>
        <v>0</v>
      </c>
      <c r="Z164" s="49" t="n">
        <f aca="false">IF('plan etatów'!$AA$92=0,0,'nowy format 2'!$D$19*'plan etatów'!Z92/'plan etatów'!$AA$92)</f>
        <v>0</v>
      </c>
    </row>
    <row r="165" customFormat="false" ht="15" hidden="false" customHeight="false" outlineLevel="0" collapsed="false">
      <c r="A165" s="41" t="s">
        <v>30</v>
      </c>
      <c r="B165" s="41" t="n">
        <v>2</v>
      </c>
      <c r="C165" s="49" t="n">
        <f aca="false">SUM(D165:Z165)</f>
        <v>23614.23</v>
      </c>
      <c r="D165" s="49" t="n">
        <f aca="false">IF('plan etatów'!$AA$93=0,0,'nowy format 2'!$D$20*'plan etatów'!D93/'plan etatów'!$AA$93)</f>
        <v>0</v>
      </c>
      <c r="E165" s="49" t="n">
        <f aca="false">IF('plan etatów'!$AA$93=0,0,'nowy format 2'!$D$20*'plan etatów'!E93/'plan etatów'!$AA$93)</f>
        <v>0</v>
      </c>
      <c r="F165" s="49" t="n">
        <f aca="false">IF('plan etatów'!$AA$93=0,0,'nowy format 2'!$D$20*'plan etatów'!F93/'plan etatów'!$AA$93)</f>
        <v>0</v>
      </c>
      <c r="G165" s="49" t="n">
        <f aca="false">IF('plan etatów'!$AA$93=0,0,'nowy format 2'!$D$20*'plan etatów'!G93/'plan etatów'!$AA$93)</f>
        <v>0</v>
      </c>
      <c r="H165" s="49" t="n">
        <f aca="false">IF('plan etatów'!$AA$93=0,0,'nowy format 2'!$D$20*'plan etatów'!H93/'plan etatów'!$AA$93)</f>
        <v>0</v>
      </c>
      <c r="I165" s="49" t="n">
        <f aca="false">IF('plan etatów'!$AA$93=0,0,'nowy format 2'!$D$20*'plan etatów'!I93/'plan etatów'!$AA$93)</f>
        <v>3935.705</v>
      </c>
      <c r="J165" s="49" t="n">
        <f aca="false">IF('plan etatów'!$AA$93=0,0,'nowy format 2'!$D$20*'plan etatów'!J93/'plan etatów'!$AA$93)</f>
        <v>3935.705</v>
      </c>
      <c r="K165" s="49" t="n">
        <f aca="false">IF('plan etatów'!$AA$93=0,0,'nowy format 2'!$D$20*'plan etatów'!K93/'plan etatów'!$AA$93)</f>
        <v>3935.705</v>
      </c>
      <c r="L165" s="49" t="n">
        <f aca="false">IF('plan etatów'!$AA$93=0,0,'nowy format 2'!$D$20*'plan etatów'!L93/'plan etatów'!$AA$93)</f>
        <v>3935.705</v>
      </c>
      <c r="M165" s="49" t="n">
        <f aca="false">IF('plan etatów'!$AA$93=0,0,'nowy format 2'!$D$20*'plan etatów'!M93/'plan etatów'!$AA$93)</f>
        <v>3935.705</v>
      </c>
      <c r="N165" s="49" t="n">
        <f aca="false">IF('plan etatów'!$AA$93=0,0,'nowy format 2'!$D$20*'plan etatów'!N93/'plan etatów'!$AA$93)</f>
        <v>3935.705</v>
      </c>
      <c r="O165" s="49" t="n">
        <f aca="false">IF('plan etatów'!$AA$93=0,0,'nowy format 2'!$D$20*'plan etatów'!O93/'plan etatów'!$AA$93)</f>
        <v>0</v>
      </c>
      <c r="P165" s="49" t="n">
        <f aca="false">IF('plan etatów'!$AA$93=0,0,'nowy format 2'!$D$20*'plan etatów'!P93/'plan etatów'!$AA$93)</f>
        <v>0</v>
      </c>
      <c r="Q165" s="49" t="n">
        <f aca="false">IF('plan etatów'!$AA$93=0,0,'nowy format 2'!$D$20*'plan etatów'!Q93/'plan etatów'!$AA$93)</f>
        <v>0</v>
      </c>
      <c r="R165" s="49" t="n">
        <f aca="false">IF('plan etatów'!$AA$93=0,0,'nowy format 2'!$D$20*'plan etatów'!R93/'plan etatów'!$AA$93)</f>
        <v>0</v>
      </c>
      <c r="S165" s="49" t="n">
        <f aca="false">IF('plan etatów'!$AA$93=0,0,'nowy format 2'!$D$20*'plan etatów'!S93/'plan etatów'!$AA$93)</f>
        <v>0</v>
      </c>
      <c r="T165" s="49" t="n">
        <f aca="false">IF('plan etatów'!$AA$93=0,0,'nowy format 2'!$D$20*'plan etatów'!T93/'plan etatów'!$AA$93)</f>
        <v>0</v>
      </c>
      <c r="U165" s="49" t="n">
        <f aca="false">IF('plan etatów'!$AA$93=0,0,'nowy format 2'!$D$20*'plan etatów'!U93/'plan etatów'!$AA$93)</f>
        <v>0</v>
      </c>
      <c r="V165" s="49" t="n">
        <f aca="false">IF('plan etatów'!$AA$93=0,0,'nowy format 2'!$D$20*'plan etatów'!V93/'plan etatów'!$AA$93)</f>
        <v>0</v>
      </c>
      <c r="W165" s="49" t="n">
        <f aca="false">IF('plan etatów'!$AA$93=0,0,'nowy format 2'!$D$20*'plan etatów'!W93/'plan etatów'!$AA$93)</f>
        <v>0</v>
      </c>
      <c r="X165" s="49" t="n">
        <f aca="false">IF('plan etatów'!$AA$93=0,0,'nowy format 2'!$D$20*'plan etatów'!X93/'plan etatów'!$AA$93)</f>
        <v>0</v>
      </c>
      <c r="Y165" s="49" t="n">
        <f aca="false">IF('plan etatów'!$AA$93=0,0,'nowy format 2'!$D$20*'plan etatów'!Y93/'plan etatów'!$AA$93)</f>
        <v>0</v>
      </c>
      <c r="Z165" s="49" t="n">
        <f aca="false">IF('plan etatów'!$AA$93=0,0,'nowy format 2'!$D$20*'plan etatów'!Z93/'plan etatów'!$AA$93)</f>
        <v>0</v>
      </c>
    </row>
    <row r="166" customFormat="false" ht="15" hidden="false" customHeight="false" outlineLevel="0" collapsed="false">
      <c r="A166" s="41" t="s">
        <v>31</v>
      </c>
      <c r="B166" s="41" t="n">
        <v>2</v>
      </c>
      <c r="C166" s="49" t="n">
        <f aca="false">SUM(D166:Z166)</f>
        <v>504.06</v>
      </c>
      <c r="D166" s="49" t="n">
        <f aca="false">IF(D$4='plan etatów'!$E$5,założenia!$C$9,0)</f>
        <v>0</v>
      </c>
      <c r="E166" s="49" t="n">
        <f aca="false">IF(E$4='plan etatów'!$E$5,założenia!$C$9,0)</f>
        <v>0</v>
      </c>
      <c r="F166" s="49" t="n">
        <f aca="false">IF(F$4='plan etatów'!$E$5,założenia!$C$9,0)</f>
        <v>0</v>
      </c>
      <c r="G166" s="49" t="n">
        <f aca="false">IF(G$4='plan etatów'!$E$5,założenia!$C$9,0)</f>
        <v>0</v>
      </c>
      <c r="H166" s="49" t="n">
        <f aca="false">IF(H$4='plan etatów'!$E$5,założenia!$C$9,0)</f>
        <v>0</v>
      </c>
      <c r="I166" s="49" t="n">
        <f aca="false">IF(I$4='plan etatów'!$E$5,założenia!$C$9,0)</f>
        <v>0</v>
      </c>
      <c r="J166" s="49" t="n">
        <f aca="false">IF(J$4='plan etatów'!$E$5,założenia!$C$9,0)</f>
        <v>0</v>
      </c>
      <c r="K166" s="49" t="n">
        <f aca="false">IF(K$4='plan etatów'!$E$5,założenia!$C$9,0)</f>
        <v>0</v>
      </c>
      <c r="L166" s="49" t="n">
        <f aca="false">IF(L$4='plan etatów'!$E$5,założenia!$C$9,0)</f>
        <v>0</v>
      </c>
      <c r="M166" s="49" t="n">
        <f aca="false">IF(M$4='plan etatów'!$E$5,założenia!$C$9,0)</f>
        <v>0</v>
      </c>
      <c r="N166" s="49" t="n">
        <f aca="false">IF(N$4='plan etatów'!$E$5,założenia!$C$9,0)</f>
        <v>504.06</v>
      </c>
      <c r="O166" s="49" t="n">
        <f aca="false">IF(O$4='plan etatów'!$E$5,założenia!$C$9,0)</f>
        <v>0</v>
      </c>
      <c r="P166" s="49" t="n">
        <f aca="false">IF(P$4='plan etatów'!$E$5,założenia!$C$9,0)</f>
        <v>0</v>
      </c>
      <c r="Q166" s="49" t="n">
        <f aca="false">IF(Q$4='plan etatów'!$E$5,założenia!$C$9,0)</f>
        <v>0</v>
      </c>
      <c r="R166" s="49" t="n">
        <f aca="false">IF(R$4='plan etatów'!$E$5,założenia!$C$9,0)</f>
        <v>0</v>
      </c>
      <c r="S166" s="49" t="n">
        <f aca="false">IF(S$4='plan etatów'!$E$5,założenia!$C$9,0)</f>
        <v>0</v>
      </c>
      <c r="T166" s="49" t="n">
        <f aca="false">IF(T$4='plan etatów'!$E$5,założenia!$C$9,0)</f>
        <v>0</v>
      </c>
      <c r="U166" s="49" t="n">
        <f aca="false">IF(U$4='plan etatów'!$E$5,założenia!$C$9,0)</f>
        <v>0</v>
      </c>
      <c r="V166" s="49" t="n">
        <f aca="false">IF(V$4='plan etatów'!$E$5,założenia!$C$9,0)</f>
        <v>0</v>
      </c>
      <c r="W166" s="49" t="n">
        <f aca="false">IF(W$4='plan etatów'!$E$5,założenia!$C$9,0)</f>
        <v>0</v>
      </c>
      <c r="X166" s="49" t="n">
        <f aca="false">IF(X$4='plan etatów'!$E$5,założenia!$C$9,0)</f>
        <v>0</v>
      </c>
      <c r="Y166" s="49" t="n">
        <f aca="false">IF(Y$4='plan etatów'!$E$5,założenia!$C$9,0)</f>
        <v>0</v>
      </c>
      <c r="Z166" s="49" t="n">
        <f aca="false">IF(Z$4='plan etatów'!$E$5,założenia!$C$9,0)</f>
        <v>0</v>
      </c>
    </row>
    <row r="167" customFormat="false" ht="15" hidden="false" customHeight="false" outlineLevel="0" collapsed="false">
      <c r="A167" s="41" t="s">
        <v>32</v>
      </c>
      <c r="B167" s="41" t="n">
        <v>2</v>
      </c>
      <c r="C167" s="49" t="n">
        <f aca="false">SUM(D167:Z167)</f>
        <v>2731.296</v>
      </c>
      <c r="D167" s="49" t="n">
        <f aca="false">D73*założenia!$C$5</f>
        <v>0</v>
      </c>
      <c r="E167" s="49" t="n">
        <f aca="false">E73*założenia!$C$5</f>
        <v>0</v>
      </c>
      <c r="F167" s="49" t="n">
        <f aca="false">F73*założenia!$C$5</f>
        <v>0</v>
      </c>
      <c r="G167" s="49" t="n">
        <f aca="false">G73*założenia!$C$5</f>
        <v>0</v>
      </c>
      <c r="H167" s="49" t="n">
        <f aca="false">H73*założenia!$C$5</f>
        <v>0</v>
      </c>
      <c r="I167" s="49" t="n">
        <f aca="false">I73*założenia!$C$5</f>
        <v>455.216</v>
      </c>
      <c r="J167" s="49" t="n">
        <f aca="false">J73*założenia!$C$5</f>
        <v>455.216</v>
      </c>
      <c r="K167" s="49" t="n">
        <f aca="false">K73*założenia!$C$5</f>
        <v>455.216</v>
      </c>
      <c r="L167" s="49" t="n">
        <f aca="false">L73*założenia!$C$5</f>
        <v>455.216</v>
      </c>
      <c r="M167" s="49" t="n">
        <f aca="false">M73*założenia!$C$5</f>
        <v>455.216</v>
      </c>
      <c r="N167" s="49" t="n">
        <f aca="false">N73*założenia!$C$5</f>
        <v>455.216</v>
      </c>
      <c r="O167" s="49" t="n">
        <f aca="false">O73*założenia!$C$5</f>
        <v>0</v>
      </c>
      <c r="P167" s="49" t="n">
        <f aca="false">P73*założenia!$C$5</f>
        <v>0</v>
      </c>
      <c r="Q167" s="49" t="n">
        <f aca="false">Q73*założenia!$C$5</f>
        <v>0</v>
      </c>
      <c r="R167" s="49" t="n">
        <f aca="false">R73*założenia!$C$5</f>
        <v>0</v>
      </c>
      <c r="S167" s="49" t="n">
        <f aca="false">S73*założenia!$C$5</f>
        <v>0</v>
      </c>
      <c r="T167" s="49" t="n">
        <f aca="false">T73*założenia!$C$5</f>
        <v>0</v>
      </c>
      <c r="U167" s="49" t="n">
        <f aca="false">U73*założenia!$C$5</f>
        <v>0</v>
      </c>
      <c r="V167" s="49" t="n">
        <f aca="false">V73*założenia!$C$5</f>
        <v>0</v>
      </c>
      <c r="W167" s="49" t="n">
        <f aca="false">W73*założenia!$C$5</f>
        <v>0</v>
      </c>
      <c r="X167" s="49" t="n">
        <f aca="false">X73*założenia!$C$5</f>
        <v>0</v>
      </c>
      <c r="Y167" s="49" t="n">
        <f aca="false">Y73*założenia!$C$5</f>
        <v>0</v>
      </c>
      <c r="Z167" s="49" t="n">
        <f aca="false">Z73*założenia!$C$5</f>
        <v>0</v>
      </c>
    </row>
    <row r="168" customFormat="false" ht="15" hidden="false" customHeight="false" outlineLevel="0" collapsed="false">
      <c r="A168" s="41" t="s">
        <v>33</v>
      </c>
      <c r="B168" s="41" t="n">
        <v>2</v>
      </c>
      <c r="C168" s="49" t="n">
        <f aca="false">SUM(D168:Z168)</f>
        <v>94794.97</v>
      </c>
      <c r="D168" s="49" t="n">
        <f aca="false">IF('plan etatów'!$AA$96=0,0,'nowy format 2'!$D$23*'plan etatów'!D96/'plan etatów'!$AA$96)</f>
        <v>0</v>
      </c>
      <c r="E168" s="49" t="n">
        <f aca="false">IF('plan etatów'!$AA$96=0,0,'nowy format 2'!$D$23*'plan etatów'!E96/'plan etatów'!$AA$96)</f>
        <v>0</v>
      </c>
      <c r="F168" s="49" t="n">
        <f aca="false">IF('plan etatów'!$AA$96=0,0,'nowy format 2'!$D$23*'plan etatów'!F96/'plan etatów'!$AA$96)</f>
        <v>0</v>
      </c>
      <c r="G168" s="49" t="n">
        <f aca="false">IF('plan etatów'!$AA$96=0,0,'nowy format 2'!$D$23*'plan etatów'!G96/'plan etatów'!$AA$96)</f>
        <v>0</v>
      </c>
      <c r="H168" s="49" t="n">
        <f aca="false">IF('plan etatów'!$AA$96=0,0,'nowy format 2'!$D$23*'plan etatów'!H96/'plan etatów'!$AA$96)</f>
        <v>0</v>
      </c>
      <c r="I168" s="49" t="n">
        <f aca="false">IF('plan etatów'!$AA$96=0,0,'nowy format 2'!$D$23*'plan etatów'!I96/'plan etatów'!$AA$96)</f>
        <v>15799.1616666667</v>
      </c>
      <c r="J168" s="49" t="n">
        <f aca="false">IF('plan etatów'!$AA$96=0,0,'nowy format 2'!$D$23*'plan etatów'!J96/'plan etatów'!$AA$96)</f>
        <v>15799.1616666667</v>
      </c>
      <c r="K168" s="49" t="n">
        <f aca="false">IF('plan etatów'!$AA$96=0,0,'nowy format 2'!$D$23*'plan etatów'!K96/'plan etatów'!$AA$96)</f>
        <v>15799.1616666667</v>
      </c>
      <c r="L168" s="49" t="n">
        <f aca="false">IF('plan etatów'!$AA$96=0,0,'nowy format 2'!$D$23*'plan etatów'!L96/'plan etatów'!$AA$96)</f>
        <v>15799.1616666667</v>
      </c>
      <c r="M168" s="49" t="n">
        <f aca="false">IF('plan etatów'!$AA$96=0,0,'nowy format 2'!$D$23*'plan etatów'!M96/'plan etatów'!$AA$96)</f>
        <v>15799.1616666667</v>
      </c>
      <c r="N168" s="49" t="n">
        <f aca="false">IF('plan etatów'!$AA$96=0,0,'nowy format 2'!$D$23*'plan etatów'!N96/'plan etatów'!$AA$96)</f>
        <v>15799.1616666667</v>
      </c>
      <c r="O168" s="49" t="n">
        <f aca="false">IF('plan etatów'!$AA$96=0,0,'nowy format 2'!$D$23*'plan etatów'!O96/'plan etatów'!$AA$96)</f>
        <v>0</v>
      </c>
      <c r="P168" s="49" t="n">
        <f aca="false">IF('plan etatów'!$AA$96=0,0,'nowy format 2'!$D$23*'plan etatów'!P96/'plan etatów'!$AA$96)</f>
        <v>0</v>
      </c>
      <c r="Q168" s="49" t="n">
        <f aca="false">IF('plan etatów'!$AA$96=0,0,'nowy format 2'!$D$23*'plan etatów'!Q96/'plan etatów'!$AA$96)</f>
        <v>0</v>
      </c>
      <c r="R168" s="49" t="n">
        <f aca="false">IF('plan etatów'!$AA$96=0,0,'nowy format 2'!$D$23*'plan etatów'!R96/'plan etatów'!$AA$96)</f>
        <v>0</v>
      </c>
      <c r="S168" s="49" t="n">
        <f aca="false">IF('plan etatów'!$AA$96=0,0,'nowy format 2'!$D$23*'plan etatów'!S96/'plan etatów'!$AA$96)</f>
        <v>0</v>
      </c>
      <c r="T168" s="49" t="n">
        <f aca="false">IF('plan etatów'!$AA$96=0,0,'nowy format 2'!$D$23*'plan etatów'!T96/'plan etatów'!$AA$96)</f>
        <v>0</v>
      </c>
      <c r="U168" s="49" t="n">
        <f aca="false">IF('plan etatów'!$AA$96=0,0,'nowy format 2'!$D$23*'plan etatów'!U96/'plan etatów'!$AA$96)</f>
        <v>0</v>
      </c>
      <c r="V168" s="49" t="n">
        <f aca="false">IF('plan etatów'!$AA$96=0,0,'nowy format 2'!$D$23*'plan etatów'!V96/'plan etatów'!$AA$96)</f>
        <v>0</v>
      </c>
      <c r="W168" s="49" t="n">
        <f aca="false">IF('plan etatów'!$AA$96=0,0,'nowy format 2'!$D$23*'plan etatów'!W96/'plan etatów'!$AA$96)</f>
        <v>0</v>
      </c>
      <c r="X168" s="49" t="n">
        <f aca="false">IF('plan etatów'!$AA$96=0,0,'nowy format 2'!$D$23*'plan etatów'!X96/'plan etatów'!$AA$96)</f>
        <v>0</v>
      </c>
      <c r="Y168" s="49" t="n">
        <f aca="false">IF('plan etatów'!$AA$96=0,0,'nowy format 2'!$D$23*'plan etatów'!Y96/'plan etatów'!$AA$96)</f>
        <v>0</v>
      </c>
      <c r="Z168" s="49" t="n">
        <f aca="false">IF('plan etatów'!$AA$96=0,0,'nowy format 2'!$D$23*'plan etatów'!Z96/'plan etatów'!$AA$96)</f>
        <v>0</v>
      </c>
    </row>
    <row r="169" customFormat="false" ht="15" hidden="false" customHeight="false" outlineLevel="0" collapsed="false">
      <c r="A169" s="41" t="s">
        <v>35</v>
      </c>
      <c r="B169" s="41" t="n">
        <v>3</v>
      </c>
      <c r="C169" s="49" t="n">
        <f aca="false">SUM(D169:Z169)</f>
        <v>354560</v>
      </c>
      <c r="D169" s="49" t="n">
        <f aca="false">D75*założenia!$C$6</f>
        <v>0</v>
      </c>
      <c r="E169" s="49" t="n">
        <f aca="false">E75*założenia!$C$6</f>
        <v>0</v>
      </c>
      <c r="F169" s="49" t="n">
        <f aca="false">F75*założenia!$C$6</f>
        <v>0</v>
      </c>
      <c r="G169" s="49" t="n">
        <f aca="false">G75*założenia!$C$6</f>
        <v>0</v>
      </c>
      <c r="H169" s="49" t="n">
        <f aca="false">H75*założenia!$C$6</f>
        <v>0</v>
      </c>
      <c r="I169" s="49" t="n">
        <f aca="false">I75*założenia!$C$6</f>
        <v>0</v>
      </c>
      <c r="J169" s="49" t="n">
        <f aca="false">J75*założenia!$C$6</f>
        <v>0</v>
      </c>
      <c r="K169" s="49" t="n">
        <f aca="false">K75*założenia!$C$6</f>
        <v>0</v>
      </c>
      <c r="L169" s="49" t="n">
        <f aca="false">L75*założenia!$C$6</f>
        <v>0</v>
      </c>
      <c r="M169" s="49" t="n">
        <f aca="false">M75*założenia!$C$6</f>
        <v>0</v>
      </c>
      <c r="N169" s="49" t="n">
        <f aca="false">N75*założenia!$C$6</f>
        <v>0</v>
      </c>
      <c r="O169" s="49" t="n">
        <f aca="false">O75*założenia!$C$6</f>
        <v>44320</v>
      </c>
      <c r="P169" s="49" t="n">
        <f aca="false">P75*założenia!$C$6</f>
        <v>44320</v>
      </c>
      <c r="Q169" s="49" t="n">
        <f aca="false">Q75*założenia!$C$6</f>
        <v>44320</v>
      </c>
      <c r="R169" s="49" t="n">
        <f aca="false">R75*założenia!$C$6</f>
        <v>44320</v>
      </c>
      <c r="S169" s="49" t="n">
        <f aca="false">S75*założenia!$C$6</f>
        <v>44320</v>
      </c>
      <c r="T169" s="49" t="n">
        <f aca="false">T75*założenia!$C$6</f>
        <v>44320</v>
      </c>
      <c r="U169" s="49" t="n">
        <f aca="false">U75*założenia!$C$6</f>
        <v>44320</v>
      </c>
      <c r="V169" s="49" t="n">
        <f aca="false">V75*założenia!$C$6</f>
        <v>44320</v>
      </c>
      <c r="W169" s="49" t="n">
        <f aca="false">W75*założenia!$C$6</f>
        <v>0</v>
      </c>
      <c r="X169" s="49" t="n">
        <f aca="false">X75*założenia!$C$6</f>
        <v>0</v>
      </c>
      <c r="Y169" s="49" t="n">
        <f aca="false">Y75*założenia!$C$6</f>
        <v>0</v>
      </c>
      <c r="Z169" s="49" t="n">
        <f aca="false">Z75*założenia!$C$6</f>
        <v>0</v>
      </c>
    </row>
    <row r="170" customFormat="false" ht="15" hidden="false" customHeight="false" outlineLevel="0" collapsed="false">
      <c r="A170" s="41" t="s">
        <v>36</v>
      </c>
      <c r="B170" s="41" t="n">
        <v>3</v>
      </c>
      <c r="C170" s="49" t="n">
        <f aca="false">SUM(D170:Z170)</f>
        <v>120704</v>
      </c>
      <c r="D170" s="49" t="n">
        <f aca="false">D76*założenia!$C$6</f>
        <v>0</v>
      </c>
      <c r="E170" s="49" t="n">
        <f aca="false">E76*założenia!$C$6</f>
        <v>0</v>
      </c>
      <c r="F170" s="49" t="n">
        <f aca="false">F76*założenia!$C$6</f>
        <v>0</v>
      </c>
      <c r="G170" s="49" t="n">
        <f aca="false">G76*założenia!$C$6</f>
        <v>0</v>
      </c>
      <c r="H170" s="49" t="n">
        <f aca="false">H76*założenia!$C$6</f>
        <v>0</v>
      </c>
      <c r="I170" s="49" t="n">
        <f aca="false">I76*założenia!$C$6</f>
        <v>0</v>
      </c>
      <c r="J170" s="49" t="n">
        <f aca="false">J76*założenia!$C$6</f>
        <v>0</v>
      </c>
      <c r="K170" s="49" t="n">
        <f aca="false">K76*założenia!$C$6</f>
        <v>0</v>
      </c>
      <c r="L170" s="49" t="n">
        <f aca="false">L76*założenia!$C$6</f>
        <v>0</v>
      </c>
      <c r="M170" s="49" t="n">
        <f aca="false">M76*założenia!$C$6</f>
        <v>0</v>
      </c>
      <c r="N170" s="49" t="n">
        <f aca="false">N76*założenia!$C$6</f>
        <v>0</v>
      </c>
      <c r="O170" s="49" t="n">
        <f aca="false">O76*założenia!$C$6</f>
        <v>15088</v>
      </c>
      <c r="P170" s="49" t="n">
        <f aca="false">P76*założenia!$C$6</f>
        <v>15088</v>
      </c>
      <c r="Q170" s="49" t="n">
        <f aca="false">Q76*założenia!$C$6</f>
        <v>15088</v>
      </c>
      <c r="R170" s="49" t="n">
        <f aca="false">R76*założenia!$C$6</f>
        <v>15088</v>
      </c>
      <c r="S170" s="49" t="n">
        <f aca="false">S76*założenia!$C$6</f>
        <v>15088</v>
      </c>
      <c r="T170" s="49" t="n">
        <f aca="false">T76*założenia!$C$6</f>
        <v>15088</v>
      </c>
      <c r="U170" s="49" t="n">
        <f aca="false">U76*założenia!$C$6</f>
        <v>15088</v>
      </c>
      <c r="V170" s="49" t="n">
        <f aca="false">V76*założenia!$C$6</f>
        <v>15088</v>
      </c>
      <c r="W170" s="49" t="n">
        <f aca="false">W76*założenia!$C$6</f>
        <v>0</v>
      </c>
      <c r="X170" s="49" t="n">
        <f aca="false">X76*założenia!$C$6</f>
        <v>0</v>
      </c>
      <c r="Y170" s="49" t="n">
        <f aca="false">Y76*założenia!$C$6</f>
        <v>0</v>
      </c>
      <c r="Z170" s="49" t="n">
        <f aca="false">Z76*założenia!$C$6</f>
        <v>0</v>
      </c>
    </row>
    <row r="171" customFormat="false" ht="15" hidden="false" customHeight="false" outlineLevel="0" collapsed="false">
      <c r="A171" s="41" t="s">
        <v>37</v>
      </c>
      <c r="B171" s="41" t="n">
        <v>3</v>
      </c>
      <c r="C171" s="49" t="n">
        <f aca="false">SUM(D171:Z171)</f>
        <v>162660</v>
      </c>
      <c r="D171" s="49" t="n">
        <f aca="false">D77*założenia!$C$6</f>
        <v>0</v>
      </c>
      <c r="E171" s="49" t="n">
        <f aca="false">E77*założenia!$C$6</f>
        <v>0</v>
      </c>
      <c r="F171" s="49" t="n">
        <f aca="false">F77*założenia!$C$6</f>
        <v>0</v>
      </c>
      <c r="G171" s="49" t="n">
        <f aca="false">G77*założenia!$C$6</f>
        <v>0</v>
      </c>
      <c r="H171" s="49" t="n">
        <f aca="false">H77*założenia!$C$6</f>
        <v>0</v>
      </c>
      <c r="I171" s="49" t="n">
        <f aca="false">I77*założenia!$C$6</f>
        <v>0</v>
      </c>
      <c r="J171" s="49" t="n">
        <f aca="false">J77*założenia!$C$6</f>
        <v>0</v>
      </c>
      <c r="K171" s="49" t="n">
        <f aca="false">K77*założenia!$C$6</f>
        <v>0</v>
      </c>
      <c r="L171" s="49" t="n">
        <f aca="false">L77*założenia!$C$6</f>
        <v>0</v>
      </c>
      <c r="M171" s="49" t="n">
        <f aca="false">M77*założenia!$C$6</f>
        <v>0</v>
      </c>
      <c r="N171" s="49" t="n">
        <f aca="false">N77*założenia!$C$6</f>
        <v>0</v>
      </c>
      <c r="O171" s="49" t="n">
        <f aca="false">O77*założenia!$C$6</f>
        <v>16266</v>
      </c>
      <c r="P171" s="49" t="n">
        <f aca="false">P77*założenia!$C$6</f>
        <v>16266</v>
      </c>
      <c r="Q171" s="49" t="n">
        <f aca="false">Q77*założenia!$C$6</f>
        <v>21688</v>
      </c>
      <c r="R171" s="49" t="n">
        <f aca="false">R77*założenia!$C$6</f>
        <v>21688</v>
      </c>
      <c r="S171" s="49" t="n">
        <f aca="false">S77*założenia!$C$6</f>
        <v>21688</v>
      </c>
      <c r="T171" s="49" t="n">
        <f aca="false">T77*założenia!$C$6</f>
        <v>21688</v>
      </c>
      <c r="U171" s="49" t="n">
        <f aca="false">U77*założenia!$C$6</f>
        <v>21688</v>
      </c>
      <c r="V171" s="49" t="n">
        <f aca="false">V77*założenia!$C$6</f>
        <v>21688</v>
      </c>
      <c r="W171" s="49" t="n">
        <f aca="false">W77*założenia!$C$6</f>
        <v>0</v>
      </c>
      <c r="X171" s="49" t="n">
        <f aca="false">X77*założenia!$C$6</f>
        <v>0</v>
      </c>
      <c r="Y171" s="49" t="n">
        <f aca="false">Y77*założenia!$C$6</f>
        <v>0</v>
      </c>
      <c r="Z171" s="49" t="n">
        <f aca="false">Z77*założenia!$C$6</f>
        <v>0</v>
      </c>
    </row>
    <row r="172" customFormat="false" ht="15" hidden="false" customHeight="false" outlineLevel="0" collapsed="false">
      <c r="A172" s="41" t="s">
        <v>38</v>
      </c>
      <c r="B172" s="41" t="n">
        <v>3</v>
      </c>
      <c r="C172" s="49" t="n">
        <f aca="false">SUM(D172:Z172)</f>
        <v>132000</v>
      </c>
      <c r="D172" s="49" t="n">
        <f aca="false">D78*założenia!$C$6</f>
        <v>0</v>
      </c>
      <c r="E172" s="49" t="n">
        <f aca="false">E78*założenia!$C$6</f>
        <v>0</v>
      </c>
      <c r="F172" s="49" t="n">
        <f aca="false">F78*założenia!$C$6</f>
        <v>0</v>
      </c>
      <c r="G172" s="49" t="n">
        <f aca="false">G78*założenia!$C$6</f>
        <v>0</v>
      </c>
      <c r="H172" s="49" t="n">
        <f aca="false">H78*założenia!$C$6</f>
        <v>0</v>
      </c>
      <c r="I172" s="49" t="n">
        <f aca="false">I78*założenia!$C$6</f>
        <v>0</v>
      </c>
      <c r="J172" s="49" t="n">
        <f aca="false">J78*założenia!$C$6</f>
        <v>0</v>
      </c>
      <c r="K172" s="49" t="n">
        <f aca="false">K78*założenia!$C$6</f>
        <v>0</v>
      </c>
      <c r="L172" s="49" t="n">
        <f aca="false">L78*założenia!$C$6</f>
        <v>0</v>
      </c>
      <c r="M172" s="49" t="n">
        <f aca="false">M78*założenia!$C$6</f>
        <v>0</v>
      </c>
      <c r="N172" s="49" t="n">
        <f aca="false">N78*założenia!$C$6</f>
        <v>0</v>
      </c>
      <c r="O172" s="49" t="n">
        <f aca="false">O78*założenia!$C$6</f>
        <v>16500</v>
      </c>
      <c r="P172" s="49" t="n">
        <f aca="false">P78*założenia!$C$6</f>
        <v>16500</v>
      </c>
      <c r="Q172" s="49" t="n">
        <f aca="false">Q78*założenia!$C$6</f>
        <v>16500</v>
      </c>
      <c r="R172" s="49" t="n">
        <f aca="false">R78*założenia!$C$6</f>
        <v>16500</v>
      </c>
      <c r="S172" s="49" t="n">
        <f aca="false">S78*założenia!$C$6</f>
        <v>16500</v>
      </c>
      <c r="T172" s="49" t="n">
        <f aca="false">T78*założenia!$C$6</f>
        <v>16500</v>
      </c>
      <c r="U172" s="49" t="n">
        <f aca="false">U78*założenia!$C$6</f>
        <v>16500</v>
      </c>
      <c r="V172" s="49" t="n">
        <f aca="false">V78*założenia!$C$6</f>
        <v>16500</v>
      </c>
      <c r="W172" s="49" t="n">
        <f aca="false">W78*założenia!$C$6</f>
        <v>0</v>
      </c>
      <c r="X172" s="49" t="n">
        <f aca="false">X78*założenia!$C$6</f>
        <v>0</v>
      </c>
      <c r="Y172" s="49" t="n">
        <f aca="false">Y78*założenia!$C$6</f>
        <v>0</v>
      </c>
      <c r="Z172" s="49" t="n">
        <f aca="false">Z78*założenia!$C$6</f>
        <v>0</v>
      </c>
    </row>
    <row r="173" customFormat="false" ht="15" hidden="false" customHeight="false" outlineLevel="0" collapsed="false">
      <c r="A173" s="41" t="s">
        <v>39</v>
      </c>
      <c r="B173" s="41" t="n">
        <v>3</v>
      </c>
      <c r="C173" s="49" t="n">
        <f aca="false">SUM(D173:Z173)</f>
        <v>47616</v>
      </c>
      <c r="D173" s="49" t="n">
        <f aca="false">D79*założenia!$C$6</f>
        <v>0</v>
      </c>
      <c r="E173" s="49" t="n">
        <f aca="false">E79*założenia!$C$6</f>
        <v>0</v>
      </c>
      <c r="F173" s="49" t="n">
        <f aca="false">F79*założenia!$C$6</f>
        <v>0</v>
      </c>
      <c r="G173" s="49" t="n">
        <f aca="false">G79*założenia!$C$6</f>
        <v>0</v>
      </c>
      <c r="H173" s="49" t="n">
        <f aca="false">H79*założenia!$C$6</f>
        <v>0</v>
      </c>
      <c r="I173" s="49" t="n">
        <f aca="false">I79*założenia!$C$6</f>
        <v>0</v>
      </c>
      <c r="J173" s="49" t="n">
        <f aca="false">J79*założenia!$C$6</f>
        <v>0</v>
      </c>
      <c r="K173" s="49" t="n">
        <f aca="false">K79*założenia!$C$6</f>
        <v>0</v>
      </c>
      <c r="L173" s="49" t="n">
        <f aca="false">L79*założenia!$C$6</f>
        <v>0</v>
      </c>
      <c r="M173" s="49" t="n">
        <f aca="false">M79*założenia!$C$6</f>
        <v>0</v>
      </c>
      <c r="N173" s="49" t="n">
        <f aca="false">N79*założenia!$C$6</f>
        <v>0</v>
      </c>
      <c r="O173" s="49" t="n">
        <f aca="false">O79*założenia!$C$6</f>
        <v>5952</v>
      </c>
      <c r="P173" s="49" t="n">
        <f aca="false">P79*założenia!$C$6</f>
        <v>5952</v>
      </c>
      <c r="Q173" s="49" t="n">
        <f aca="false">Q79*założenia!$C$6</f>
        <v>5952</v>
      </c>
      <c r="R173" s="49" t="n">
        <f aca="false">R79*założenia!$C$6</f>
        <v>5952</v>
      </c>
      <c r="S173" s="49" t="n">
        <f aca="false">S79*założenia!$C$6</f>
        <v>5952</v>
      </c>
      <c r="T173" s="49" t="n">
        <f aca="false">T79*założenia!$C$6</f>
        <v>5952</v>
      </c>
      <c r="U173" s="49" t="n">
        <f aca="false">U79*założenia!$C$6</f>
        <v>5952</v>
      </c>
      <c r="V173" s="49" t="n">
        <f aca="false">V79*założenia!$C$6</f>
        <v>5952</v>
      </c>
      <c r="W173" s="49" t="n">
        <f aca="false">W79*założenia!$C$6</f>
        <v>0</v>
      </c>
      <c r="X173" s="49" t="n">
        <f aca="false">X79*założenia!$C$6</f>
        <v>0</v>
      </c>
      <c r="Y173" s="49" t="n">
        <f aca="false">Y79*założenia!$C$6</f>
        <v>0</v>
      </c>
      <c r="Z173" s="49" t="n">
        <f aca="false">Z79*założenia!$C$6</f>
        <v>0</v>
      </c>
    </row>
    <row r="174" customFormat="false" ht="15" hidden="false" customHeight="false" outlineLevel="0" collapsed="false">
      <c r="A174" s="41" t="s">
        <v>40</v>
      </c>
      <c r="B174" s="41" t="n">
        <v>3</v>
      </c>
      <c r="C174" s="49" t="n">
        <f aca="false">SUM(D174:Z174)</f>
        <v>132000</v>
      </c>
      <c r="D174" s="49" t="n">
        <f aca="false">D80*założenia!$C$6</f>
        <v>0</v>
      </c>
      <c r="E174" s="49" t="n">
        <f aca="false">E80*założenia!$C$6</f>
        <v>0</v>
      </c>
      <c r="F174" s="49" t="n">
        <f aca="false">F80*założenia!$C$6</f>
        <v>0</v>
      </c>
      <c r="G174" s="49" t="n">
        <f aca="false">G80*założenia!$C$6</f>
        <v>0</v>
      </c>
      <c r="H174" s="49" t="n">
        <f aca="false">H80*założenia!$C$6</f>
        <v>0</v>
      </c>
      <c r="I174" s="49" t="n">
        <f aca="false">I80*założenia!$C$6</f>
        <v>0</v>
      </c>
      <c r="J174" s="49" t="n">
        <f aca="false">J80*założenia!$C$6</f>
        <v>0</v>
      </c>
      <c r="K174" s="49" t="n">
        <f aca="false">K80*założenia!$C$6</f>
        <v>0</v>
      </c>
      <c r="L174" s="49" t="n">
        <f aca="false">L80*założenia!$C$6</f>
        <v>0</v>
      </c>
      <c r="M174" s="49" t="n">
        <f aca="false">M80*założenia!$C$6</f>
        <v>0</v>
      </c>
      <c r="N174" s="49" t="n">
        <f aca="false">N80*założenia!$C$6</f>
        <v>0</v>
      </c>
      <c r="O174" s="49" t="n">
        <f aca="false">O80*założenia!$C$6</f>
        <v>16500</v>
      </c>
      <c r="P174" s="49" t="n">
        <f aca="false">P80*założenia!$C$6</f>
        <v>16500</v>
      </c>
      <c r="Q174" s="49" t="n">
        <f aca="false">Q80*założenia!$C$6</f>
        <v>16500</v>
      </c>
      <c r="R174" s="49" t="n">
        <f aca="false">R80*założenia!$C$6</f>
        <v>16500</v>
      </c>
      <c r="S174" s="49" t="n">
        <f aca="false">S80*założenia!$C$6</f>
        <v>16500</v>
      </c>
      <c r="T174" s="49" t="n">
        <f aca="false">T80*założenia!$C$6</f>
        <v>16500</v>
      </c>
      <c r="U174" s="49" t="n">
        <f aca="false">U80*założenia!$C$6</f>
        <v>16500</v>
      </c>
      <c r="V174" s="49" t="n">
        <f aca="false">V80*założenia!$C$6</f>
        <v>16500</v>
      </c>
      <c r="W174" s="49" t="n">
        <f aca="false">W80*założenia!$C$6</f>
        <v>0</v>
      </c>
      <c r="X174" s="49" t="n">
        <f aca="false">X80*założenia!$C$6</f>
        <v>0</v>
      </c>
      <c r="Y174" s="49" t="n">
        <f aca="false">Y80*założenia!$C$6</f>
        <v>0</v>
      </c>
      <c r="Z174" s="49" t="n">
        <f aca="false">Z80*założenia!$C$6</f>
        <v>0</v>
      </c>
    </row>
    <row r="175" customFormat="false" ht="15" hidden="false" customHeight="false" outlineLevel="0" collapsed="false">
      <c r="A175" s="41" t="s">
        <v>41</v>
      </c>
      <c r="B175" s="41" t="n">
        <v>3</v>
      </c>
      <c r="C175" s="49" t="n">
        <f aca="false">SUM(D175:Z175)</f>
        <v>31488</v>
      </c>
      <c r="D175" s="49" t="n">
        <f aca="false">D81*założenia!$C$6</f>
        <v>0</v>
      </c>
      <c r="E175" s="49" t="n">
        <f aca="false">E81*założenia!$C$6</f>
        <v>0</v>
      </c>
      <c r="F175" s="49" t="n">
        <f aca="false">F81*założenia!$C$6</f>
        <v>0</v>
      </c>
      <c r="G175" s="49" t="n">
        <f aca="false">G81*założenia!$C$6</f>
        <v>0</v>
      </c>
      <c r="H175" s="49" t="n">
        <f aca="false">H81*założenia!$C$6</f>
        <v>0</v>
      </c>
      <c r="I175" s="49" t="n">
        <f aca="false">I81*założenia!$C$6</f>
        <v>0</v>
      </c>
      <c r="J175" s="49" t="n">
        <f aca="false">J81*założenia!$C$6</f>
        <v>0</v>
      </c>
      <c r="K175" s="49" t="n">
        <f aca="false">K81*założenia!$C$6</f>
        <v>0</v>
      </c>
      <c r="L175" s="49" t="n">
        <f aca="false">L81*założenia!$C$6</f>
        <v>0</v>
      </c>
      <c r="M175" s="49" t="n">
        <f aca="false">M81*założenia!$C$6</f>
        <v>0</v>
      </c>
      <c r="N175" s="49" t="n">
        <f aca="false">N81*założenia!$C$6</f>
        <v>0</v>
      </c>
      <c r="O175" s="49" t="n">
        <f aca="false">O81*założenia!$C$6</f>
        <v>3936</v>
      </c>
      <c r="P175" s="49" t="n">
        <f aca="false">P81*założenia!$C$6</f>
        <v>3936</v>
      </c>
      <c r="Q175" s="49" t="n">
        <f aca="false">Q81*założenia!$C$6</f>
        <v>3936</v>
      </c>
      <c r="R175" s="49" t="n">
        <f aca="false">R81*założenia!$C$6</f>
        <v>3936</v>
      </c>
      <c r="S175" s="49" t="n">
        <f aca="false">S81*założenia!$C$6</f>
        <v>3936</v>
      </c>
      <c r="T175" s="49" t="n">
        <f aca="false">T81*założenia!$C$6</f>
        <v>3936</v>
      </c>
      <c r="U175" s="49" t="n">
        <f aca="false">U81*założenia!$C$6</f>
        <v>3936</v>
      </c>
      <c r="V175" s="49" t="n">
        <f aca="false">V81*założenia!$C$6</f>
        <v>3936</v>
      </c>
      <c r="W175" s="49" t="n">
        <f aca="false">W81*założenia!$C$6</f>
        <v>0</v>
      </c>
      <c r="X175" s="49" t="n">
        <f aca="false">X81*założenia!$C$6</f>
        <v>0</v>
      </c>
      <c r="Y175" s="49" t="n">
        <f aca="false">Y81*założenia!$C$6</f>
        <v>0</v>
      </c>
      <c r="Z175" s="49" t="n">
        <f aca="false">Z81*założenia!$C$6</f>
        <v>0</v>
      </c>
    </row>
    <row r="176" customFormat="false" ht="15" hidden="false" customHeight="false" outlineLevel="0" collapsed="false">
      <c r="A176" s="41" t="s">
        <v>42</v>
      </c>
      <c r="B176" s="41" t="n">
        <v>3</v>
      </c>
      <c r="C176" s="49" t="n">
        <f aca="false">SUM(D176:Z176)</f>
        <v>3641.728</v>
      </c>
      <c r="D176" s="49" t="n">
        <f aca="false">D82*założenia!$C$6</f>
        <v>0</v>
      </c>
      <c r="E176" s="49" t="n">
        <f aca="false">E82*założenia!$C$6</f>
        <v>0</v>
      </c>
      <c r="F176" s="49" t="n">
        <f aca="false">F82*założenia!$C$6</f>
        <v>0</v>
      </c>
      <c r="G176" s="49" t="n">
        <f aca="false">G82*założenia!$C$6</f>
        <v>0</v>
      </c>
      <c r="H176" s="49" t="n">
        <f aca="false">H82*założenia!$C$6</f>
        <v>0</v>
      </c>
      <c r="I176" s="49" t="n">
        <f aca="false">I82*założenia!$C$6</f>
        <v>0</v>
      </c>
      <c r="J176" s="49" t="n">
        <f aca="false">J82*założenia!$C$6</f>
        <v>0</v>
      </c>
      <c r="K176" s="49" t="n">
        <f aca="false">K82*założenia!$C$6</f>
        <v>0</v>
      </c>
      <c r="L176" s="49" t="n">
        <f aca="false">L82*założenia!$C$6</f>
        <v>0</v>
      </c>
      <c r="M176" s="49" t="n">
        <f aca="false">M82*założenia!$C$6</f>
        <v>0</v>
      </c>
      <c r="N176" s="49" t="n">
        <f aca="false">N82*założenia!$C$6</f>
        <v>0</v>
      </c>
      <c r="O176" s="49" t="n">
        <f aca="false">O82*założenia!$C$6</f>
        <v>455.216</v>
      </c>
      <c r="P176" s="49" t="n">
        <f aca="false">P82*założenia!$C$6</f>
        <v>455.216</v>
      </c>
      <c r="Q176" s="49" t="n">
        <f aca="false">Q82*założenia!$C$6</f>
        <v>455.216</v>
      </c>
      <c r="R176" s="49" t="n">
        <f aca="false">R82*założenia!$C$6</f>
        <v>455.216</v>
      </c>
      <c r="S176" s="49" t="n">
        <f aca="false">S82*założenia!$C$6</f>
        <v>455.216</v>
      </c>
      <c r="T176" s="49" t="n">
        <f aca="false">T82*założenia!$C$6</f>
        <v>455.216</v>
      </c>
      <c r="U176" s="49" t="n">
        <f aca="false">U82*założenia!$C$6</f>
        <v>455.216</v>
      </c>
      <c r="V176" s="49" t="n">
        <f aca="false">V82*założenia!$C$6</f>
        <v>455.216</v>
      </c>
      <c r="W176" s="49" t="n">
        <f aca="false">W82*założenia!$C$6</f>
        <v>0</v>
      </c>
      <c r="X176" s="49" t="n">
        <f aca="false">X82*założenia!$C$6</f>
        <v>0</v>
      </c>
      <c r="Y176" s="49" t="n">
        <f aca="false">Y82*założenia!$C$6</f>
        <v>0</v>
      </c>
      <c r="Z176" s="49" t="n">
        <f aca="false">Z82*założenia!$C$6</f>
        <v>0</v>
      </c>
    </row>
    <row r="177" customFormat="false" ht="15" hidden="false" customHeight="false" outlineLevel="0" collapsed="false">
      <c r="A177" s="41" t="s">
        <v>43</v>
      </c>
      <c r="B177" s="41" t="n">
        <v>3</v>
      </c>
      <c r="C177" s="49" t="n">
        <f aca="false">SUM(D177:Z177)</f>
        <v>126400</v>
      </c>
      <c r="D177" s="49" t="n">
        <f aca="false">D83*założenia!$C$6</f>
        <v>0</v>
      </c>
      <c r="E177" s="49" t="n">
        <f aca="false">E83*założenia!$C$6</f>
        <v>0</v>
      </c>
      <c r="F177" s="49" t="n">
        <f aca="false">F83*założenia!$C$6</f>
        <v>0</v>
      </c>
      <c r="G177" s="49" t="n">
        <f aca="false">G83*założenia!$C$6</f>
        <v>0</v>
      </c>
      <c r="H177" s="49" t="n">
        <f aca="false">H83*założenia!$C$6</f>
        <v>0</v>
      </c>
      <c r="I177" s="49" t="n">
        <f aca="false">I83*założenia!$C$6</f>
        <v>0</v>
      </c>
      <c r="J177" s="49" t="n">
        <f aca="false">J83*założenia!$C$6</f>
        <v>0</v>
      </c>
      <c r="K177" s="49" t="n">
        <f aca="false">K83*założenia!$C$6</f>
        <v>0</v>
      </c>
      <c r="L177" s="49" t="n">
        <f aca="false">L83*założenia!$C$6</f>
        <v>0</v>
      </c>
      <c r="M177" s="49" t="n">
        <f aca="false">M83*założenia!$C$6</f>
        <v>0</v>
      </c>
      <c r="N177" s="49" t="n">
        <f aca="false">N83*założenia!$C$6</f>
        <v>0</v>
      </c>
      <c r="O177" s="49" t="n">
        <f aca="false">O83*założenia!$C$6</f>
        <v>15800</v>
      </c>
      <c r="P177" s="49" t="n">
        <f aca="false">P83*założenia!$C$6</f>
        <v>15800</v>
      </c>
      <c r="Q177" s="49" t="n">
        <f aca="false">Q83*założenia!$C$6</f>
        <v>15800</v>
      </c>
      <c r="R177" s="49" t="n">
        <f aca="false">R83*założenia!$C$6</f>
        <v>15800</v>
      </c>
      <c r="S177" s="49" t="n">
        <f aca="false">S83*założenia!$C$6</f>
        <v>15800</v>
      </c>
      <c r="T177" s="49" t="n">
        <f aca="false">T83*założenia!$C$6</f>
        <v>15800</v>
      </c>
      <c r="U177" s="49" t="n">
        <f aca="false">U83*założenia!$C$6</f>
        <v>15800</v>
      </c>
      <c r="V177" s="49" t="n">
        <f aca="false">V83*założenia!$C$6</f>
        <v>15800</v>
      </c>
      <c r="W177" s="49" t="n">
        <f aca="false">W83*założenia!$C$6</f>
        <v>0</v>
      </c>
      <c r="X177" s="49" t="n">
        <f aca="false">X83*założenia!$C$6</f>
        <v>0</v>
      </c>
      <c r="Y177" s="49" t="n">
        <f aca="false">Y83*założenia!$C$6</f>
        <v>0</v>
      </c>
      <c r="Z177" s="49" t="n">
        <f aca="false">Z83*założenia!$C$6</f>
        <v>0</v>
      </c>
    </row>
    <row r="178" customFormat="false" ht="15" hidden="false" customHeight="false" outlineLevel="0" collapsed="false">
      <c r="A178" s="41" t="s">
        <v>45</v>
      </c>
      <c r="B178" s="41" t="n">
        <v>4</v>
      </c>
      <c r="C178" s="49" t="n">
        <f aca="false">SUM(D178:Z178)</f>
        <v>132960</v>
      </c>
      <c r="D178" s="49" t="n">
        <f aca="false">D84*założenia!$C$7</f>
        <v>0</v>
      </c>
      <c r="E178" s="49" t="n">
        <f aca="false">E84*założenia!$C$7</f>
        <v>0</v>
      </c>
      <c r="F178" s="49" t="n">
        <f aca="false">F84*założenia!$C$7</f>
        <v>0</v>
      </c>
      <c r="G178" s="49" t="n">
        <f aca="false">G84*założenia!$C$7</f>
        <v>0</v>
      </c>
      <c r="H178" s="49" t="n">
        <f aca="false">H84*założenia!$C$7</f>
        <v>0</v>
      </c>
      <c r="I178" s="49" t="n">
        <f aca="false">I84*założenia!$C$7</f>
        <v>0</v>
      </c>
      <c r="J178" s="49" t="n">
        <f aca="false">J84*założenia!$C$7</f>
        <v>0</v>
      </c>
      <c r="K178" s="49" t="n">
        <f aca="false">K84*założenia!$C$7</f>
        <v>0</v>
      </c>
      <c r="L178" s="49" t="n">
        <f aca="false">L84*założenia!$C$7</f>
        <v>0</v>
      </c>
      <c r="M178" s="49" t="n">
        <f aca="false">M84*założenia!$C$7</f>
        <v>0</v>
      </c>
      <c r="N178" s="49" t="n">
        <f aca="false">N84*założenia!$C$7</f>
        <v>0</v>
      </c>
      <c r="O178" s="49" t="n">
        <f aca="false">O84*założenia!$C$7</f>
        <v>0</v>
      </c>
      <c r="P178" s="49" t="n">
        <f aca="false">P84*założenia!$C$7</f>
        <v>0</v>
      </c>
      <c r="Q178" s="49" t="n">
        <f aca="false">Q84*założenia!$C$7</f>
        <v>0</v>
      </c>
      <c r="R178" s="49" t="n">
        <f aca="false">R84*założenia!$C$7</f>
        <v>0</v>
      </c>
      <c r="S178" s="49" t="n">
        <f aca="false">S84*założenia!$C$7</f>
        <v>0</v>
      </c>
      <c r="T178" s="49" t="n">
        <f aca="false">T84*założenia!$C$7</f>
        <v>0</v>
      </c>
      <c r="U178" s="49" t="n">
        <f aca="false">U84*założenia!$C$7</f>
        <v>0</v>
      </c>
      <c r="V178" s="49" t="n">
        <f aca="false">V84*założenia!$C$7</f>
        <v>0</v>
      </c>
      <c r="W178" s="49" t="n">
        <f aca="false">W84*założenia!$C$7</f>
        <v>33240</v>
      </c>
      <c r="X178" s="49" t="n">
        <f aca="false">X84*założenia!$C$7</f>
        <v>33240</v>
      </c>
      <c r="Y178" s="49" t="n">
        <f aca="false">Y84*założenia!$C$7</f>
        <v>33240</v>
      </c>
      <c r="Z178" s="49" t="n">
        <f aca="false">Z84*założenia!$C$7</f>
        <v>33240</v>
      </c>
    </row>
    <row r="179" customFormat="false" ht="15" hidden="false" customHeight="false" outlineLevel="0" collapsed="false">
      <c r="A179" s="41" t="s">
        <v>46</v>
      </c>
      <c r="B179" s="41" t="n">
        <v>4</v>
      </c>
      <c r="C179" s="49" t="n">
        <f aca="false">SUM(D179:Z179)</f>
        <v>22632</v>
      </c>
      <c r="D179" s="49" t="n">
        <f aca="false">D85*założenia!$C$7</f>
        <v>0</v>
      </c>
      <c r="E179" s="49" t="n">
        <f aca="false">E85*założenia!$C$7</f>
        <v>0</v>
      </c>
      <c r="F179" s="49" t="n">
        <f aca="false">F85*założenia!$C$7</f>
        <v>0</v>
      </c>
      <c r="G179" s="49" t="n">
        <f aca="false">G85*założenia!$C$7</f>
        <v>0</v>
      </c>
      <c r="H179" s="49" t="n">
        <f aca="false">H85*założenia!$C$7</f>
        <v>0</v>
      </c>
      <c r="I179" s="49" t="n">
        <f aca="false">I85*założenia!$C$7</f>
        <v>0</v>
      </c>
      <c r="J179" s="49" t="n">
        <f aca="false">J85*założenia!$C$7</f>
        <v>0</v>
      </c>
      <c r="K179" s="49" t="n">
        <f aca="false">K85*założenia!$C$7</f>
        <v>0</v>
      </c>
      <c r="L179" s="49" t="n">
        <f aca="false">L85*założenia!$C$7</f>
        <v>0</v>
      </c>
      <c r="M179" s="49" t="n">
        <f aca="false">M85*założenia!$C$7</f>
        <v>0</v>
      </c>
      <c r="N179" s="49" t="n">
        <f aca="false">N85*założenia!$C$7</f>
        <v>0</v>
      </c>
      <c r="O179" s="49" t="n">
        <f aca="false">O85*założenia!$C$7</f>
        <v>0</v>
      </c>
      <c r="P179" s="49" t="n">
        <f aca="false">P85*założenia!$C$7</f>
        <v>0</v>
      </c>
      <c r="Q179" s="49" t="n">
        <f aca="false">Q85*założenia!$C$7</f>
        <v>0</v>
      </c>
      <c r="R179" s="49" t="n">
        <f aca="false">R85*założenia!$C$7</f>
        <v>0</v>
      </c>
      <c r="S179" s="49" t="n">
        <f aca="false">S85*założenia!$C$7</f>
        <v>0</v>
      </c>
      <c r="T179" s="49" t="n">
        <f aca="false">T85*założenia!$C$7</f>
        <v>0</v>
      </c>
      <c r="U179" s="49" t="n">
        <f aca="false">U85*założenia!$C$7</f>
        <v>0</v>
      </c>
      <c r="V179" s="49" t="n">
        <f aca="false">V85*założenia!$C$7</f>
        <v>0</v>
      </c>
      <c r="W179" s="49" t="n">
        <f aca="false">W85*założenia!$C$7</f>
        <v>5658</v>
      </c>
      <c r="X179" s="49" t="n">
        <f aca="false">X85*założenia!$C$7</f>
        <v>5658</v>
      </c>
      <c r="Y179" s="49" t="n">
        <f aca="false">Y85*założenia!$C$7</f>
        <v>5658</v>
      </c>
      <c r="Z179" s="49" t="n">
        <f aca="false">Z85*założenia!$C$7</f>
        <v>5658</v>
      </c>
    </row>
    <row r="180" customFormat="false" ht="15" hidden="false" customHeight="false" outlineLevel="0" collapsed="false">
      <c r="A180" s="41" t="s">
        <v>47</v>
      </c>
      <c r="B180" s="41" t="n">
        <v>4</v>
      </c>
      <c r="C180" s="49" t="n">
        <f aca="false">SUM(D180:Z180)</f>
        <v>65064</v>
      </c>
      <c r="D180" s="49" t="n">
        <f aca="false">D86*założenia!$C$7</f>
        <v>0</v>
      </c>
      <c r="E180" s="49" t="n">
        <f aca="false">E86*założenia!$C$7</f>
        <v>0</v>
      </c>
      <c r="F180" s="49" t="n">
        <f aca="false">F86*założenia!$C$7</f>
        <v>0</v>
      </c>
      <c r="G180" s="49" t="n">
        <f aca="false">G86*założenia!$C$7</f>
        <v>0</v>
      </c>
      <c r="H180" s="49" t="n">
        <f aca="false">H86*założenia!$C$7</f>
        <v>0</v>
      </c>
      <c r="I180" s="49" t="n">
        <f aca="false">I86*założenia!$C$7</f>
        <v>0</v>
      </c>
      <c r="J180" s="49" t="n">
        <f aca="false">J86*założenia!$C$7</f>
        <v>0</v>
      </c>
      <c r="K180" s="49" t="n">
        <f aca="false">K86*założenia!$C$7</f>
        <v>0</v>
      </c>
      <c r="L180" s="49" t="n">
        <f aca="false">L86*założenia!$C$7</f>
        <v>0</v>
      </c>
      <c r="M180" s="49" t="n">
        <f aca="false">M86*założenia!$C$7</f>
        <v>0</v>
      </c>
      <c r="N180" s="49" t="n">
        <f aca="false">N86*założenia!$C$7</f>
        <v>0</v>
      </c>
      <c r="O180" s="49" t="n">
        <f aca="false">O86*założenia!$C$7</f>
        <v>0</v>
      </c>
      <c r="P180" s="49" t="n">
        <f aca="false">P86*założenia!$C$7</f>
        <v>0</v>
      </c>
      <c r="Q180" s="49" t="n">
        <f aca="false">Q86*założenia!$C$7</f>
        <v>0</v>
      </c>
      <c r="R180" s="49" t="n">
        <f aca="false">R86*założenia!$C$7</f>
        <v>0</v>
      </c>
      <c r="S180" s="49" t="n">
        <f aca="false">S86*założenia!$C$7</f>
        <v>0</v>
      </c>
      <c r="T180" s="49" t="n">
        <f aca="false">T86*założenia!$C$7</f>
        <v>0</v>
      </c>
      <c r="U180" s="49" t="n">
        <f aca="false">U86*założenia!$C$7</f>
        <v>0</v>
      </c>
      <c r="V180" s="49" t="n">
        <f aca="false">V86*założenia!$C$7</f>
        <v>0</v>
      </c>
      <c r="W180" s="49" t="n">
        <f aca="false">W86*założenia!$C$7</f>
        <v>16266</v>
      </c>
      <c r="X180" s="49" t="n">
        <f aca="false">X86*założenia!$C$7</f>
        <v>16266</v>
      </c>
      <c r="Y180" s="49" t="n">
        <f aca="false">Y86*założenia!$C$7</f>
        <v>16266</v>
      </c>
      <c r="Z180" s="49" t="n">
        <f aca="false">Z86*założenia!$C$7</f>
        <v>16266</v>
      </c>
    </row>
    <row r="181" customFormat="false" ht="15" hidden="false" customHeight="false" outlineLevel="0" collapsed="false">
      <c r="A181" s="41" t="s">
        <v>48</v>
      </c>
      <c r="B181" s="41" t="n">
        <v>4</v>
      </c>
      <c r="C181" s="49" t="n">
        <f aca="false">SUM(D181:Z181)</f>
        <v>49500</v>
      </c>
      <c r="D181" s="49" t="n">
        <f aca="false">D87*założenia!$C$7</f>
        <v>0</v>
      </c>
      <c r="E181" s="49" t="n">
        <f aca="false">E87*założenia!$C$7</f>
        <v>0</v>
      </c>
      <c r="F181" s="49" t="n">
        <f aca="false">F87*założenia!$C$7</f>
        <v>0</v>
      </c>
      <c r="G181" s="49" t="n">
        <f aca="false">G87*założenia!$C$7</f>
        <v>0</v>
      </c>
      <c r="H181" s="49" t="n">
        <f aca="false">H87*założenia!$C$7</f>
        <v>0</v>
      </c>
      <c r="I181" s="49" t="n">
        <f aca="false">I87*założenia!$C$7</f>
        <v>0</v>
      </c>
      <c r="J181" s="49" t="n">
        <f aca="false">J87*założenia!$C$7</f>
        <v>0</v>
      </c>
      <c r="K181" s="49" t="n">
        <f aca="false">K87*założenia!$C$7</f>
        <v>0</v>
      </c>
      <c r="L181" s="49" t="n">
        <f aca="false">L87*założenia!$C$7</f>
        <v>0</v>
      </c>
      <c r="M181" s="49" t="n">
        <f aca="false">M87*założenia!$C$7</f>
        <v>0</v>
      </c>
      <c r="N181" s="49" t="n">
        <f aca="false">N87*założenia!$C$7</f>
        <v>0</v>
      </c>
      <c r="O181" s="49" t="n">
        <f aca="false">O87*założenia!$C$7</f>
        <v>0</v>
      </c>
      <c r="P181" s="49" t="n">
        <f aca="false">P87*założenia!$C$7</f>
        <v>0</v>
      </c>
      <c r="Q181" s="49" t="n">
        <f aca="false">Q87*założenia!$C$7</f>
        <v>0</v>
      </c>
      <c r="R181" s="49" t="n">
        <f aca="false">R87*założenia!$C$7</f>
        <v>0</v>
      </c>
      <c r="S181" s="49" t="n">
        <f aca="false">S87*założenia!$C$7</f>
        <v>0</v>
      </c>
      <c r="T181" s="49" t="n">
        <f aca="false">T87*założenia!$C$7</f>
        <v>0</v>
      </c>
      <c r="U181" s="49" t="n">
        <f aca="false">U87*założenia!$C$7</f>
        <v>0</v>
      </c>
      <c r="V181" s="49" t="n">
        <f aca="false">V87*założenia!$C$7</f>
        <v>0</v>
      </c>
      <c r="W181" s="49" t="n">
        <f aca="false">W87*założenia!$C$7</f>
        <v>12375</v>
      </c>
      <c r="X181" s="49" t="n">
        <f aca="false">X87*założenia!$C$7</f>
        <v>12375</v>
      </c>
      <c r="Y181" s="49" t="n">
        <f aca="false">Y87*założenia!$C$7</f>
        <v>12375</v>
      </c>
      <c r="Z181" s="49" t="n">
        <f aca="false">Z87*założenia!$C$7</f>
        <v>12375</v>
      </c>
    </row>
    <row r="182" customFormat="false" ht="15" hidden="false" customHeight="false" outlineLevel="0" collapsed="false">
      <c r="A182" s="41" t="s">
        <v>49</v>
      </c>
      <c r="B182" s="41" t="n">
        <v>4</v>
      </c>
      <c r="C182" s="49" t="n">
        <f aca="false">SUM(D182:Z182)</f>
        <v>17856</v>
      </c>
      <c r="D182" s="49" t="n">
        <f aca="false">D88*założenia!$C$7</f>
        <v>0</v>
      </c>
      <c r="E182" s="49" t="n">
        <f aca="false">E88*założenia!$C$7</f>
        <v>0</v>
      </c>
      <c r="F182" s="49" t="n">
        <f aca="false">F88*założenia!$C$7</f>
        <v>0</v>
      </c>
      <c r="G182" s="49" t="n">
        <f aca="false">G88*założenia!$C$7</f>
        <v>0</v>
      </c>
      <c r="H182" s="49" t="n">
        <f aca="false">H88*założenia!$C$7</f>
        <v>0</v>
      </c>
      <c r="I182" s="49" t="n">
        <f aca="false">I88*założenia!$C$7</f>
        <v>0</v>
      </c>
      <c r="J182" s="49" t="n">
        <f aca="false">J88*założenia!$C$7</f>
        <v>0</v>
      </c>
      <c r="K182" s="49" t="n">
        <f aca="false">K88*założenia!$C$7</f>
        <v>0</v>
      </c>
      <c r="L182" s="49" t="n">
        <f aca="false">L88*założenia!$C$7</f>
        <v>0</v>
      </c>
      <c r="M182" s="49" t="n">
        <f aca="false">M88*założenia!$C$7</f>
        <v>0</v>
      </c>
      <c r="N182" s="49" t="n">
        <f aca="false">N88*założenia!$C$7</f>
        <v>0</v>
      </c>
      <c r="O182" s="49" t="n">
        <f aca="false">O88*założenia!$C$7</f>
        <v>0</v>
      </c>
      <c r="P182" s="49" t="n">
        <f aca="false">P88*założenia!$C$7</f>
        <v>0</v>
      </c>
      <c r="Q182" s="49" t="n">
        <f aca="false">Q88*założenia!$C$7</f>
        <v>0</v>
      </c>
      <c r="R182" s="49" t="n">
        <f aca="false">R88*założenia!$C$7</f>
        <v>0</v>
      </c>
      <c r="S182" s="49" t="n">
        <f aca="false">S88*założenia!$C$7</f>
        <v>0</v>
      </c>
      <c r="T182" s="49" t="n">
        <f aca="false">T88*założenia!$C$7</f>
        <v>0</v>
      </c>
      <c r="U182" s="49" t="n">
        <f aca="false">U88*założenia!$C$7</f>
        <v>0</v>
      </c>
      <c r="V182" s="49" t="n">
        <f aca="false">V88*założenia!$C$7</f>
        <v>0</v>
      </c>
      <c r="W182" s="49" t="n">
        <f aca="false">W88*założenia!$C$7</f>
        <v>4464</v>
      </c>
      <c r="X182" s="49" t="n">
        <f aca="false">X88*założenia!$C$7</f>
        <v>4464</v>
      </c>
      <c r="Y182" s="49" t="n">
        <f aca="false">Y88*założenia!$C$7</f>
        <v>4464</v>
      </c>
      <c r="Z182" s="49" t="n">
        <f aca="false">Z88*założenia!$C$7</f>
        <v>4464</v>
      </c>
    </row>
    <row r="183" customFormat="false" ht="15" hidden="false" customHeight="false" outlineLevel="0" collapsed="false">
      <c r="A183" s="41" t="s">
        <v>50</v>
      </c>
      <c r="B183" s="41" t="n">
        <v>4</v>
      </c>
      <c r="C183" s="49" t="n">
        <f aca="false">SUM(D183:Z183)</f>
        <v>49500</v>
      </c>
      <c r="D183" s="49" t="n">
        <f aca="false">D89*założenia!$C$7</f>
        <v>0</v>
      </c>
      <c r="E183" s="49" t="n">
        <f aca="false">E89*założenia!$C$7</f>
        <v>0</v>
      </c>
      <c r="F183" s="49" t="n">
        <f aca="false">F89*założenia!$C$7</f>
        <v>0</v>
      </c>
      <c r="G183" s="49" t="n">
        <f aca="false">G89*założenia!$C$7</f>
        <v>0</v>
      </c>
      <c r="H183" s="49" t="n">
        <f aca="false">H89*założenia!$C$7</f>
        <v>0</v>
      </c>
      <c r="I183" s="49" t="n">
        <f aca="false">I89*założenia!$C$7</f>
        <v>0</v>
      </c>
      <c r="J183" s="49" t="n">
        <f aca="false">J89*założenia!$C$7</f>
        <v>0</v>
      </c>
      <c r="K183" s="49" t="n">
        <f aca="false">K89*założenia!$C$7</f>
        <v>0</v>
      </c>
      <c r="L183" s="49" t="n">
        <f aca="false">L89*założenia!$C$7</f>
        <v>0</v>
      </c>
      <c r="M183" s="49" t="n">
        <f aca="false">M89*założenia!$C$7</f>
        <v>0</v>
      </c>
      <c r="N183" s="49" t="n">
        <f aca="false">N89*założenia!$C$7</f>
        <v>0</v>
      </c>
      <c r="O183" s="49" t="n">
        <f aca="false">O89*założenia!$C$7</f>
        <v>0</v>
      </c>
      <c r="P183" s="49" t="n">
        <f aca="false">P89*założenia!$C$7</f>
        <v>0</v>
      </c>
      <c r="Q183" s="49" t="n">
        <f aca="false">Q89*założenia!$C$7</f>
        <v>0</v>
      </c>
      <c r="R183" s="49" t="n">
        <f aca="false">R89*założenia!$C$7</f>
        <v>0</v>
      </c>
      <c r="S183" s="49" t="n">
        <f aca="false">S89*założenia!$C$7</f>
        <v>0</v>
      </c>
      <c r="T183" s="49" t="n">
        <f aca="false">T89*założenia!$C$7</f>
        <v>0</v>
      </c>
      <c r="U183" s="49" t="n">
        <f aca="false">U89*założenia!$C$7</f>
        <v>0</v>
      </c>
      <c r="V183" s="49" t="n">
        <f aca="false">V89*założenia!$C$7</f>
        <v>0</v>
      </c>
      <c r="W183" s="49" t="n">
        <f aca="false">W89*założenia!$C$7</f>
        <v>12375</v>
      </c>
      <c r="X183" s="49" t="n">
        <f aca="false">X89*założenia!$C$7</f>
        <v>12375</v>
      </c>
      <c r="Y183" s="49" t="n">
        <f aca="false">Y89*założenia!$C$7</f>
        <v>12375</v>
      </c>
      <c r="Z183" s="49" t="n">
        <f aca="false">Z89*założenia!$C$7</f>
        <v>12375</v>
      </c>
    </row>
    <row r="184" customFormat="false" ht="15" hidden="false" customHeight="false" outlineLevel="0" collapsed="false">
      <c r="A184" s="41" t="s">
        <v>51</v>
      </c>
      <c r="B184" s="41" t="n">
        <v>4</v>
      </c>
      <c r="C184" s="49" t="n">
        <f aca="false">SUM(D184:Z184)</f>
        <v>1365.648</v>
      </c>
      <c r="D184" s="49" t="n">
        <f aca="false">D90*założenia!$C$7</f>
        <v>0</v>
      </c>
      <c r="E184" s="49" t="n">
        <f aca="false">E90*założenia!$C$7</f>
        <v>0</v>
      </c>
      <c r="F184" s="49" t="n">
        <f aca="false">F90*założenia!$C$7</f>
        <v>0</v>
      </c>
      <c r="G184" s="49" t="n">
        <f aca="false">G90*założenia!$C$7</f>
        <v>0</v>
      </c>
      <c r="H184" s="49" t="n">
        <f aca="false">H90*założenia!$C$7</f>
        <v>0</v>
      </c>
      <c r="I184" s="49" t="n">
        <f aca="false">I90*założenia!$C$7</f>
        <v>0</v>
      </c>
      <c r="J184" s="49" t="n">
        <f aca="false">J90*założenia!$C$7</f>
        <v>0</v>
      </c>
      <c r="K184" s="49" t="n">
        <f aca="false">K90*założenia!$C$7</f>
        <v>0</v>
      </c>
      <c r="L184" s="49" t="n">
        <f aca="false">L90*założenia!$C$7</f>
        <v>0</v>
      </c>
      <c r="M184" s="49" t="n">
        <f aca="false">M90*założenia!$C$7</f>
        <v>0</v>
      </c>
      <c r="N184" s="49" t="n">
        <f aca="false">N90*założenia!$C$7</f>
        <v>0</v>
      </c>
      <c r="O184" s="49" t="n">
        <f aca="false">O90*założenia!$C$7</f>
        <v>0</v>
      </c>
      <c r="P184" s="49" t="n">
        <f aca="false">P90*założenia!$C$7</f>
        <v>0</v>
      </c>
      <c r="Q184" s="49" t="n">
        <f aca="false">Q90*założenia!$C$7</f>
        <v>0</v>
      </c>
      <c r="R184" s="49" t="n">
        <f aca="false">R90*założenia!$C$7</f>
        <v>0</v>
      </c>
      <c r="S184" s="49" t="n">
        <f aca="false">S90*założenia!$C$7</f>
        <v>0</v>
      </c>
      <c r="T184" s="49" t="n">
        <f aca="false">T90*założenia!$C$7</f>
        <v>0</v>
      </c>
      <c r="U184" s="49" t="n">
        <f aca="false">U90*założenia!$C$7</f>
        <v>0</v>
      </c>
      <c r="V184" s="49" t="n">
        <f aca="false">V90*założenia!$C$7</f>
        <v>0</v>
      </c>
      <c r="W184" s="49" t="n">
        <f aca="false">W90*założenia!$C$7</f>
        <v>341.412</v>
      </c>
      <c r="X184" s="49" t="n">
        <f aca="false">X90*założenia!$C$7</f>
        <v>341.412</v>
      </c>
      <c r="Y184" s="49" t="n">
        <f aca="false">Y90*założenia!$C$7</f>
        <v>341.412</v>
      </c>
      <c r="Z184" s="49" t="n">
        <f aca="false">Z90*założenia!$C$7</f>
        <v>341.412</v>
      </c>
    </row>
    <row r="185" customFormat="false" ht="15" hidden="false" customHeight="false" outlineLevel="0" collapsed="false">
      <c r="A185" s="41" t="s">
        <v>52</v>
      </c>
      <c r="B185" s="41" t="n">
        <v>4</v>
      </c>
      <c r="C185" s="49" t="n">
        <f aca="false">SUM(D185:Z185)</f>
        <v>47400</v>
      </c>
      <c r="D185" s="49" t="n">
        <f aca="false">D91*założenia!$C$7</f>
        <v>0</v>
      </c>
      <c r="E185" s="49" t="n">
        <f aca="false">E91*założenia!$C$7</f>
        <v>0</v>
      </c>
      <c r="F185" s="49" t="n">
        <f aca="false">F91*założenia!$C$7</f>
        <v>0</v>
      </c>
      <c r="G185" s="49" t="n">
        <f aca="false">G91*założenia!$C$7</f>
        <v>0</v>
      </c>
      <c r="H185" s="49" t="n">
        <f aca="false">H91*założenia!$C$7</f>
        <v>0</v>
      </c>
      <c r="I185" s="49" t="n">
        <f aca="false">I91*założenia!$C$7</f>
        <v>0</v>
      </c>
      <c r="J185" s="49" t="n">
        <f aca="false">J91*założenia!$C$7</f>
        <v>0</v>
      </c>
      <c r="K185" s="49" t="n">
        <f aca="false">K91*założenia!$C$7</f>
        <v>0</v>
      </c>
      <c r="L185" s="49" t="n">
        <f aca="false">L91*założenia!$C$7</f>
        <v>0</v>
      </c>
      <c r="M185" s="49" t="n">
        <f aca="false">M91*założenia!$C$7</f>
        <v>0</v>
      </c>
      <c r="N185" s="49" t="n">
        <f aca="false">N91*założenia!$C$7</f>
        <v>0</v>
      </c>
      <c r="O185" s="49" t="n">
        <f aca="false">O91*założenia!$C$7</f>
        <v>0</v>
      </c>
      <c r="P185" s="49" t="n">
        <f aca="false">P91*założenia!$C$7</f>
        <v>0</v>
      </c>
      <c r="Q185" s="49" t="n">
        <f aca="false">Q91*założenia!$C$7</f>
        <v>0</v>
      </c>
      <c r="R185" s="49" t="n">
        <f aca="false">R91*założenia!$C$7</f>
        <v>0</v>
      </c>
      <c r="S185" s="49" t="n">
        <f aca="false">S91*założenia!$C$7</f>
        <v>0</v>
      </c>
      <c r="T185" s="49" t="n">
        <f aca="false">T91*założenia!$C$7</f>
        <v>0</v>
      </c>
      <c r="U185" s="49" t="n">
        <f aca="false">U91*założenia!$C$7</f>
        <v>0</v>
      </c>
      <c r="V185" s="49" t="n">
        <f aca="false">V91*założenia!$C$7</f>
        <v>0</v>
      </c>
      <c r="W185" s="49" t="n">
        <f aca="false">W91*założenia!$C$7</f>
        <v>11850</v>
      </c>
      <c r="X185" s="49" t="n">
        <f aca="false">X91*założenia!$C$7</f>
        <v>11850</v>
      </c>
      <c r="Y185" s="49" t="n">
        <f aca="false">Y91*założenia!$C$7</f>
        <v>11850</v>
      </c>
      <c r="Z185" s="49" t="n">
        <f aca="false">Z91*założenia!$C$7</f>
        <v>11850</v>
      </c>
    </row>
    <row r="186" customFormat="false" ht="15" hidden="false" customHeight="false" outlineLevel="0" collapsed="false">
      <c r="A186" s="41" t="s">
        <v>53</v>
      </c>
      <c r="B186" s="41" t="n">
        <v>4</v>
      </c>
      <c r="C186" s="49" t="n">
        <f aca="false">SUM(D186:Z186)</f>
        <v>8229.348</v>
      </c>
      <c r="D186" s="49" t="n">
        <f aca="false">D92*założenia!$C$7</f>
        <v>0</v>
      </c>
      <c r="E186" s="49" t="n">
        <f aca="false">E92*założenia!$C$7</f>
        <v>0</v>
      </c>
      <c r="F186" s="49" t="n">
        <f aca="false">F92*założenia!$C$7</f>
        <v>0</v>
      </c>
      <c r="G186" s="49" t="n">
        <f aca="false">G92*założenia!$C$7</f>
        <v>0</v>
      </c>
      <c r="H186" s="49" t="n">
        <f aca="false">H92*założenia!$C$7</f>
        <v>0</v>
      </c>
      <c r="I186" s="49" t="n">
        <f aca="false">I92*założenia!$C$7</f>
        <v>0</v>
      </c>
      <c r="J186" s="49" t="n">
        <f aca="false">J92*założenia!$C$7</f>
        <v>0</v>
      </c>
      <c r="K186" s="49" t="n">
        <f aca="false">K92*założenia!$C$7</f>
        <v>0</v>
      </c>
      <c r="L186" s="49" t="n">
        <f aca="false">L92*założenia!$C$7</f>
        <v>0</v>
      </c>
      <c r="M186" s="49" t="n">
        <f aca="false">M92*założenia!$C$7</f>
        <v>0</v>
      </c>
      <c r="N186" s="49" t="n">
        <f aca="false">N92*założenia!$C$7</f>
        <v>0</v>
      </c>
      <c r="O186" s="49" t="n">
        <f aca="false">O92*założenia!$C$7</f>
        <v>0</v>
      </c>
      <c r="P186" s="49" t="n">
        <f aca="false">P92*założenia!$C$7</f>
        <v>0</v>
      </c>
      <c r="Q186" s="49" t="n">
        <f aca="false">Q92*założenia!$C$7</f>
        <v>0</v>
      </c>
      <c r="R186" s="49" t="n">
        <f aca="false">R92*założenia!$C$7</f>
        <v>0</v>
      </c>
      <c r="S186" s="49" t="n">
        <f aca="false">S92*założenia!$C$7</f>
        <v>0</v>
      </c>
      <c r="T186" s="49" t="n">
        <f aca="false">T92*założenia!$C$7</f>
        <v>0</v>
      </c>
      <c r="U186" s="49" t="n">
        <f aca="false">U92*założenia!$C$7</f>
        <v>0</v>
      </c>
      <c r="V186" s="49" t="n">
        <f aca="false">V92*założenia!$C$7</f>
        <v>0</v>
      </c>
      <c r="W186" s="49" t="n">
        <f aca="false">W92*założenia!$C$7</f>
        <v>2057.337</v>
      </c>
      <c r="X186" s="49" t="n">
        <f aca="false">X92*założenia!$C$7</f>
        <v>2057.337</v>
      </c>
      <c r="Y186" s="49" t="n">
        <f aca="false">Y92*założenia!$C$7</f>
        <v>2057.337</v>
      </c>
      <c r="Z186" s="49" t="n">
        <f aca="false">Z92*założenia!$C$7</f>
        <v>2057.337</v>
      </c>
    </row>
    <row r="187" customFormat="false" ht="15" hidden="false" customHeight="false" outlineLevel="0" collapsed="false">
      <c r="A187" s="40" t="s">
        <v>231</v>
      </c>
      <c r="B187" s="40" t="n">
        <v>1</v>
      </c>
      <c r="C187" s="63" t="n">
        <f aca="false">SUMIF($B$150:$B$186,1,C$150:C$186)</f>
        <v>645939.9</v>
      </c>
      <c r="D187" s="63" t="n">
        <f aca="false">SUMIF($B$150:$B$186,1,D$150:D$186)</f>
        <v>131356.779555556</v>
      </c>
      <c r="E187" s="63" t="n">
        <f aca="false">SUMIF($B$150:$B$186,1,E$150:E$186)</f>
        <v>131356.779555556</v>
      </c>
      <c r="F187" s="63" t="n">
        <f aca="false">SUMIF($B$150:$B$186,1,F$150:F$186)</f>
        <v>131356.779555556</v>
      </c>
      <c r="G187" s="63" t="n">
        <f aca="false">SUMIF($B$150:$B$186,1,G$150:G$186)</f>
        <v>125934.780666667</v>
      </c>
      <c r="H187" s="63" t="n">
        <f aca="false">SUMIF($B$150:$B$186,1,H$150:H$186)</f>
        <v>125934.780666667</v>
      </c>
      <c r="I187" s="63" t="n">
        <f aca="false">SUMIF($B$150:$B$186,1,I$150:I$186)</f>
        <v>0</v>
      </c>
      <c r="J187" s="63" t="n">
        <f aca="false">SUMIF($B$150:$B$186,1,J$150:J$186)</f>
        <v>0</v>
      </c>
      <c r="K187" s="63" t="n">
        <f aca="false">SUMIF($B$150:$B$186,1,K$150:K$186)</f>
        <v>0</v>
      </c>
      <c r="L187" s="63" t="n">
        <f aca="false">SUMIF($B$150:$B$186,1,L$150:L$186)</f>
        <v>0</v>
      </c>
      <c r="M187" s="63" t="n">
        <f aca="false">SUMIF($B$150:$B$186,1,M$150:M$186)</f>
        <v>0</v>
      </c>
      <c r="N187" s="63" t="n">
        <f aca="false">SUMIF($B$150:$B$186,1,N$150:N$186)</f>
        <v>0</v>
      </c>
      <c r="O187" s="63" t="n">
        <f aca="false">SUMIF($B$150:$B$186,1,O$150:O$186)</f>
        <v>0</v>
      </c>
      <c r="P187" s="63" t="n">
        <f aca="false">SUMIF($B$150:$B$186,1,P$150:P$186)</f>
        <v>0</v>
      </c>
      <c r="Q187" s="63" t="n">
        <f aca="false">SUMIF($B$150:$B$186,1,Q$150:Q$186)</f>
        <v>0</v>
      </c>
      <c r="R187" s="63" t="n">
        <f aca="false">SUMIF($B$150:$B$186,1,R$150:R$186)</f>
        <v>0</v>
      </c>
      <c r="S187" s="63" t="n">
        <f aca="false">SUMIF($B$150:$B$186,1,S$150:S$186)</f>
        <v>0</v>
      </c>
      <c r="T187" s="63" t="n">
        <f aca="false">SUMIF($B$150:$B$186,1,T$150:T$186)</f>
        <v>0</v>
      </c>
      <c r="U187" s="63" t="n">
        <f aca="false">SUMIF($B$150:$B$186,1,U$150:U$186)</f>
        <v>0</v>
      </c>
      <c r="V187" s="63" t="n">
        <f aca="false">SUMIF($B$150:$B$186,1,V$150:V$186)</f>
        <v>0</v>
      </c>
      <c r="W187" s="63" t="n">
        <f aca="false">SUMIF($B$150:$B$186,1,W$150:W$186)</f>
        <v>0</v>
      </c>
      <c r="X187" s="63" t="n">
        <f aca="false">SUMIF($B$150:$B$186,1,X$150:X$186)</f>
        <v>0</v>
      </c>
      <c r="Y187" s="63" t="n">
        <f aca="false">SUMIF($B$150:$B$186,1,Y$150:Y$186)</f>
        <v>0</v>
      </c>
      <c r="Z187" s="63" t="n">
        <f aca="false">SUMIF($B$150:$B$186,1,Z$150:Z$186)</f>
        <v>0</v>
      </c>
    </row>
    <row r="188" customFormat="false" ht="15" hidden="false" customHeight="false" outlineLevel="0" collapsed="false">
      <c r="A188" s="40" t="s">
        <v>232</v>
      </c>
      <c r="B188" s="40" t="n">
        <v>2</v>
      </c>
      <c r="C188" s="63" t="n">
        <f aca="false">SUMIF($B$150:$B$186,2,C$150:C$186)</f>
        <v>808429.906</v>
      </c>
      <c r="D188" s="63" t="n">
        <f aca="false">SUMIF($B$150:$B$186,2,D$150:D$186)</f>
        <v>0</v>
      </c>
      <c r="E188" s="63" t="n">
        <f aca="false">SUMIF($B$150:$B$186,2,E$150:E$186)</f>
        <v>0</v>
      </c>
      <c r="F188" s="63" t="n">
        <f aca="false">SUMIF($B$150:$B$186,2,F$150:F$186)</f>
        <v>0</v>
      </c>
      <c r="G188" s="63" t="n">
        <f aca="false">SUMIF($B$150:$B$186,2,G$150:G$186)</f>
        <v>0</v>
      </c>
      <c r="H188" s="63" t="n">
        <f aca="false">SUMIF($B$150:$B$186,2,H$150:H$186)</f>
        <v>0</v>
      </c>
      <c r="I188" s="63" t="n">
        <f aca="false">SUMIF($B$150:$B$186,2,I$150:I$186)</f>
        <v>134654.307666667</v>
      </c>
      <c r="J188" s="63" t="n">
        <f aca="false">SUMIF($B$150:$B$186,2,J$150:J$186)</f>
        <v>134654.307666667</v>
      </c>
      <c r="K188" s="63" t="n">
        <f aca="false">SUMIF($B$150:$B$186,2,K$150:K$186)</f>
        <v>134654.307666667</v>
      </c>
      <c r="L188" s="63" t="n">
        <f aca="false">SUMIF($B$150:$B$186,2,L$150:L$186)</f>
        <v>134654.307666667</v>
      </c>
      <c r="M188" s="63" t="n">
        <f aca="false">SUMIF($B$150:$B$186,2,M$150:M$186)</f>
        <v>134654.307666667</v>
      </c>
      <c r="N188" s="63" t="n">
        <f aca="false">SUMIF($B$150:$B$186,2,N$150:N$186)</f>
        <v>135158.367666667</v>
      </c>
      <c r="O188" s="63" t="n">
        <f aca="false">SUMIF($B$150:$B$186,2,O$150:O$186)</f>
        <v>0</v>
      </c>
      <c r="P188" s="63" t="n">
        <f aca="false">SUMIF($B$150:$B$186,2,P$150:P$186)</f>
        <v>0</v>
      </c>
      <c r="Q188" s="63" t="n">
        <f aca="false">SUMIF($B$150:$B$186,2,Q$150:Q$186)</f>
        <v>0</v>
      </c>
      <c r="R188" s="63" t="n">
        <f aca="false">SUMIF($B$150:$B$186,2,R$150:R$186)</f>
        <v>0</v>
      </c>
      <c r="S188" s="63" t="n">
        <f aca="false">SUMIF($B$150:$B$186,2,S$150:S$186)</f>
        <v>0</v>
      </c>
      <c r="T188" s="63" t="n">
        <f aca="false">SUMIF($B$150:$B$186,2,T$150:T$186)</f>
        <v>0</v>
      </c>
      <c r="U188" s="63" t="n">
        <f aca="false">SUMIF($B$150:$B$186,2,U$150:U$186)</f>
        <v>0</v>
      </c>
      <c r="V188" s="63" t="n">
        <f aca="false">SUMIF($B$150:$B$186,2,V$150:V$186)</f>
        <v>0</v>
      </c>
      <c r="W188" s="63" t="n">
        <f aca="false">SUMIF($B$150:$B$186,2,W$150:W$186)</f>
        <v>0</v>
      </c>
      <c r="X188" s="63" t="n">
        <f aca="false">SUMIF($B$150:$B$186,2,X$150:X$186)</f>
        <v>0</v>
      </c>
      <c r="Y188" s="63" t="n">
        <f aca="false">SUMIF($B$150:$B$186,2,Y$150:Y$186)</f>
        <v>0</v>
      </c>
      <c r="Z188" s="63" t="n">
        <f aca="false">SUMIF($B$150:$B$186,2,Z$150:Z$186)</f>
        <v>0</v>
      </c>
    </row>
    <row r="189" customFormat="false" ht="15" hidden="false" customHeight="false" outlineLevel="0" collapsed="false">
      <c r="A189" s="40" t="s">
        <v>233</v>
      </c>
      <c r="B189" s="40" t="n">
        <v>3</v>
      </c>
      <c r="C189" s="63" t="n">
        <f aca="false">SUMIF($B$150:$B$186,3,C$150:C$186)</f>
        <v>1111069.728</v>
      </c>
      <c r="D189" s="63" t="n">
        <f aca="false">SUMIF($B$150:$B$186,3,D$150:D$186)</f>
        <v>0</v>
      </c>
      <c r="E189" s="63" t="n">
        <f aca="false">SUMIF($B$150:$B$186,3,E$150:E$186)</f>
        <v>0</v>
      </c>
      <c r="F189" s="63" t="n">
        <f aca="false">SUMIF($B$150:$B$186,3,F$150:F$186)</f>
        <v>0</v>
      </c>
      <c r="G189" s="63" t="n">
        <f aca="false">SUMIF($B$150:$B$186,3,G$150:G$186)</f>
        <v>0</v>
      </c>
      <c r="H189" s="63" t="n">
        <f aca="false">SUMIF($B$150:$B$186,3,H$150:H$186)</f>
        <v>0</v>
      </c>
      <c r="I189" s="63" t="n">
        <f aca="false">SUMIF($B$150:$B$186,3,I$150:I$186)</f>
        <v>0</v>
      </c>
      <c r="J189" s="63" t="n">
        <f aca="false">SUMIF($B$150:$B$186,3,J$150:J$186)</f>
        <v>0</v>
      </c>
      <c r="K189" s="63" t="n">
        <f aca="false">SUMIF($B$150:$B$186,3,K$150:K$186)</f>
        <v>0</v>
      </c>
      <c r="L189" s="63" t="n">
        <f aca="false">SUMIF($B$150:$B$186,3,L$150:L$186)</f>
        <v>0</v>
      </c>
      <c r="M189" s="63" t="n">
        <f aca="false">SUMIF($B$150:$B$186,3,M$150:M$186)</f>
        <v>0</v>
      </c>
      <c r="N189" s="63" t="n">
        <f aca="false">SUMIF($B$150:$B$186,3,N$150:N$186)</f>
        <v>0</v>
      </c>
      <c r="O189" s="63" t="n">
        <f aca="false">SUMIF($B$150:$B$186,3,O$150:O$186)</f>
        <v>134817.216</v>
      </c>
      <c r="P189" s="63" t="n">
        <f aca="false">SUMIF($B$150:$B$186,3,P$150:P$186)</f>
        <v>134817.216</v>
      </c>
      <c r="Q189" s="63" t="n">
        <f aca="false">SUMIF($B$150:$B$186,3,Q$150:Q$186)</f>
        <v>140239.216</v>
      </c>
      <c r="R189" s="63" t="n">
        <f aca="false">SUMIF($B$150:$B$186,3,R$150:R$186)</f>
        <v>140239.216</v>
      </c>
      <c r="S189" s="63" t="n">
        <f aca="false">SUMIF($B$150:$B$186,3,S$150:S$186)</f>
        <v>140239.216</v>
      </c>
      <c r="T189" s="63" t="n">
        <f aca="false">SUMIF($B$150:$B$186,3,T$150:T$186)</f>
        <v>140239.216</v>
      </c>
      <c r="U189" s="63" t="n">
        <f aca="false">SUMIF($B$150:$B$186,3,U$150:U$186)</f>
        <v>140239.216</v>
      </c>
      <c r="V189" s="63" t="n">
        <f aca="false">SUMIF($B$150:$B$186,3,V$150:V$186)</f>
        <v>140239.216</v>
      </c>
      <c r="W189" s="63" t="n">
        <f aca="false">SUMIF($B$150:$B$186,3,W$150:W$186)</f>
        <v>0</v>
      </c>
      <c r="X189" s="63" t="n">
        <f aca="false">SUMIF($B$150:$B$186,3,X$150:X$186)</f>
        <v>0</v>
      </c>
      <c r="Y189" s="63" t="n">
        <f aca="false">SUMIF($B$150:$B$186,3,Y$150:Y$186)</f>
        <v>0</v>
      </c>
      <c r="Z189" s="63" t="n">
        <f aca="false">SUMIF($B$150:$B$186,3,Z$150:Z$186)</f>
        <v>0</v>
      </c>
    </row>
    <row r="190" customFormat="false" ht="15" hidden="false" customHeight="false" outlineLevel="0" collapsed="false">
      <c r="A190" s="40" t="s">
        <v>234</v>
      </c>
      <c r="B190" s="40" t="n">
        <v>4</v>
      </c>
      <c r="C190" s="63" t="n">
        <f aca="false">SUMIF($B$150:$B$186,4,C$150:C$186)</f>
        <v>394506.996</v>
      </c>
      <c r="D190" s="63" t="n">
        <f aca="false">SUMIF($B$150:$B$186,4,D$150:D$186)</f>
        <v>0</v>
      </c>
      <c r="E190" s="63" t="n">
        <f aca="false">SUMIF($B$150:$B$186,4,E$150:E$186)</f>
        <v>0</v>
      </c>
      <c r="F190" s="63" t="n">
        <f aca="false">SUMIF($B$150:$B$186,4,F$150:F$186)</f>
        <v>0</v>
      </c>
      <c r="G190" s="63" t="n">
        <f aca="false">SUMIF($B$150:$B$186,4,G$150:G$186)</f>
        <v>0</v>
      </c>
      <c r="H190" s="63" t="n">
        <f aca="false">SUMIF($B$150:$B$186,4,H$150:H$186)</f>
        <v>0</v>
      </c>
      <c r="I190" s="63" t="n">
        <f aca="false">SUMIF($B$150:$B$186,4,I$150:I$186)</f>
        <v>0</v>
      </c>
      <c r="J190" s="63" t="n">
        <f aca="false">SUMIF($B$150:$B$186,4,J$150:J$186)</f>
        <v>0</v>
      </c>
      <c r="K190" s="63" t="n">
        <f aca="false">SUMIF($B$150:$B$186,4,K$150:K$186)</f>
        <v>0</v>
      </c>
      <c r="L190" s="63" t="n">
        <f aca="false">SUMIF($B$150:$B$186,4,L$150:L$186)</f>
        <v>0</v>
      </c>
      <c r="M190" s="63" t="n">
        <f aca="false">SUMIF($B$150:$B$186,4,M$150:M$186)</f>
        <v>0</v>
      </c>
      <c r="N190" s="63" t="n">
        <f aca="false">SUMIF($B$150:$B$186,4,N$150:N$186)</f>
        <v>0</v>
      </c>
      <c r="O190" s="63" t="n">
        <f aca="false">SUMIF($B$150:$B$186,4,O$150:O$186)</f>
        <v>0</v>
      </c>
      <c r="P190" s="63" t="n">
        <f aca="false">SUMIF($B$150:$B$186,4,P$150:P$186)</f>
        <v>0</v>
      </c>
      <c r="Q190" s="63" t="n">
        <f aca="false">SUMIF($B$150:$B$186,4,Q$150:Q$186)</f>
        <v>0</v>
      </c>
      <c r="R190" s="63" t="n">
        <f aca="false">SUMIF($B$150:$B$186,4,R$150:R$186)</f>
        <v>0</v>
      </c>
      <c r="S190" s="63" t="n">
        <f aca="false">SUMIF($B$150:$B$186,4,S$150:S$186)</f>
        <v>0</v>
      </c>
      <c r="T190" s="63" t="n">
        <f aca="false">SUMIF($B$150:$B$186,4,T$150:T$186)</f>
        <v>0</v>
      </c>
      <c r="U190" s="63" t="n">
        <f aca="false">SUMIF($B$150:$B$186,4,U$150:U$186)</f>
        <v>0</v>
      </c>
      <c r="V190" s="63" t="n">
        <f aca="false">SUMIF($B$150:$B$186,4,V$150:V$186)</f>
        <v>0</v>
      </c>
      <c r="W190" s="63" t="n">
        <f aca="false">SUMIF($B$150:$B$186,4,W$150:W$186)</f>
        <v>98626.749</v>
      </c>
      <c r="X190" s="63" t="n">
        <f aca="false">SUMIF($B$150:$B$186,4,X$150:X$186)</f>
        <v>98626.749</v>
      </c>
      <c r="Y190" s="63" t="n">
        <f aca="false">SUMIF($B$150:$B$186,4,Y$150:Y$186)</f>
        <v>98626.749</v>
      </c>
      <c r="Z190" s="63" t="n">
        <f aca="false">SUMIF($B$150:$B$186,4,Z$150:Z$186)</f>
        <v>98626.749</v>
      </c>
    </row>
    <row r="191" customFormat="false" ht="15" hidden="false" customHeight="false" outlineLevel="0" collapsed="false">
      <c r="A191" s="40" t="s">
        <v>60</v>
      </c>
      <c r="B191" s="40"/>
      <c r="C191" s="63" t="n">
        <f aca="false">SUM(C187:C190)</f>
        <v>2959946.53</v>
      </c>
      <c r="D191" s="63" t="n">
        <f aca="false">SUM(D187:D190)</f>
        <v>131356.779555556</v>
      </c>
      <c r="E191" s="63" t="n">
        <f aca="false">SUM(E187:E190)</f>
        <v>131356.779555556</v>
      </c>
      <c r="F191" s="63" t="n">
        <f aca="false">SUM(F187:F190)</f>
        <v>131356.779555556</v>
      </c>
      <c r="G191" s="63" t="n">
        <f aca="false">SUM(G187:G190)</f>
        <v>125934.780666667</v>
      </c>
      <c r="H191" s="63" t="n">
        <f aca="false">SUM(H187:H190)</f>
        <v>125934.780666667</v>
      </c>
      <c r="I191" s="63" t="n">
        <f aca="false">SUM(I187:I190)</f>
        <v>134654.307666667</v>
      </c>
      <c r="J191" s="63" t="n">
        <f aca="false">SUM(J187:J190)</f>
        <v>134654.307666667</v>
      </c>
      <c r="K191" s="63" t="n">
        <f aca="false">SUM(K187:K190)</f>
        <v>134654.307666667</v>
      </c>
      <c r="L191" s="63" t="n">
        <f aca="false">SUM(L187:L190)</f>
        <v>134654.307666667</v>
      </c>
      <c r="M191" s="63" t="n">
        <f aca="false">SUM(M187:M190)</f>
        <v>134654.307666667</v>
      </c>
      <c r="N191" s="63" t="n">
        <f aca="false">SUM(N187:N190)</f>
        <v>135158.367666667</v>
      </c>
      <c r="O191" s="63" t="n">
        <f aca="false">SUM(O187:O190)</f>
        <v>134817.216</v>
      </c>
      <c r="P191" s="63" t="n">
        <f aca="false">SUM(P187:P190)</f>
        <v>134817.216</v>
      </c>
      <c r="Q191" s="63" t="n">
        <f aca="false">SUM(Q187:Q190)</f>
        <v>140239.216</v>
      </c>
      <c r="R191" s="63" t="n">
        <f aca="false">SUM(R187:R190)</f>
        <v>140239.216</v>
      </c>
      <c r="S191" s="63" t="n">
        <f aca="false">SUM(S187:S190)</f>
        <v>140239.216</v>
      </c>
      <c r="T191" s="63" t="n">
        <f aca="false">SUM(T187:T190)</f>
        <v>140239.216</v>
      </c>
      <c r="U191" s="63" t="n">
        <f aca="false">SUM(U187:U190)</f>
        <v>140239.216</v>
      </c>
      <c r="V191" s="63" t="n">
        <f aca="false">SUM(V187:V190)</f>
        <v>140239.216</v>
      </c>
      <c r="W191" s="63" t="n">
        <f aca="false">SUM(W187:W190)</f>
        <v>98626.749</v>
      </c>
      <c r="X191" s="63" t="n">
        <f aca="false">SUM(X187:X190)</f>
        <v>98626.749</v>
      </c>
      <c r="Y191" s="63" t="n">
        <f aca="false">SUM(Y187:Y190)</f>
        <v>98626.749</v>
      </c>
      <c r="Z191" s="63" t="n">
        <f aca="false">SUM(Z187:Z190)</f>
        <v>98626.749</v>
      </c>
    </row>
    <row r="192" customFormat="false" ht="15" hidden="false" customHeight="false" outlineLevel="0" collapsed="false">
      <c r="A192" s="40" t="s">
        <v>235</v>
      </c>
      <c r="B192" s="40"/>
      <c r="C192" s="63" t="n">
        <f aca="false">IF($C$97=0,0,C98*$C$191/$C$97)</f>
        <v>739986.6325</v>
      </c>
      <c r="D192" s="63" t="n">
        <f aca="false">IF($C$97=0,0,D98*$C$191/$C$97)</f>
        <v>31442.2991309977</v>
      </c>
      <c r="E192" s="63" t="n">
        <f aca="false">IF($C$97=0,0,E98*$C$191/$C$97)</f>
        <v>31442.2991309977</v>
      </c>
      <c r="F192" s="63" t="n">
        <f aca="false">IF($C$97=0,0,F98*$C$191/$C$97)</f>
        <v>31442.2991309977</v>
      </c>
      <c r="G192" s="63" t="n">
        <f aca="false">IF($C$97=0,0,G98*$C$191/$C$97)</f>
        <v>30144.4588562948</v>
      </c>
      <c r="H192" s="63" t="n">
        <f aca="false">IF($C$97=0,0,H98*$C$191/$C$97)</f>
        <v>30144.4588562948</v>
      </c>
      <c r="I192" s="63" t="n">
        <f aca="false">IF($C$97=0,0,I98*$C$191/$C$97)</f>
        <v>32231.6149383766</v>
      </c>
      <c r="J192" s="63" t="n">
        <f aca="false">IF($C$97=0,0,J98*$C$191/$C$97)</f>
        <v>32231.6149383766</v>
      </c>
      <c r="K192" s="63" t="n">
        <f aca="false">IF($C$97=0,0,K98*$C$191/$C$97)</f>
        <v>32231.6149383766</v>
      </c>
      <c r="L192" s="63" t="n">
        <f aca="false">IF($C$97=0,0,L98*$C$191/$C$97)</f>
        <v>32231.6149383766</v>
      </c>
      <c r="M192" s="63" t="n">
        <f aca="false">IF($C$97=0,0,M98*$C$191/$C$97)</f>
        <v>32231.6149383766</v>
      </c>
      <c r="N192" s="63" t="n">
        <f aca="false">IF($C$97=0,0,N98*$C$191/$C$97)</f>
        <v>32352.2705391654</v>
      </c>
      <c r="O192" s="63" t="n">
        <f aca="false">IF($C$97=0,0,O98*$C$191/$C$97)</f>
        <v>32270.6088773705</v>
      </c>
      <c r="P192" s="63" t="n">
        <f aca="false">IF($C$97=0,0,P98*$C$191/$C$97)</f>
        <v>32270.6088773705</v>
      </c>
      <c r="Q192" s="63" t="n">
        <f aca="false">IF($C$97=0,0,Q98*$C$191/$C$97)</f>
        <v>33568.4493648428</v>
      </c>
      <c r="R192" s="63" t="n">
        <f aca="false">IF($C$97=0,0,R98*$C$191/$C$97)</f>
        <v>33568.4493648428</v>
      </c>
      <c r="S192" s="63" t="n">
        <f aca="false">IF($C$97=0,0,S98*$C$191/$C$97)</f>
        <v>33568.4493648428</v>
      </c>
      <c r="T192" s="63" t="n">
        <f aca="false">IF($C$97=0,0,T98*$C$191/$C$97)</f>
        <v>33568.4493648428</v>
      </c>
      <c r="U192" s="63" t="n">
        <f aca="false">IF($C$97=0,0,U98*$C$191/$C$97)</f>
        <v>33568.4493648428</v>
      </c>
      <c r="V192" s="63" t="n">
        <f aca="false">IF($C$97=0,0,V98*$C$191/$C$97)</f>
        <v>33568.4493648428</v>
      </c>
      <c r="W192" s="63" t="n">
        <f aca="false">IF($C$97=0,0,W98*$C$191/$C$97)</f>
        <v>31477.1395548928</v>
      </c>
      <c r="X192" s="63" t="n">
        <f aca="false">IF($C$97=0,0,X98*$C$191/$C$97)</f>
        <v>31477.1395548928</v>
      </c>
      <c r="Y192" s="63" t="n">
        <f aca="false">IF($C$97=0,0,Y98*$C$191/$C$97)</f>
        <v>31477.1395548928</v>
      </c>
      <c r="Z192" s="63" t="n">
        <f aca="false">IF($C$97=0,0,Z98*$C$191/$C$97)</f>
        <v>31477.1395548928</v>
      </c>
    </row>
    <row r="193" customFormat="false" ht="15" hidden="false" customHeight="false" outlineLevel="0" collapsed="false">
      <c r="A193" s="40" t="s">
        <v>236</v>
      </c>
      <c r="B193" s="40"/>
      <c r="C193" s="63" t="n">
        <f aca="false">C191+C192</f>
        <v>3699933.1625</v>
      </c>
      <c r="D193" s="63" t="n">
        <f aca="false">D191+D192</f>
        <v>162799.078686553</v>
      </c>
      <c r="E193" s="63" t="n">
        <f aca="false">E191+E192</f>
        <v>162799.078686553</v>
      </c>
      <c r="F193" s="63" t="n">
        <f aca="false">F191+F192</f>
        <v>162799.078686553</v>
      </c>
      <c r="G193" s="63" t="n">
        <f aca="false">G191+G192</f>
        <v>156079.239522961</v>
      </c>
      <c r="H193" s="63" t="n">
        <f aca="false">H191+H192</f>
        <v>156079.239522961</v>
      </c>
      <c r="I193" s="63" t="n">
        <f aca="false">I191+I192</f>
        <v>166885.922605043</v>
      </c>
      <c r="J193" s="63" t="n">
        <f aca="false">J191+J192</f>
        <v>166885.922605043</v>
      </c>
      <c r="K193" s="63" t="n">
        <f aca="false">K191+K192</f>
        <v>166885.922605043</v>
      </c>
      <c r="L193" s="63" t="n">
        <f aca="false">L191+L192</f>
        <v>166885.922605043</v>
      </c>
      <c r="M193" s="63" t="n">
        <f aca="false">M191+M192</f>
        <v>166885.922605043</v>
      </c>
      <c r="N193" s="63" t="n">
        <f aca="false">N191+N192</f>
        <v>167510.638205832</v>
      </c>
      <c r="O193" s="63" t="n">
        <f aca="false">O191+O192</f>
        <v>167087.824877371</v>
      </c>
      <c r="P193" s="63" t="n">
        <f aca="false">P191+P192</f>
        <v>167087.824877371</v>
      </c>
      <c r="Q193" s="63" t="n">
        <f aca="false">Q191+Q192</f>
        <v>173807.665364843</v>
      </c>
      <c r="R193" s="63" t="n">
        <f aca="false">R191+R192</f>
        <v>173807.665364843</v>
      </c>
      <c r="S193" s="63" t="n">
        <f aca="false">S191+S192</f>
        <v>173807.665364843</v>
      </c>
      <c r="T193" s="63" t="n">
        <f aca="false">T191+T192</f>
        <v>173807.665364843</v>
      </c>
      <c r="U193" s="63" t="n">
        <f aca="false">U191+U192</f>
        <v>173807.665364843</v>
      </c>
      <c r="V193" s="63" t="n">
        <f aca="false">V191+V192</f>
        <v>173807.665364843</v>
      </c>
      <c r="W193" s="63" t="n">
        <f aca="false">W191+W192</f>
        <v>130103.888554893</v>
      </c>
      <c r="X193" s="63" t="n">
        <f aca="false">X191+X192</f>
        <v>130103.888554893</v>
      </c>
      <c r="Y193" s="63" t="n">
        <f aca="false">Y191+Y192</f>
        <v>130103.888554893</v>
      </c>
      <c r="Z193" s="63" t="n">
        <f aca="false">Z191+Z192</f>
        <v>130103.888554893</v>
      </c>
    </row>
    <row r="194" customFormat="false" ht="15" hidden="false" customHeight="false" outlineLevel="0" collapsed="false">
      <c r="A194" s="40" t="s">
        <v>237</v>
      </c>
      <c r="B194" s="40"/>
      <c r="C194" s="63"/>
      <c r="D194" s="63" t="n">
        <f aca="false">D193</f>
        <v>162799.078686553</v>
      </c>
      <c r="E194" s="63" t="n">
        <f aca="false">D194+E193</f>
        <v>325598.157373106</v>
      </c>
      <c r="F194" s="63" t="n">
        <f aca="false">E194+F193</f>
        <v>488397.23605966</v>
      </c>
      <c r="G194" s="63" t="n">
        <f aca="false">F194+G193</f>
        <v>644476.475582621</v>
      </c>
      <c r="H194" s="63" t="n">
        <f aca="false">G194+H193</f>
        <v>800555.715105583</v>
      </c>
      <c r="I194" s="63" t="n">
        <f aca="false">H194+I193</f>
        <v>967441.637710626</v>
      </c>
      <c r="J194" s="63" t="n">
        <f aca="false">I194+J193</f>
        <v>1134327.56031567</v>
      </c>
      <c r="K194" s="63" t="n">
        <f aca="false">J194+K193</f>
        <v>1301213.48292071</v>
      </c>
      <c r="L194" s="63" t="n">
        <f aca="false">K194+L193</f>
        <v>1468099.40552576</v>
      </c>
      <c r="M194" s="63" t="n">
        <f aca="false">L194+M193</f>
        <v>1634985.3281308</v>
      </c>
      <c r="N194" s="63" t="n">
        <f aca="false">M194+N193</f>
        <v>1802495.96633663</v>
      </c>
      <c r="O194" s="63" t="n">
        <f aca="false">N194+O193</f>
        <v>1969583.791214</v>
      </c>
      <c r="P194" s="63" t="n">
        <f aca="false">O194+P193</f>
        <v>2136671.61609137</v>
      </c>
      <c r="Q194" s="63" t="n">
        <f aca="false">P194+Q193</f>
        <v>2310479.28145622</v>
      </c>
      <c r="R194" s="63" t="n">
        <f aca="false">Q194+R193</f>
        <v>2484286.94682106</v>
      </c>
      <c r="S194" s="63" t="n">
        <f aca="false">R194+S193</f>
        <v>2658094.6121859</v>
      </c>
      <c r="T194" s="63" t="n">
        <f aca="false">S194+T193</f>
        <v>2831902.27755074</v>
      </c>
      <c r="U194" s="63" t="n">
        <f aca="false">T194+U193</f>
        <v>3005709.94291559</v>
      </c>
      <c r="V194" s="63" t="n">
        <f aca="false">U194+V193</f>
        <v>3179517.60828043</v>
      </c>
      <c r="W194" s="63" t="n">
        <f aca="false">V194+W193</f>
        <v>3309621.49683532</v>
      </c>
      <c r="X194" s="63" t="n">
        <f aca="false">W194+X193</f>
        <v>3439725.38539022</v>
      </c>
      <c r="Y194" s="63" t="n">
        <f aca="false">X194+Y193</f>
        <v>3569829.27394511</v>
      </c>
      <c r="Z194" s="63" t="n">
        <f aca="false">Y194+Z193</f>
        <v>3699933.1625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6"/>
    <col collapsed="false" customWidth="true" hidden="false" outlineLevel="0" max="8" min="8" style="0" width="3"/>
    <col collapsed="false" customWidth="true" hidden="false" outlineLevel="0" max="14" min="9" style="0" width="16"/>
    <col collapsed="false" customWidth="true" hidden="false" outlineLevel="0" max="15" min="15" style="0" width="3"/>
    <col collapsed="false" customWidth="true" hidden="false" outlineLevel="0" max="16" min="16" style="0" width="24"/>
  </cols>
  <sheetData>
    <row r="1" customFormat="false" ht="15" hidden="false" customHeight="true" outlineLevel="0" collapsed="false">
      <c r="A1" s="67"/>
      <c r="B1" s="68" t="s">
        <v>241</v>
      </c>
      <c r="C1" s="68"/>
      <c r="D1" s="68"/>
      <c r="E1" s="68" t="s">
        <v>242</v>
      </c>
      <c r="F1" s="68"/>
      <c r="G1" s="68"/>
      <c r="H1" s="69"/>
      <c r="I1" s="68" t="s">
        <v>243</v>
      </c>
      <c r="J1" s="68"/>
      <c r="K1" s="68"/>
      <c r="L1" s="68" t="s">
        <v>244</v>
      </c>
      <c r="M1" s="68"/>
      <c r="N1" s="68"/>
      <c r="O1" s="69"/>
      <c r="P1" s="67"/>
    </row>
    <row r="2" customFormat="false" ht="42" hidden="false" customHeight="true" outlineLevel="0" collapsed="false">
      <c r="A2" s="67" t="s">
        <v>2</v>
      </c>
      <c r="B2" s="67" t="s">
        <v>115</v>
      </c>
      <c r="C2" s="67" t="s">
        <v>116</v>
      </c>
      <c r="D2" s="67" t="s">
        <v>117</v>
      </c>
      <c r="E2" s="67" t="s">
        <v>115</v>
      </c>
      <c r="F2" s="67" t="s">
        <v>116</v>
      </c>
      <c r="G2" s="67" t="s">
        <v>117</v>
      </c>
      <c r="H2" s="69"/>
      <c r="I2" s="67" t="s">
        <v>115</v>
      </c>
      <c r="J2" s="67" t="s">
        <v>116</v>
      </c>
      <c r="K2" s="67" t="s">
        <v>117</v>
      </c>
      <c r="L2" s="67" t="s">
        <v>245</v>
      </c>
      <c r="M2" s="67" t="s">
        <v>246</v>
      </c>
      <c r="N2" s="67" t="s">
        <v>117</v>
      </c>
      <c r="O2" s="69"/>
      <c r="P2" s="67" t="s">
        <v>247</v>
      </c>
    </row>
    <row r="3" customFormat="false" ht="15" hidden="false" customHeight="false" outlineLevel="0" collapsed="false">
      <c r="A3" s="70" t="s">
        <v>10</v>
      </c>
      <c r="B3" s="71" t="n">
        <f aca="false">SUM(B4:B12)</f>
        <v>807424.87</v>
      </c>
      <c r="C3" s="71" t="n">
        <f aca="false">SUM(C4:C12)</f>
        <v>807424.87</v>
      </c>
      <c r="D3" s="71" t="n">
        <f aca="false">SUM(D4:D12)</f>
        <v>645939.9</v>
      </c>
      <c r="E3" s="71" t="n">
        <f aca="false">SUM(E4:E12)</f>
        <v>807424.87</v>
      </c>
      <c r="F3" s="71" t="n">
        <f aca="false">SUM(F4:F12)</f>
        <v>807424.87</v>
      </c>
      <c r="G3" s="71" t="n">
        <f aca="false">SUM(G4:G12)</f>
        <v>645939.9</v>
      </c>
      <c r="H3" s="63"/>
      <c r="I3" s="71" t="n">
        <f aca="false">Podsumowanie!E5</f>
        <v>868383.93</v>
      </c>
      <c r="J3" s="71" t="n">
        <f aca="false">Podsumowanie!E6</f>
        <v>868383.93</v>
      </c>
      <c r="K3" s="71" t="n">
        <f aca="false">Podsumowanie!E7</f>
        <v>694707.14</v>
      </c>
      <c r="L3" s="71" t="n">
        <f aca="false">E3-I3</f>
        <v>-60959.0600000001</v>
      </c>
      <c r="M3" s="71" t="n">
        <f aca="false">F3-J3</f>
        <v>-60959.0600000001</v>
      </c>
      <c r="N3" s="71" t="n">
        <f aca="false">G3-K3</f>
        <v>-48767.24</v>
      </c>
      <c r="O3" s="40"/>
      <c r="P3" s="70" t="str">
        <f aca="false">IF(AND(E3&gt;=B3-0.005,F3&gt;=C3-0.005,G3&gt;=D3-0.005),"OK","&lt; narastająco")</f>
        <v>OK</v>
      </c>
    </row>
    <row r="4" customFormat="false" ht="15" hidden="false" customHeight="false" outlineLevel="0" collapsed="false">
      <c r="A4" s="72" t="s">
        <v>14</v>
      </c>
      <c r="B4" s="73" t="n">
        <f aca="false">'nowy format'!B4</f>
        <v>277000</v>
      </c>
      <c r="C4" s="73" t="n">
        <f aca="false">'nowy format'!C4</f>
        <v>277000</v>
      </c>
      <c r="D4" s="73" t="n">
        <f aca="false">'nowy format'!D4</f>
        <v>221600</v>
      </c>
      <c r="E4" s="74" t="n">
        <f aca="false">B4</f>
        <v>277000</v>
      </c>
      <c r="F4" s="74" t="n">
        <f aca="false">C4</f>
        <v>277000</v>
      </c>
      <c r="G4" s="74" t="n">
        <f aca="false">D4</f>
        <v>221600</v>
      </c>
      <c r="H4" s="49"/>
      <c r="I4" s="73" t="n">
        <f aca="false">Podsumowanie!E8</f>
        <v>277000</v>
      </c>
      <c r="J4" s="73" t="n">
        <f aca="false">Podsumowanie!E9</f>
        <v>277000</v>
      </c>
      <c r="K4" s="73" t="n">
        <f aca="false">Podsumowanie!E10</f>
        <v>221600</v>
      </c>
      <c r="L4" s="73" t="n">
        <f aca="false">E4-I4</f>
        <v>0</v>
      </c>
      <c r="M4" s="73" t="n">
        <f aca="false">F4-J4</f>
        <v>0</v>
      </c>
      <c r="N4" s="73" t="n">
        <f aca="false">G4-K4</f>
        <v>0</v>
      </c>
      <c r="O4" s="41"/>
      <c r="P4" s="72" t="str">
        <f aca="false">IF(AND(E4&gt;=B4-0.005,F4&gt;=C4-0.005,G4&gt;=D4-0.005),"OK","&lt; narastająco")</f>
        <v>OK</v>
      </c>
    </row>
    <row r="5" customFormat="false" ht="15" hidden="false" customHeight="false" outlineLevel="0" collapsed="false">
      <c r="A5" s="72" t="s">
        <v>15</v>
      </c>
      <c r="B5" s="73" t="n">
        <f aca="false">'nowy format'!B5</f>
        <v>94300</v>
      </c>
      <c r="C5" s="73" t="n">
        <f aca="false">'nowy format'!C5</f>
        <v>94300</v>
      </c>
      <c r="D5" s="73" t="n">
        <f aca="false">'nowy format'!D5</f>
        <v>75440</v>
      </c>
      <c r="E5" s="74" t="n">
        <f aca="false">B5</f>
        <v>94300</v>
      </c>
      <c r="F5" s="74" t="n">
        <f aca="false">C5</f>
        <v>94300</v>
      </c>
      <c r="G5" s="74" t="n">
        <f aca="false">D5</f>
        <v>75440</v>
      </c>
      <c r="H5" s="49"/>
      <c r="I5" s="73" t="n">
        <f aca="false">Podsumowanie!E11</f>
        <v>94300</v>
      </c>
      <c r="J5" s="73" t="n">
        <f aca="false">Podsumowanie!E12</f>
        <v>94300</v>
      </c>
      <c r="K5" s="73" t="n">
        <f aca="false">Podsumowanie!E13</f>
        <v>75440</v>
      </c>
      <c r="L5" s="73" t="n">
        <f aca="false">E5-I5</f>
        <v>0</v>
      </c>
      <c r="M5" s="73" t="n">
        <f aca="false">F5-J5</f>
        <v>0</v>
      </c>
      <c r="N5" s="73" t="n">
        <f aca="false">G5-K5</f>
        <v>0</v>
      </c>
      <c r="O5" s="41"/>
      <c r="P5" s="72" t="str">
        <f aca="false">IF(AND(E5&gt;=B5-0.005,F5&gt;=C5-0.005,G5&gt;=D5-0.005),"OK","&lt; narastająco")</f>
        <v>OK</v>
      </c>
    </row>
    <row r="6" customFormat="false" ht="15" hidden="false" customHeight="false" outlineLevel="0" collapsed="false">
      <c r="A6" s="72" t="s">
        <v>16</v>
      </c>
      <c r="B6" s="73" t="n">
        <f aca="false">'nowy format'!B6</f>
        <v>121994.98</v>
      </c>
      <c r="C6" s="73" t="n">
        <f aca="false">'nowy format'!C6</f>
        <v>121994.98</v>
      </c>
      <c r="D6" s="73" t="n">
        <f aca="false">'nowy format'!D6</f>
        <v>97595.98</v>
      </c>
      <c r="E6" s="74" t="n">
        <f aca="false">B6</f>
        <v>121994.98</v>
      </c>
      <c r="F6" s="74" t="n">
        <f aca="false">C6</f>
        <v>121994.98</v>
      </c>
      <c r="G6" s="74" t="n">
        <f aca="false">D6</f>
        <v>97595.98</v>
      </c>
      <c r="H6" s="49"/>
      <c r="I6" s="73" t="n">
        <f aca="false">Podsumowanie!E14</f>
        <v>135550</v>
      </c>
      <c r="J6" s="73" t="n">
        <f aca="false">Podsumowanie!E15</f>
        <v>135550</v>
      </c>
      <c r="K6" s="73" t="n">
        <f aca="false">Podsumowanie!E16</f>
        <v>108440</v>
      </c>
      <c r="L6" s="73" t="n">
        <f aca="false">E6-I6</f>
        <v>-13555.02</v>
      </c>
      <c r="M6" s="73" t="n">
        <f aca="false">F6-J6</f>
        <v>-13555.02</v>
      </c>
      <c r="N6" s="73" t="n">
        <f aca="false">G6-K6</f>
        <v>-10844.02</v>
      </c>
      <c r="O6" s="41"/>
      <c r="P6" s="72" t="str">
        <f aca="false">IF(AND(E6&gt;=B6-0.005,F6&gt;=C6-0.005,G6&gt;=D6-0.005),"OK","&lt; narastająco")</f>
        <v>OK</v>
      </c>
    </row>
    <row r="7" customFormat="false" ht="15" hidden="false" customHeight="false" outlineLevel="0" collapsed="false">
      <c r="A7" s="72" t="s">
        <v>17</v>
      </c>
      <c r="B7" s="73" t="n">
        <f aca="false">'nowy format'!B7</f>
        <v>50828.54</v>
      </c>
      <c r="C7" s="73" t="n">
        <f aca="false">'nowy format'!C7</f>
        <v>50828.54</v>
      </c>
      <c r="D7" s="73" t="n">
        <f aca="false">'nowy format'!D7</f>
        <v>40662.83</v>
      </c>
      <c r="E7" s="74" t="n">
        <f aca="false">B7</f>
        <v>50828.54</v>
      </c>
      <c r="F7" s="74" t="n">
        <f aca="false">C7</f>
        <v>50828.54</v>
      </c>
      <c r="G7" s="74" t="n">
        <f aca="false">D7</f>
        <v>40662.83</v>
      </c>
      <c r="H7" s="49"/>
      <c r="I7" s="73" t="n">
        <f aca="false">Podsumowanie!E17</f>
        <v>51562.5</v>
      </c>
      <c r="J7" s="73" t="n">
        <f aca="false">Podsumowanie!E18</f>
        <v>51562.5</v>
      </c>
      <c r="K7" s="73" t="n">
        <f aca="false">Podsumowanie!E19</f>
        <v>41250</v>
      </c>
      <c r="L7" s="73" t="n">
        <f aca="false">E7-I7</f>
        <v>-733.959999999999</v>
      </c>
      <c r="M7" s="73" t="n">
        <f aca="false">F7-J7</f>
        <v>-733.959999999999</v>
      </c>
      <c r="N7" s="73" t="n">
        <f aca="false">G7-K7</f>
        <v>-587.169999999998</v>
      </c>
      <c r="O7" s="41"/>
      <c r="P7" s="72" t="str">
        <f aca="false">IF(AND(E7&gt;=B7-0.005,F7&gt;=C7-0.005,G7&gt;=D7-0.005),"OK","&lt; narastająco")</f>
        <v>OK</v>
      </c>
    </row>
    <row r="8" customFormat="false" ht="15" hidden="false" customHeight="false" outlineLevel="0" collapsed="false">
      <c r="A8" s="72" t="s">
        <v>18</v>
      </c>
      <c r="B8" s="73" t="n">
        <f aca="false">'nowy format'!B8</f>
        <v>34550.27</v>
      </c>
      <c r="C8" s="73" t="n">
        <f aca="false">'nowy format'!C8</f>
        <v>34550.27</v>
      </c>
      <c r="D8" s="73" t="n">
        <f aca="false">'nowy format'!D8</f>
        <v>27640.23</v>
      </c>
      <c r="E8" s="74" t="n">
        <f aca="false">B8</f>
        <v>34550.27</v>
      </c>
      <c r="F8" s="74" t="n">
        <f aca="false">C8</f>
        <v>34550.27</v>
      </c>
      <c r="G8" s="74" t="n">
        <f aca="false">D8</f>
        <v>27640.23</v>
      </c>
      <c r="H8" s="49"/>
      <c r="I8" s="73" t="n">
        <f aca="false">Podsumowanie!E20</f>
        <v>37200</v>
      </c>
      <c r="J8" s="73" t="n">
        <f aca="false">Podsumowanie!E21</f>
        <v>37200</v>
      </c>
      <c r="K8" s="73" t="n">
        <f aca="false">Podsumowanie!E22</f>
        <v>29760</v>
      </c>
      <c r="L8" s="73" t="n">
        <f aca="false">E8-I8</f>
        <v>-2649.73</v>
      </c>
      <c r="M8" s="73" t="n">
        <f aca="false">F8-J8</f>
        <v>-2649.73</v>
      </c>
      <c r="N8" s="73" t="n">
        <f aca="false">G8-K8</f>
        <v>-2119.77</v>
      </c>
      <c r="O8" s="41"/>
      <c r="P8" s="72" t="str">
        <f aca="false">IF(AND(E8&gt;=B8-0.005,F8&gt;=C8-0.005,G8&gt;=D8-0.005),"OK","&lt; narastająco")</f>
        <v>OK</v>
      </c>
    </row>
    <row r="9" customFormat="false" ht="15" hidden="false" customHeight="false" outlineLevel="0" collapsed="false">
      <c r="A9" s="72" t="s">
        <v>19</v>
      </c>
      <c r="B9" s="73" t="n">
        <f aca="false">'nowy format'!B9</f>
        <v>24600</v>
      </c>
      <c r="C9" s="73" t="n">
        <f aca="false">'nowy format'!C9</f>
        <v>24600</v>
      </c>
      <c r="D9" s="73" t="n">
        <f aca="false">'nowy format'!D9</f>
        <v>19680</v>
      </c>
      <c r="E9" s="74" t="n">
        <f aca="false">B9</f>
        <v>24600</v>
      </c>
      <c r="F9" s="74" t="n">
        <f aca="false">C9</f>
        <v>24600</v>
      </c>
      <c r="G9" s="74" t="n">
        <f aca="false">D9</f>
        <v>19680</v>
      </c>
      <c r="H9" s="49"/>
      <c r="I9" s="73" t="n">
        <f aca="false">Podsumowanie!E23</f>
        <v>67325</v>
      </c>
      <c r="J9" s="73" t="n">
        <f aca="false">Podsumowanie!E24</f>
        <v>67325</v>
      </c>
      <c r="K9" s="73" t="n">
        <f aca="false">Podsumowanie!E25</f>
        <v>53860</v>
      </c>
      <c r="L9" s="73" t="n">
        <f aca="false">E9-I9</f>
        <v>-42725</v>
      </c>
      <c r="M9" s="73" t="n">
        <f aca="false">F9-J9</f>
        <v>-42725</v>
      </c>
      <c r="N9" s="73" t="n">
        <f aca="false">G9-K9</f>
        <v>-34180</v>
      </c>
      <c r="O9" s="41"/>
      <c r="P9" s="72" t="str">
        <f aca="false">IF(AND(E9&gt;=B9-0.005,F9&gt;=C9-0.005,G9&gt;=D9-0.005),"OK","&lt; narastająco")</f>
        <v>OK</v>
      </c>
    </row>
    <row r="10" customFormat="false" ht="15" hidden="false" customHeight="false" outlineLevel="0" collapsed="false">
      <c r="A10" s="72" t="s">
        <v>20</v>
      </c>
      <c r="B10" s="73" t="n">
        <f aca="false">'nowy format'!B10</f>
        <v>103125</v>
      </c>
      <c r="C10" s="73" t="n">
        <f aca="false">'nowy format'!C10</f>
        <v>103125</v>
      </c>
      <c r="D10" s="73" t="n">
        <f aca="false">'nowy format'!D10</f>
        <v>82500</v>
      </c>
      <c r="E10" s="74" t="n">
        <f aca="false">B10</f>
        <v>103125</v>
      </c>
      <c r="F10" s="74" t="n">
        <f aca="false">C10</f>
        <v>103125</v>
      </c>
      <c r="G10" s="74" t="n">
        <f aca="false">D10</f>
        <v>82500</v>
      </c>
      <c r="H10" s="49"/>
      <c r="I10" s="73" t="n">
        <f aca="false">Podsumowanie!E26</f>
        <v>103125</v>
      </c>
      <c r="J10" s="73" t="n">
        <f aca="false">Podsumowanie!E27</f>
        <v>103125</v>
      </c>
      <c r="K10" s="73" t="n">
        <f aca="false">Podsumowanie!E28</f>
        <v>82500</v>
      </c>
      <c r="L10" s="73" t="n">
        <f aca="false">E10-I10</f>
        <v>0</v>
      </c>
      <c r="M10" s="73" t="n">
        <f aca="false">F10-J10</f>
        <v>0</v>
      </c>
      <c r="N10" s="73" t="n">
        <f aca="false">G10-K10</f>
        <v>0</v>
      </c>
      <c r="O10" s="41"/>
      <c r="P10" s="72" t="str">
        <f aca="false">IF(AND(E10&gt;=B10-0.005,F10&gt;=C10-0.005,G10&gt;=D10-0.005),"OK","&lt; narastająco")</f>
        <v>OK</v>
      </c>
    </row>
    <row r="11" customFormat="false" ht="15" hidden="false" customHeight="false" outlineLevel="0" collapsed="false">
      <c r="A11" s="72" t="s">
        <v>21</v>
      </c>
      <c r="B11" s="73" t="n">
        <f aca="false">'nowy format'!B11</f>
        <v>2276.08</v>
      </c>
      <c r="C11" s="73" t="n">
        <f aca="false">'nowy format'!C11</f>
        <v>2276.08</v>
      </c>
      <c r="D11" s="73" t="n">
        <f aca="false">'nowy format'!D11</f>
        <v>1820.86</v>
      </c>
      <c r="E11" s="74" t="n">
        <f aca="false">B11</f>
        <v>2276.08</v>
      </c>
      <c r="F11" s="74" t="n">
        <f aca="false">C11</f>
        <v>2276.08</v>
      </c>
      <c r="G11" s="74" t="n">
        <f aca="false">D11</f>
        <v>1820.86</v>
      </c>
      <c r="H11" s="49"/>
      <c r="I11" s="73" t="n">
        <f aca="false">Podsumowanie!E29</f>
        <v>3571.43</v>
      </c>
      <c r="J11" s="73" t="n">
        <f aca="false">Podsumowanie!E30</f>
        <v>3571.43</v>
      </c>
      <c r="K11" s="73" t="n">
        <f aca="false">Podsumowanie!E31</f>
        <v>2857.14</v>
      </c>
      <c r="L11" s="73" t="n">
        <f aca="false">E11-I11</f>
        <v>-1295.35</v>
      </c>
      <c r="M11" s="73" t="n">
        <f aca="false">F11-J11</f>
        <v>-1295.35</v>
      </c>
      <c r="N11" s="73" t="n">
        <f aca="false">G11-K11</f>
        <v>-1036.28</v>
      </c>
      <c r="O11" s="41"/>
      <c r="P11" s="72" t="str">
        <f aca="false">IF(AND(E11&gt;=B11-0.005,F11&gt;=C11-0.005,G11&gt;=D11-0.005),"OK","&lt; narastająco")</f>
        <v>OK</v>
      </c>
    </row>
    <row r="12" customFormat="false" ht="15" hidden="false" customHeight="false" outlineLevel="0" collapsed="false">
      <c r="A12" s="72" t="s">
        <v>22</v>
      </c>
      <c r="B12" s="73" t="n">
        <f aca="false">'nowy format'!B12</f>
        <v>98750</v>
      </c>
      <c r="C12" s="73" t="n">
        <f aca="false">'nowy format'!C12</f>
        <v>98750</v>
      </c>
      <c r="D12" s="73" t="n">
        <f aca="false">'nowy format'!D12</f>
        <v>79000</v>
      </c>
      <c r="E12" s="74" t="n">
        <f aca="false">B12</f>
        <v>98750</v>
      </c>
      <c r="F12" s="74" t="n">
        <f aca="false">C12</f>
        <v>98750</v>
      </c>
      <c r="G12" s="74" t="n">
        <f aca="false">D12</f>
        <v>79000</v>
      </c>
      <c r="H12" s="49"/>
      <c r="I12" s="73" t="n">
        <f aca="false">Podsumowanie!E32</f>
        <v>98750</v>
      </c>
      <c r="J12" s="73" t="n">
        <f aca="false">Podsumowanie!E33</f>
        <v>98750</v>
      </c>
      <c r="K12" s="73" t="n">
        <f aca="false">Podsumowanie!E34</f>
        <v>79000</v>
      </c>
      <c r="L12" s="73" t="n">
        <f aca="false">E12-I12</f>
        <v>0</v>
      </c>
      <c r="M12" s="73" t="n">
        <f aca="false">F12-J12</f>
        <v>0</v>
      </c>
      <c r="N12" s="73" t="n">
        <f aca="false">G12-K12</f>
        <v>0</v>
      </c>
      <c r="O12" s="41"/>
      <c r="P12" s="72" t="str">
        <f aca="false">IF(AND(E12&gt;=B12-0.005,F12&gt;=C12-0.005,G12&gt;=D12-0.005),"OK","&lt; narastająco")</f>
        <v>OK</v>
      </c>
    </row>
    <row r="13" customFormat="false" ht="15" hidden="false" customHeight="false" outlineLevel="0" collapsed="false">
      <c r="A13" s="70" t="s">
        <v>23</v>
      </c>
      <c r="B13" s="71" t="n">
        <f aca="false">SUM(B14:B23)</f>
        <v>1008769.29</v>
      </c>
      <c r="C13" s="71" t="n">
        <f aca="false">SUM(C14:C23)</f>
        <v>1008769.29</v>
      </c>
      <c r="D13" s="71" t="n">
        <f aca="false">SUM(D14:D23)</f>
        <v>807015.43</v>
      </c>
      <c r="E13" s="71" t="n">
        <f aca="false">SUM(E14:E23)</f>
        <v>1010682.33</v>
      </c>
      <c r="F13" s="71" t="n">
        <f aca="false">SUM(F14:F23)</f>
        <v>1010537.41</v>
      </c>
      <c r="G13" s="71" t="n">
        <f aca="false">SUM(G14:G23)</f>
        <v>808429.91</v>
      </c>
      <c r="H13" s="63"/>
      <c r="I13" s="71" t="n">
        <f aca="false">Podsumowanie!E35</f>
        <v>1226935.71</v>
      </c>
      <c r="J13" s="71" t="n">
        <f aca="false">Podsumowanie!E36</f>
        <v>1203935.71</v>
      </c>
      <c r="K13" s="71" t="n">
        <f aca="false">Podsumowanie!E37</f>
        <v>963148.56</v>
      </c>
      <c r="L13" s="71" t="n">
        <f aca="false">E13-I13</f>
        <v>-216253.38</v>
      </c>
      <c r="M13" s="71" t="n">
        <f aca="false">F13-J13</f>
        <v>-193398.3</v>
      </c>
      <c r="N13" s="71" t="n">
        <f aca="false">G13-K13</f>
        <v>-154718.65</v>
      </c>
      <c r="O13" s="40"/>
      <c r="P13" s="70" t="str">
        <f aca="false">IF(AND(E13&gt;=B13-0.005,F13&gt;=C13-0.005,G13&gt;=D13-0.005),"OK","&lt; narastająco")</f>
        <v>OK</v>
      </c>
    </row>
    <row r="14" customFormat="false" ht="15" hidden="false" customHeight="false" outlineLevel="0" collapsed="false">
      <c r="A14" s="72" t="s">
        <v>24</v>
      </c>
      <c r="B14" s="73" t="n">
        <f aca="false">'nowy format'!B14</f>
        <v>332400</v>
      </c>
      <c r="C14" s="73" t="n">
        <f aca="false">'nowy format'!C14</f>
        <v>332400</v>
      </c>
      <c r="D14" s="73" t="n">
        <f aca="false">'nowy format'!D14</f>
        <v>265920</v>
      </c>
      <c r="E14" s="74" t="n">
        <f aca="false">B14</f>
        <v>332400</v>
      </c>
      <c r="F14" s="74" t="n">
        <f aca="false">C14</f>
        <v>332400</v>
      </c>
      <c r="G14" s="74" t="n">
        <f aca="false">D14</f>
        <v>265920</v>
      </c>
      <c r="H14" s="49"/>
      <c r="I14" s="73" t="n">
        <f aca="false">Podsumowanie!E38</f>
        <v>332400</v>
      </c>
      <c r="J14" s="73" t="n">
        <f aca="false">Podsumowanie!E39</f>
        <v>332400</v>
      </c>
      <c r="K14" s="73" t="n">
        <f aca="false">Podsumowanie!E40</f>
        <v>265920</v>
      </c>
      <c r="L14" s="73" t="n">
        <f aca="false">E14-I14</f>
        <v>0</v>
      </c>
      <c r="M14" s="73" t="n">
        <f aca="false">F14-J14</f>
        <v>0</v>
      </c>
      <c r="N14" s="73" t="n">
        <f aca="false">G14-K14</f>
        <v>0</v>
      </c>
      <c r="O14" s="41"/>
      <c r="P14" s="72" t="str">
        <f aca="false">IF(AND(E14&gt;=B14-0.005,F14&gt;=C14-0.005,G14&gt;=D14-0.005),"OK","&lt; narastająco")</f>
        <v>OK</v>
      </c>
    </row>
    <row r="15" customFormat="false" ht="15" hidden="false" customHeight="false" outlineLevel="0" collapsed="false">
      <c r="A15" s="72" t="s">
        <v>25</v>
      </c>
      <c r="B15" s="73" t="n">
        <f aca="false">'nowy format'!B15</f>
        <v>113168.16</v>
      </c>
      <c r="C15" s="73" t="n">
        <f aca="false">'nowy format'!C15</f>
        <v>113168.16</v>
      </c>
      <c r="D15" s="73" t="n">
        <f aca="false">'nowy format'!D15</f>
        <v>90534.53</v>
      </c>
      <c r="E15" s="74" t="n">
        <f aca="false">B15</f>
        <v>113168.16</v>
      </c>
      <c r="F15" s="74" t="n">
        <f aca="false">C15</f>
        <v>113168.16</v>
      </c>
      <c r="G15" s="74" t="n">
        <f aca="false">D15</f>
        <v>90534.53</v>
      </c>
      <c r="H15" s="49"/>
      <c r="I15" s="73" t="n">
        <f aca="false">Podsumowanie!E41</f>
        <v>113160</v>
      </c>
      <c r="J15" s="73" t="n">
        <f aca="false">Podsumowanie!E42</f>
        <v>113160</v>
      </c>
      <c r="K15" s="73" t="n">
        <f aca="false">Podsumowanie!E43</f>
        <v>90528</v>
      </c>
      <c r="L15" s="73" t="n">
        <f aca="false">E15-I15</f>
        <v>8.16000000000349</v>
      </c>
      <c r="M15" s="73" t="n">
        <f aca="false">F15-J15</f>
        <v>8.16000000000349</v>
      </c>
      <c r="N15" s="73" t="n">
        <f aca="false">G15-K15</f>
        <v>6.52999999999884</v>
      </c>
      <c r="O15" s="41"/>
      <c r="P15" s="72" t="str">
        <f aca="false">IF(AND(E15&gt;=B15-0.005,F15&gt;=C15-0.005,G15&gt;=D15-0.005),"OK","&lt; narastająco")</f>
        <v>OK</v>
      </c>
    </row>
    <row r="16" customFormat="false" ht="15" hidden="false" customHeight="false" outlineLevel="0" collapsed="false">
      <c r="A16" s="72" t="s">
        <v>26</v>
      </c>
      <c r="B16" s="73" t="n">
        <f aca="false">'nowy format'!B16</f>
        <v>121024.78</v>
      </c>
      <c r="C16" s="73" t="n">
        <f aca="false">'nowy format'!C16</f>
        <v>121024.78</v>
      </c>
      <c r="D16" s="73" t="n">
        <f aca="false">'nowy format'!D16</f>
        <v>96819.8</v>
      </c>
      <c r="E16" s="74" t="n">
        <f aca="false">B16</f>
        <v>121024.78</v>
      </c>
      <c r="F16" s="74" t="n">
        <f aca="false">C16</f>
        <v>121024.78</v>
      </c>
      <c r="G16" s="74" t="n">
        <f aca="false">D16</f>
        <v>96819.8</v>
      </c>
      <c r="H16" s="49"/>
      <c r="I16" s="73" t="n">
        <f aca="false">Podsumowanie!E44</f>
        <v>162660</v>
      </c>
      <c r="J16" s="73" t="n">
        <f aca="false">Podsumowanie!E45</f>
        <v>162660</v>
      </c>
      <c r="K16" s="73" t="n">
        <f aca="false">Podsumowanie!E46</f>
        <v>130128</v>
      </c>
      <c r="L16" s="73" t="n">
        <f aca="false">E16-I16</f>
        <v>-41635.22</v>
      </c>
      <c r="M16" s="73" t="n">
        <f aca="false">F16-J16</f>
        <v>-41635.22</v>
      </c>
      <c r="N16" s="73" t="n">
        <f aca="false">G16-K16</f>
        <v>-33308.2</v>
      </c>
      <c r="O16" s="41"/>
      <c r="P16" s="72" t="str">
        <f aca="false">IF(AND(E16&gt;=B16-0.005,F16&gt;=C16-0.005,G16&gt;=D16-0.005),"OK","&lt; narastająco")</f>
        <v>OK</v>
      </c>
    </row>
    <row r="17" customFormat="false" ht="15" hidden="false" customHeight="false" outlineLevel="0" collapsed="false">
      <c r="A17" s="72" t="s">
        <v>27</v>
      </c>
      <c r="B17" s="73" t="n">
        <f aca="false">'nowy format'!B17</f>
        <v>123750</v>
      </c>
      <c r="C17" s="73" t="n">
        <f aca="false">'nowy format'!C17</f>
        <v>123750</v>
      </c>
      <c r="D17" s="73" t="n">
        <f aca="false">'nowy format'!D17</f>
        <v>99000</v>
      </c>
      <c r="E17" s="74" t="n">
        <f aca="false">B17</f>
        <v>123750</v>
      </c>
      <c r="F17" s="74" t="n">
        <f aca="false">C17</f>
        <v>123750</v>
      </c>
      <c r="G17" s="74" t="n">
        <f aca="false">D17</f>
        <v>99000</v>
      </c>
      <c r="H17" s="49"/>
      <c r="I17" s="73" t="n">
        <f aca="false">Podsumowanie!E47</f>
        <v>123750</v>
      </c>
      <c r="J17" s="73" t="n">
        <f aca="false">Podsumowanie!E48</f>
        <v>123750</v>
      </c>
      <c r="K17" s="73" t="n">
        <f aca="false">Podsumowanie!E49</f>
        <v>99000</v>
      </c>
      <c r="L17" s="73" t="n">
        <f aca="false">E17-I17</f>
        <v>0</v>
      </c>
      <c r="M17" s="73" t="n">
        <f aca="false">F17-J17</f>
        <v>0</v>
      </c>
      <c r="N17" s="73" t="n">
        <f aca="false">G17-K17</f>
        <v>0</v>
      </c>
      <c r="O17" s="41"/>
      <c r="P17" s="72" t="str">
        <f aca="false">IF(AND(E17&gt;=B17-0.005,F17&gt;=C17-0.005,G17&gt;=D17-0.005),"OK","&lt; narastająco")</f>
        <v>OK</v>
      </c>
    </row>
    <row r="18" customFormat="false" ht="15" hidden="false" customHeight="false" outlineLevel="0" collapsed="false">
      <c r="A18" s="72" t="s">
        <v>28</v>
      </c>
      <c r="B18" s="73" t="n">
        <f aca="false">'nowy format'!B18</f>
        <v>44388.77</v>
      </c>
      <c r="C18" s="73" t="n">
        <f aca="false">'nowy format'!C18</f>
        <v>44388.77</v>
      </c>
      <c r="D18" s="73" t="n">
        <f aca="false">'nowy format'!D18</f>
        <v>35511.02</v>
      </c>
      <c r="E18" s="74" t="n">
        <f aca="false">B18</f>
        <v>44388.77</v>
      </c>
      <c r="F18" s="74" t="n">
        <f aca="false">C18</f>
        <v>44388.77</v>
      </c>
      <c r="G18" s="74" t="n">
        <f aca="false">D18</f>
        <v>35511.02</v>
      </c>
      <c r="H18" s="49"/>
      <c r="I18" s="73" t="n">
        <f aca="false">Podsumowanie!E50</f>
        <v>44640</v>
      </c>
      <c r="J18" s="73" t="n">
        <f aca="false">Podsumowanie!E51</f>
        <v>44640</v>
      </c>
      <c r="K18" s="73" t="n">
        <f aca="false">Podsumowanie!E52</f>
        <v>35712</v>
      </c>
      <c r="L18" s="73" t="n">
        <f aca="false">E18-I18</f>
        <v>-251.230000000003</v>
      </c>
      <c r="M18" s="73" t="n">
        <f aca="false">F18-J18</f>
        <v>-251.230000000003</v>
      </c>
      <c r="N18" s="73" t="n">
        <f aca="false">G18-K18</f>
        <v>-200.980000000003</v>
      </c>
      <c r="O18" s="41"/>
      <c r="P18" s="72" t="str">
        <f aca="false">IF(AND(E18&gt;=B18-0.005,F18&gt;=C18-0.005,G18&gt;=D18-0.005),"OK","&lt; narastająco")</f>
        <v>OK</v>
      </c>
    </row>
    <row r="19" customFormat="false" ht="15" hidden="false" customHeight="false" outlineLevel="0" collapsed="false">
      <c r="A19" s="72" t="s">
        <v>29</v>
      </c>
      <c r="B19" s="73" t="n">
        <f aca="false">'nowy format'!B19</f>
        <v>123750</v>
      </c>
      <c r="C19" s="73" t="n">
        <f aca="false">'nowy format'!C19</f>
        <v>123750</v>
      </c>
      <c r="D19" s="73" t="n">
        <f aca="false">'nowy format'!D19</f>
        <v>99000</v>
      </c>
      <c r="E19" s="74" t="n">
        <f aca="false">B19</f>
        <v>123750</v>
      </c>
      <c r="F19" s="74" t="n">
        <f aca="false">C19</f>
        <v>123750</v>
      </c>
      <c r="G19" s="74" t="n">
        <f aca="false">D19</f>
        <v>99000</v>
      </c>
      <c r="H19" s="49"/>
      <c r="I19" s="73" t="n">
        <f aca="false">Podsumowanie!E53</f>
        <v>123750</v>
      </c>
      <c r="J19" s="73" t="n">
        <f aca="false">Podsumowanie!E54</f>
        <v>123750</v>
      </c>
      <c r="K19" s="73" t="n">
        <f aca="false">Podsumowanie!E55</f>
        <v>99000</v>
      </c>
      <c r="L19" s="73" t="n">
        <f aca="false">E19-I19</f>
        <v>0</v>
      </c>
      <c r="M19" s="73" t="n">
        <f aca="false">F19-J19</f>
        <v>0</v>
      </c>
      <c r="N19" s="73" t="n">
        <f aca="false">G19-K19</f>
        <v>0</v>
      </c>
      <c r="O19" s="41"/>
      <c r="P19" s="72" t="str">
        <f aca="false">IF(AND(E19&gt;=B19-0.005,F19&gt;=C19-0.005,G19&gt;=D19-0.005),"OK","&lt; narastająco")</f>
        <v>OK</v>
      </c>
    </row>
    <row r="20" customFormat="false" ht="15" hidden="false" customHeight="false" outlineLevel="0" collapsed="false">
      <c r="A20" s="72" t="s">
        <v>30</v>
      </c>
      <c r="B20" s="73" t="n">
        <f aca="false">'nowy format'!B20</f>
        <v>29517.79</v>
      </c>
      <c r="C20" s="73" t="n">
        <f aca="false">'nowy format'!C20</f>
        <v>29517.79</v>
      </c>
      <c r="D20" s="73" t="n">
        <f aca="false">'nowy format'!D20</f>
        <v>23614.23</v>
      </c>
      <c r="E20" s="74" t="n">
        <f aca="false">B20</f>
        <v>29517.79</v>
      </c>
      <c r="F20" s="74" t="n">
        <f aca="false">C20</f>
        <v>29517.79</v>
      </c>
      <c r="G20" s="74" t="n">
        <f aca="false">D20</f>
        <v>23614.23</v>
      </c>
      <c r="H20" s="49"/>
      <c r="I20" s="73" t="n">
        <f aca="false">Podsumowanie!E56</f>
        <v>80790</v>
      </c>
      <c r="J20" s="73" t="n">
        <f aca="false">Podsumowanie!E57</f>
        <v>80790</v>
      </c>
      <c r="K20" s="73" t="n">
        <f aca="false">Podsumowanie!E58</f>
        <v>64632</v>
      </c>
      <c r="L20" s="73" t="n">
        <f aca="false">E20-I20</f>
        <v>-51272.21</v>
      </c>
      <c r="M20" s="73" t="n">
        <f aca="false">F20-J20</f>
        <v>-51272.21</v>
      </c>
      <c r="N20" s="73" t="n">
        <f aca="false">G20-K20</f>
        <v>-41017.77</v>
      </c>
      <c r="O20" s="41"/>
      <c r="P20" s="72" t="str">
        <f aca="false">IF(AND(E20&gt;=B20-0.005,F20&gt;=C20-0.005,G20&gt;=D20-0.005),"OK","&lt; narastająco")</f>
        <v>OK</v>
      </c>
    </row>
    <row r="21" customFormat="false" ht="15" hidden="false" customHeight="false" outlineLevel="0" collapsed="false">
      <c r="A21" s="72" t="s">
        <v>31</v>
      </c>
      <c r="B21" s="73" t="n">
        <f aca="false">'nowy format'!B21</f>
        <v>0</v>
      </c>
      <c r="C21" s="73" t="n">
        <f aca="false">'nowy format'!C21</f>
        <v>0</v>
      </c>
      <c r="D21" s="73" t="n">
        <f aca="false">'nowy format'!D21</f>
        <v>0</v>
      </c>
      <c r="E21" s="74" t="n">
        <f aca="false">ROUND(F21*założenia!$C$8,2)</f>
        <v>775</v>
      </c>
      <c r="F21" s="74" t="n">
        <f aca="false">założenia!$C$14</f>
        <v>630.08</v>
      </c>
      <c r="G21" s="74" t="n">
        <f aca="false">założenia!$C$9</f>
        <v>504.06</v>
      </c>
      <c r="H21" s="49"/>
      <c r="I21" s="73" t="n">
        <f aca="false">Podsumowanie!E59</f>
        <v>123000</v>
      </c>
      <c r="J21" s="73" t="n">
        <f aca="false">Podsumowanie!E60</f>
        <v>100000</v>
      </c>
      <c r="K21" s="73" t="n">
        <f aca="false">Podsumowanie!E61</f>
        <v>80000</v>
      </c>
      <c r="L21" s="73" t="n">
        <f aca="false">E21-I21</f>
        <v>-122225</v>
      </c>
      <c r="M21" s="73" t="n">
        <f aca="false">F21-J21</f>
        <v>-99369.92</v>
      </c>
      <c r="N21" s="73" t="n">
        <f aca="false">G21-K21</f>
        <v>-79495.94</v>
      </c>
      <c r="O21" s="41"/>
      <c r="P21" s="72" t="str">
        <f aca="false">IF(AND(E21&gt;=B21-0.005,F21&gt;=C21-0.005,G21&gt;=D21-0.005),"OK","&lt; narastająco")</f>
        <v>OK</v>
      </c>
    </row>
    <row r="22" customFormat="false" ht="15" hidden="false" customHeight="false" outlineLevel="0" collapsed="false">
      <c r="A22" s="72" t="s">
        <v>32</v>
      </c>
      <c r="B22" s="73" t="n">
        <f aca="false">'nowy format'!B22</f>
        <v>2276.08</v>
      </c>
      <c r="C22" s="73" t="n">
        <f aca="false">'nowy format'!C22</f>
        <v>2276.08</v>
      </c>
      <c r="D22" s="73" t="n">
        <f aca="false">'nowy format'!D22</f>
        <v>1820.88</v>
      </c>
      <c r="E22" s="74" t="n">
        <f aca="false">F22</f>
        <v>3414.12</v>
      </c>
      <c r="F22" s="74" t="n">
        <f aca="false">ROUND('budżet po miesiącach'!$C$73,2)</f>
        <v>3414.12</v>
      </c>
      <c r="G22" s="74" t="n">
        <f aca="false">ROUND('budżet po miesiącach'!$C$167,2)</f>
        <v>2731.3</v>
      </c>
      <c r="H22" s="49"/>
      <c r="I22" s="73" t="n">
        <f aca="false">Podsumowanie!E62</f>
        <v>4285.71</v>
      </c>
      <c r="J22" s="73" t="n">
        <f aca="false">Podsumowanie!E63</f>
        <v>4285.71</v>
      </c>
      <c r="K22" s="73" t="n">
        <f aca="false">Podsumowanie!E64</f>
        <v>3428.56</v>
      </c>
      <c r="L22" s="73" t="n">
        <f aca="false">E22-I22</f>
        <v>-871.59</v>
      </c>
      <c r="M22" s="73" t="n">
        <f aca="false">F22-J22</f>
        <v>-871.59</v>
      </c>
      <c r="N22" s="73" t="n">
        <f aca="false">G22-K22</f>
        <v>-697.26</v>
      </c>
      <c r="O22" s="41"/>
      <c r="P22" s="72" t="str">
        <f aca="false">IF(AND(E22&gt;=B22-0.005,F22&gt;=C22-0.005,G22&gt;=D22-0.005),"OK","&lt; narastająco")</f>
        <v>OK</v>
      </c>
    </row>
    <row r="23" customFormat="false" ht="15" hidden="false" customHeight="false" outlineLevel="0" collapsed="false">
      <c r="A23" s="72" t="s">
        <v>33</v>
      </c>
      <c r="B23" s="73" t="n">
        <f aca="false">'nowy format'!B23</f>
        <v>118493.71</v>
      </c>
      <c r="C23" s="73" t="n">
        <f aca="false">'nowy format'!C23</f>
        <v>118493.71</v>
      </c>
      <c r="D23" s="73" t="n">
        <f aca="false">'nowy format'!D23</f>
        <v>94794.97</v>
      </c>
      <c r="E23" s="74" t="n">
        <f aca="false">B23</f>
        <v>118493.71</v>
      </c>
      <c r="F23" s="74" t="n">
        <f aca="false">C23</f>
        <v>118493.71</v>
      </c>
      <c r="G23" s="74" t="n">
        <f aca="false">D23</f>
        <v>94794.97</v>
      </c>
      <c r="H23" s="49"/>
      <c r="I23" s="73" t="n">
        <f aca="false">Podsumowanie!E65</f>
        <v>118500</v>
      </c>
      <c r="J23" s="73" t="n">
        <f aca="false">Podsumowanie!E66</f>
        <v>118500</v>
      </c>
      <c r="K23" s="73" t="n">
        <f aca="false">Podsumowanie!E67</f>
        <v>94800</v>
      </c>
      <c r="L23" s="73" t="n">
        <f aca="false">E23-I23</f>
        <v>-6.2899999999936</v>
      </c>
      <c r="M23" s="73" t="n">
        <f aca="false">F23-J23</f>
        <v>-6.2899999999936</v>
      </c>
      <c r="N23" s="73" t="n">
        <f aca="false">G23-K23</f>
        <v>-5.02999999999884</v>
      </c>
      <c r="O23" s="41"/>
      <c r="P23" s="72" t="str">
        <f aca="false">IF(AND(E23&gt;=B23-0.005,F23&gt;=C23-0.005,G23&gt;=D23-0.005),"OK","&lt; narastająco")</f>
        <v>OK</v>
      </c>
    </row>
    <row r="24" customFormat="false" ht="15" hidden="false" customHeight="false" outlineLevel="0" collapsed="false">
      <c r="A24" s="70" t="s">
        <v>34</v>
      </c>
      <c r="B24" s="71" t="n">
        <f aca="false">SUM(B25:B33)</f>
        <v>0</v>
      </c>
      <c r="C24" s="71" t="n">
        <f aca="false">SUM(C25:C33)</f>
        <v>0</v>
      </c>
      <c r="D24" s="71" t="n">
        <f aca="false">SUM(D25:D33)</f>
        <v>0</v>
      </c>
      <c r="E24" s="71" t="n">
        <f aca="false">SUM(E25:E33)</f>
        <v>1388837.16</v>
      </c>
      <c r="F24" s="71" t="n">
        <f aca="false">SUM(F25:F33)</f>
        <v>1388837.16</v>
      </c>
      <c r="G24" s="71" t="n">
        <f aca="false">SUM(G25:G33)</f>
        <v>1111069.73</v>
      </c>
      <c r="H24" s="63"/>
      <c r="I24" s="71" t="n">
        <f aca="false">Podsumowanie!E68</f>
        <v>1103935.71</v>
      </c>
      <c r="J24" s="71" t="n">
        <f aca="false">Podsumowanie!E69</f>
        <v>1103935.71</v>
      </c>
      <c r="K24" s="71" t="n">
        <f aca="false">Podsumowanie!E70</f>
        <v>883148.56</v>
      </c>
      <c r="L24" s="71" t="n">
        <f aca="false">E24-I24</f>
        <v>284901.45</v>
      </c>
      <c r="M24" s="71" t="n">
        <f aca="false">F24-J24</f>
        <v>284901.45</v>
      </c>
      <c r="N24" s="71" t="n">
        <f aca="false">G24-K24</f>
        <v>227921.17</v>
      </c>
      <c r="O24" s="40"/>
      <c r="P24" s="70" t="str">
        <f aca="false">IF(AND(E24&gt;=B24-0.005,F24&gt;=C24-0.005,G24&gt;=D24-0.005),"OK","&lt; narastająco")</f>
        <v>OK</v>
      </c>
    </row>
    <row r="25" customFormat="false" ht="15" hidden="false" customHeight="false" outlineLevel="0" collapsed="false">
      <c r="A25" s="72" t="s">
        <v>35</v>
      </c>
      <c r="B25" s="73" t="n">
        <f aca="false">'nowy format'!B25</f>
        <v>0</v>
      </c>
      <c r="C25" s="73" t="n">
        <f aca="false">'nowy format'!C25</f>
        <v>0</v>
      </c>
      <c r="D25" s="73" t="n">
        <f aca="false">'nowy format'!D25</f>
        <v>0</v>
      </c>
      <c r="E25" s="74" t="n">
        <f aca="false">F25</f>
        <v>443200</v>
      </c>
      <c r="F25" s="74" t="n">
        <f aca="false">ROUND('budżet po miesiącach'!$C$75,2)</f>
        <v>443200</v>
      </c>
      <c r="G25" s="74" t="n">
        <f aca="false">ROUND('budżet po miesiącach'!$C$169,2)</f>
        <v>354560</v>
      </c>
      <c r="H25" s="49"/>
      <c r="I25" s="73" t="n">
        <f aca="false">Podsumowanie!E71</f>
        <v>332400</v>
      </c>
      <c r="J25" s="73" t="n">
        <f aca="false">Podsumowanie!E72</f>
        <v>332400</v>
      </c>
      <c r="K25" s="73" t="n">
        <f aca="false">Podsumowanie!E73</f>
        <v>265920</v>
      </c>
      <c r="L25" s="73" t="n">
        <f aca="false">E25-I25</f>
        <v>110800</v>
      </c>
      <c r="M25" s="73" t="n">
        <f aca="false">F25-J25</f>
        <v>110800</v>
      </c>
      <c r="N25" s="73" t="n">
        <f aca="false">G25-K25</f>
        <v>88640</v>
      </c>
      <c r="O25" s="41"/>
      <c r="P25" s="72" t="str">
        <f aca="false">IF(AND(E25&gt;=B25-0.005,F25&gt;=C25-0.005,G25&gt;=D25-0.005),"OK","&lt; narastająco")</f>
        <v>OK</v>
      </c>
    </row>
    <row r="26" customFormat="false" ht="15" hidden="false" customHeight="false" outlineLevel="0" collapsed="false">
      <c r="A26" s="72" t="s">
        <v>36</v>
      </c>
      <c r="B26" s="73" t="n">
        <f aca="false">'nowy format'!B26</f>
        <v>0</v>
      </c>
      <c r="C26" s="73" t="n">
        <f aca="false">'nowy format'!C26</f>
        <v>0</v>
      </c>
      <c r="D26" s="73" t="n">
        <f aca="false">'nowy format'!D26</f>
        <v>0</v>
      </c>
      <c r="E26" s="74" t="n">
        <f aca="false">F26</f>
        <v>150880</v>
      </c>
      <c r="F26" s="74" t="n">
        <f aca="false">ROUND('budżet po miesiącach'!$C$76,2)</f>
        <v>150880</v>
      </c>
      <c r="G26" s="74" t="n">
        <f aca="false">ROUND('budżet po miesiącach'!$C$170,2)</f>
        <v>120704</v>
      </c>
      <c r="H26" s="49"/>
      <c r="I26" s="73" t="n">
        <f aca="false">Podsumowanie!E74</f>
        <v>113160</v>
      </c>
      <c r="J26" s="73" t="n">
        <f aca="false">Podsumowanie!E75</f>
        <v>113160</v>
      </c>
      <c r="K26" s="73" t="n">
        <f aca="false">Podsumowanie!E76</f>
        <v>90528</v>
      </c>
      <c r="L26" s="73" t="n">
        <f aca="false">E26-I26</f>
        <v>37720</v>
      </c>
      <c r="M26" s="73" t="n">
        <f aca="false">F26-J26</f>
        <v>37720</v>
      </c>
      <c r="N26" s="73" t="n">
        <f aca="false">G26-K26</f>
        <v>30176</v>
      </c>
      <c r="O26" s="41"/>
      <c r="P26" s="72" t="str">
        <f aca="false">IF(AND(E26&gt;=B26-0.005,F26&gt;=C26-0.005,G26&gt;=D26-0.005),"OK","&lt; narastająco")</f>
        <v>OK</v>
      </c>
    </row>
    <row r="27" customFormat="false" ht="15" hidden="false" customHeight="false" outlineLevel="0" collapsed="false">
      <c r="A27" s="72" t="s">
        <v>37</v>
      </c>
      <c r="B27" s="73" t="n">
        <f aca="false">'nowy format'!B27</f>
        <v>0</v>
      </c>
      <c r="C27" s="73" t="n">
        <f aca="false">'nowy format'!C27</f>
        <v>0</v>
      </c>
      <c r="D27" s="73" t="n">
        <f aca="false">'nowy format'!D27</f>
        <v>0</v>
      </c>
      <c r="E27" s="74" t="n">
        <f aca="false">F27</f>
        <v>203325</v>
      </c>
      <c r="F27" s="74" t="n">
        <f aca="false">ROUND('budżet po miesiącach'!$C$77,2)</f>
        <v>203325</v>
      </c>
      <c r="G27" s="74" t="n">
        <f aca="false">ROUND('budżet po miesiącach'!$C$171,2)</f>
        <v>162660</v>
      </c>
      <c r="H27" s="49"/>
      <c r="I27" s="73" t="n">
        <f aca="false">Podsumowanie!E77</f>
        <v>162660</v>
      </c>
      <c r="J27" s="73" t="n">
        <f aca="false">Podsumowanie!E78</f>
        <v>162660</v>
      </c>
      <c r="K27" s="73" t="n">
        <f aca="false">Podsumowanie!E79</f>
        <v>130128</v>
      </c>
      <c r="L27" s="73" t="n">
        <f aca="false">E27-I27</f>
        <v>40665</v>
      </c>
      <c r="M27" s="73" t="n">
        <f aca="false">F27-J27</f>
        <v>40665</v>
      </c>
      <c r="N27" s="73" t="n">
        <f aca="false">G27-K27</f>
        <v>32532</v>
      </c>
      <c r="O27" s="41"/>
      <c r="P27" s="72" t="str">
        <f aca="false">IF(AND(E27&gt;=B27-0.005,F27&gt;=C27-0.005,G27&gt;=D27-0.005),"OK","&lt; narastająco")</f>
        <v>OK</v>
      </c>
    </row>
    <row r="28" customFormat="false" ht="15" hidden="false" customHeight="false" outlineLevel="0" collapsed="false">
      <c r="A28" s="72" t="s">
        <v>38</v>
      </c>
      <c r="B28" s="73" t="n">
        <f aca="false">'nowy format'!B28</f>
        <v>0</v>
      </c>
      <c r="C28" s="73" t="n">
        <f aca="false">'nowy format'!C28</f>
        <v>0</v>
      </c>
      <c r="D28" s="73" t="n">
        <f aca="false">'nowy format'!D28</f>
        <v>0</v>
      </c>
      <c r="E28" s="74" t="n">
        <f aca="false">F28</f>
        <v>165000</v>
      </c>
      <c r="F28" s="74" t="n">
        <f aca="false">ROUND('budżet po miesiącach'!$C$78,2)</f>
        <v>165000</v>
      </c>
      <c r="G28" s="74" t="n">
        <f aca="false">ROUND('budżet po miesiącach'!$C$172,2)</f>
        <v>132000</v>
      </c>
      <c r="H28" s="49"/>
      <c r="I28" s="73" t="n">
        <f aca="false">Podsumowanie!E80</f>
        <v>123750</v>
      </c>
      <c r="J28" s="73" t="n">
        <f aca="false">Podsumowanie!E81</f>
        <v>123750</v>
      </c>
      <c r="K28" s="73" t="n">
        <f aca="false">Podsumowanie!E82</f>
        <v>99000</v>
      </c>
      <c r="L28" s="73" t="n">
        <f aca="false">E28-I28</f>
        <v>41250</v>
      </c>
      <c r="M28" s="73" t="n">
        <f aca="false">F28-J28</f>
        <v>41250</v>
      </c>
      <c r="N28" s="73" t="n">
        <f aca="false">G28-K28</f>
        <v>33000</v>
      </c>
      <c r="O28" s="41"/>
      <c r="P28" s="72" t="str">
        <f aca="false">IF(AND(E28&gt;=B28-0.005,F28&gt;=C28-0.005,G28&gt;=D28-0.005),"OK","&lt; narastająco")</f>
        <v>OK</v>
      </c>
    </row>
    <row r="29" customFormat="false" ht="15" hidden="false" customHeight="false" outlineLevel="0" collapsed="false">
      <c r="A29" s="72" t="s">
        <v>39</v>
      </c>
      <c r="B29" s="73" t="n">
        <f aca="false">'nowy format'!B29</f>
        <v>0</v>
      </c>
      <c r="C29" s="73" t="n">
        <f aca="false">'nowy format'!C29</f>
        <v>0</v>
      </c>
      <c r="D29" s="73" t="n">
        <f aca="false">'nowy format'!D29</f>
        <v>0</v>
      </c>
      <c r="E29" s="74" t="n">
        <f aca="false">F29</f>
        <v>59520</v>
      </c>
      <c r="F29" s="74" t="n">
        <f aca="false">ROUND('budżet po miesiącach'!$C$79,2)</f>
        <v>59520</v>
      </c>
      <c r="G29" s="74" t="n">
        <f aca="false">ROUND('budżet po miesiącach'!$C$173,2)</f>
        <v>47616</v>
      </c>
      <c r="H29" s="49"/>
      <c r="I29" s="73" t="n">
        <f aca="false">Podsumowanie!E83</f>
        <v>44640</v>
      </c>
      <c r="J29" s="73" t="n">
        <f aca="false">Podsumowanie!E84</f>
        <v>44640</v>
      </c>
      <c r="K29" s="73" t="n">
        <f aca="false">Podsumowanie!E85</f>
        <v>35712</v>
      </c>
      <c r="L29" s="73" t="n">
        <f aca="false">E29-I29</f>
        <v>14880</v>
      </c>
      <c r="M29" s="73" t="n">
        <f aca="false">F29-J29</f>
        <v>14880</v>
      </c>
      <c r="N29" s="73" t="n">
        <f aca="false">G29-K29</f>
        <v>11904</v>
      </c>
      <c r="O29" s="41"/>
      <c r="P29" s="72" t="str">
        <f aca="false">IF(AND(E29&gt;=B29-0.005,F29&gt;=C29-0.005,G29&gt;=D29-0.005),"OK","&lt; narastająco")</f>
        <v>OK</v>
      </c>
    </row>
    <row r="30" customFormat="false" ht="15" hidden="false" customHeight="false" outlineLevel="0" collapsed="false">
      <c r="A30" s="72" t="s">
        <v>40</v>
      </c>
      <c r="B30" s="73" t="n">
        <f aca="false">'nowy format'!B30</f>
        <v>0</v>
      </c>
      <c r="C30" s="73" t="n">
        <f aca="false">'nowy format'!C30</f>
        <v>0</v>
      </c>
      <c r="D30" s="73" t="n">
        <f aca="false">'nowy format'!D30</f>
        <v>0</v>
      </c>
      <c r="E30" s="74" t="n">
        <f aca="false">F30</f>
        <v>165000</v>
      </c>
      <c r="F30" s="74" t="n">
        <f aca="false">ROUND('budżet po miesiącach'!$C$80,2)</f>
        <v>165000</v>
      </c>
      <c r="G30" s="74" t="n">
        <f aca="false">ROUND('budżet po miesiącach'!$C$174,2)</f>
        <v>132000</v>
      </c>
      <c r="H30" s="49"/>
      <c r="I30" s="73" t="n">
        <f aca="false">Podsumowanie!E86</f>
        <v>123750</v>
      </c>
      <c r="J30" s="73" t="n">
        <f aca="false">Podsumowanie!E87</f>
        <v>123750</v>
      </c>
      <c r="K30" s="73" t="n">
        <f aca="false">Podsumowanie!E88</f>
        <v>99000</v>
      </c>
      <c r="L30" s="73" t="n">
        <f aca="false">E30-I30</f>
        <v>41250</v>
      </c>
      <c r="M30" s="73" t="n">
        <f aca="false">F30-J30</f>
        <v>41250</v>
      </c>
      <c r="N30" s="73" t="n">
        <f aca="false">G30-K30</f>
        <v>33000</v>
      </c>
      <c r="O30" s="41"/>
      <c r="P30" s="72" t="str">
        <f aca="false">IF(AND(E30&gt;=B30-0.005,F30&gt;=C30-0.005,G30&gt;=D30-0.005),"OK","&lt; narastająco")</f>
        <v>OK</v>
      </c>
    </row>
    <row r="31" customFormat="false" ht="15" hidden="false" customHeight="false" outlineLevel="0" collapsed="false">
      <c r="A31" s="72" t="s">
        <v>41</v>
      </c>
      <c r="B31" s="73" t="n">
        <f aca="false">'nowy format'!B31</f>
        <v>0</v>
      </c>
      <c r="C31" s="73" t="n">
        <f aca="false">'nowy format'!C31</f>
        <v>0</v>
      </c>
      <c r="D31" s="73" t="n">
        <f aca="false">'nowy format'!D31</f>
        <v>0</v>
      </c>
      <c r="E31" s="74" t="n">
        <f aca="false">F31</f>
        <v>39360</v>
      </c>
      <c r="F31" s="74" t="n">
        <f aca="false">ROUND('budżet po miesiącach'!$C$81,2)</f>
        <v>39360</v>
      </c>
      <c r="G31" s="74" t="n">
        <f aca="false">ROUND('budżet po miesiącach'!$C$175,2)</f>
        <v>31488</v>
      </c>
      <c r="H31" s="49"/>
      <c r="I31" s="73" t="n">
        <f aca="false">Podsumowanie!E89</f>
        <v>80790</v>
      </c>
      <c r="J31" s="73" t="n">
        <f aca="false">Podsumowanie!E90</f>
        <v>80790</v>
      </c>
      <c r="K31" s="73" t="n">
        <f aca="false">Podsumowanie!E91</f>
        <v>64632</v>
      </c>
      <c r="L31" s="73" t="n">
        <f aca="false">E31-I31</f>
        <v>-41430</v>
      </c>
      <c r="M31" s="73" t="n">
        <f aca="false">F31-J31</f>
        <v>-41430</v>
      </c>
      <c r="N31" s="73" t="n">
        <f aca="false">G31-K31</f>
        <v>-33144</v>
      </c>
      <c r="O31" s="41"/>
      <c r="P31" s="72" t="str">
        <f aca="false">IF(AND(E31&gt;=B31-0.005,F31&gt;=C31-0.005,G31&gt;=D31-0.005),"OK","&lt; narastająco")</f>
        <v>OK</v>
      </c>
    </row>
    <row r="32" customFormat="false" ht="15" hidden="false" customHeight="false" outlineLevel="0" collapsed="false">
      <c r="A32" s="72" t="s">
        <v>42</v>
      </c>
      <c r="B32" s="73" t="n">
        <f aca="false">'nowy format'!B32</f>
        <v>0</v>
      </c>
      <c r="C32" s="73" t="n">
        <f aca="false">'nowy format'!C32</f>
        <v>0</v>
      </c>
      <c r="D32" s="73" t="n">
        <f aca="false">'nowy format'!D32</f>
        <v>0</v>
      </c>
      <c r="E32" s="74" t="n">
        <f aca="false">F32</f>
        <v>4552.16</v>
      </c>
      <c r="F32" s="74" t="n">
        <f aca="false">ROUND('budżet po miesiącach'!$C$82,2)</f>
        <v>4552.16</v>
      </c>
      <c r="G32" s="74" t="n">
        <f aca="false">ROUND('budżet po miesiącach'!$C$176,2)</f>
        <v>3641.73</v>
      </c>
      <c r="H32" s="49"/>
      <c r="I32" s="73" t="n">
        <f aca="false">Podsumowanie!E92</f>
        <v>4285.71</v>
      </c>
      <c r="J32" s="73" t="n">
        <f aca="false">Podsumowanie!E93</f>
        <v>4285.71</v>
      </c>
      <c r="K32" s="73" t="n">
        <f aca="false">Podsumowanie!E94</f>
        <v>3428.56</v>
      </c>
      <c r="L32" s="73" t="n">
        <f aca="false">E32-I32</f>
        <v>266.45</v>
      </c>
      <c r="M32" s="73" t="n">
        <f aca="false">F32-J32</f>
        <v>266.45</v>
      </c>
      <c r="N32" s="73" t="n">
        <f aca="false">G32-K32</f>
        <v>213.17</v>
      </c>
      <c r="O32" s="41"/>
      <c r="P32" s="72" t="str">
        <f aca="false">IF(AND(E32&gt;=B32-0.005,F32&gt;=C32-0.005,G32&gt;=D32-0.005),"OK","&lt; narastająco")</f>
        <v>OK</v>
      </c>
    </row>
    <row r="33" customFormat="false" ht="15" hidden="false" customHeight="false" outlineLevel="0" collapsed="false">
      <c r="A33" s="72" t="s">
        <v>43</v>
      </c>
      <c r="B33" s="73" t="n">
        <f aca="false">'nowy format'!B33</f>
        <v>0</v>
      </c>
      <c r="C33" s="73" t="n">
        <f aca="false">'nowy format'!C33</f>
        <v>0</v>
      </c>
      <c r="D33" s="73" t="n">
        <f aca="false">'nowy format'!D33</f>
        <v>0</v>
      </c>
      <c r="E33" s="74" t="n">
        <f aca="false">F33</f>
        <v>158000</v>
      </c>
      <c r="F33" s="74" t="n">
        <f aca="false">ROUND('budżet po miesiącach'!$C$83,2)</f>
        <v>158000</v>
      </c>
      <c r="G33" s="74" t="n">
        <f aca="false">ROUND('budżet po miesiącach'!$C$177,2)</f>
        <v>126400</v>
      </c>
      <c r="H33" s="49"/>
      <c r="I33" s="73" t="n">
        <f aca="false">Podsumowanie!E95</f>
        <v>118500</v>
      </c>
      <c r="J33" s="73" t="n">
        <f aca="false">Podsumowanie!E96</f>
        <v>118500</v>
      </c>
      <c r="K33" s="73" t="n">
        <f aca="false">Podsumowanie!E97</f>
        <v>94800</v>
      </c>
      <c r="L33" s="73" t="n">
        <f aca="false">E33-I33</f>
        <v>39500</v>
      </c>
      <c r="M33" s="73" t="n">
        <f aca="false">F33-J33</f>
        <v>39500</v>
      </c>
      <c r="N33" s="73" t="n">
        <f aca="false">G33-K33</f>
        <v>31600</v>
      </c>
      <c r="O33" s="41"/>
      <c r="P33" s="72" t="str">
        <f aca="false">IF(AND(E33&gt;=B33-0.005,F33&gt;=C33-0.005,G33&gt;=D33-0.005),"OK","&lt; narastająco")</f>
        <v>OK</v>
      </c>
    </row>
    <row r="34" customFormat="false" ht="15" hidden="false" customHeight="false" outlineLevel="0" collapsed="false">
      <c r="A34" s="70" t="s">
        <v>44</v>
      </c>
      <c r="B34" s="71" t="n">
        <f aca="false">SUM(B35:B43)</f>
        <v>0</v>
      </c>
      <c r="C34" s="71" t="n">
        <f aca="false">SUM(C35:C43)</f>
        <v>0</v>
      </c>
      <c r="D34" s="71" t="n">
        <f aca="false">SUM(D35:D43)</f>
        <v>0</v>
      </c>
      <c r="E34" s="71" t="n">
        <f aca="false">SUM(E35:E43)</f>
        <v>657511.66</v>
      </c>
      <c r="F34" s="71" t="n">
        <f aca="false">SUM(F35:F43)</f>
        <v>657511.66</v>
      </c>
      <c r="G34" s="71" t="n">
        <f aca="false">SUM(G35:G43)</f>
        <v>394507</v>
      </c>
      <c r="H34" s="63"/>
      <c r="I34" s="71" t="n">
        <f aca="false">Podsumowanie!E98</f>
        <v>698237.14</v>
      </c>
      <c r="J34" s="71" t="n">
        <f aca="false">Podsumowanie!E99</f>
        <v>698237.14</v>
      </c>
      <c r="K34" s="71" t="n">
        <f aca="false">Podsumowanie!E100</f>
        <v>418942.28</v>
      </c>
      <c r="L34" s="71" t="n">
        <f aca="false">E34-I34</f>
        <v>-40725.4800000001</v>
      </c>
      <c r="M34" s="71" t="n">
        <f aca="false">F34-J34</f>
        <v>-40725.4800000001</v>
      </c>
      <c r="N34" s="71" t="n">
        <f aca="false">G34-K34</f>
        <v>-24435.28</v>
      </c>
      <c r="O34" s="40"/>
      <c r="P34" s="70" t="str">
        <f aca="false">IF(AND(E34&gt;=B34-0.005,F34&gt;=C34-0.005,G34&gt;=D34-0.005),"OK","&lt; narastająco")</f>
        <v>OK</v>
      </c>
    </row>
    <row r="35" customFormat="false" ht="15" hidden="false" customHeight="false" outlineLevel="0" collapsed="false">
      <c r="A35" s="72" t="s">
        <v>45</v>
      </c>
      <c r="B35" s="73" t="n">
        <f aca="false">'nowy format'!B35</f>
        <v>0</v>
      </c>
      <c r="C35" s="73" t="n">
        <f aca="false">'nowy format'!C35</f>
        <v>0</v>
      </c>
      <c r="D35" s="73" t="n">
        <f aca="false">'nowy format'!D35</f>
        <v>0</v>
      </c>
      <c r="E35" s="74" t="n">
        <f aca="false">F35</f>
        <v>221600</v>
      </c>
      <c r="F35" s="74" t="n">
        <f aca="false">ROUND('budżet po miesiącach'!$C$84,2)</f>
        <v>221600</v>
      </c>
      <c r="G35" s="74" t="n">
        <f aca="false">ROUND('budżet po miesiącach'!$C$178,2)</f>
        <v>132960</v>
      </c>
      <c r="H35" s="49"/>
      <c r="I35" s="73" t="n">
        <f aca="false">Podsumowanie!E101</f>
        <v>221600</v>
      </c>
      <c r="J35" s="73" t="n">
        <f aca="false">Podsumowanie!E102</f>
        <v>221600</v>
      </c>
      <c r="K35" s="73" t="n">
        <f aca="false">Podsumowanie!E103</f>
        <v>132960</v>
      </c>
      <c r="L35" s="73" t="n">
        <f aca="false">E35-I35</f>
        <v>0</v>
      </c>
      <c r="M35" s="73" t="n">
        <f aca="false">F35-J35</f>
        <v>0</v>
      </c>
      <c r="N35" s="73" t="n">
        <f aca="false">G35-K35</f>
        <v>0</v>
      </c>
      <c r="O35" s="41"/>
      <c r="P35" s="72" t="str">
        <f aca="false">IF(AND(E35&gt;=B35-0.005,F35&gt;=C35-0.005,G35&gt;=D35-0.005),"OK","&lt; narastająco")</f>
        <v>OK</v>
      </c>
    </row>
    <row r="36" customFormat="false" ht="15" hidden="false" customHeight="false" outlineLevel="0" collapsed="false">
      <c r="A36" s="72" t="s">
        <v>46</v>
      </c>
      <c r="B36" s="73" t="n">
        <f aca="false">'nowy format'!B36</f>
        <v>0</v>
      </c>
      <c r="C36" s="73" t="n">
        <f aca="false">'nowy format'!C36</f>
        <v>0</v>
      </c>
      <c r="D36" s="73" t="n">
        <f aca="false">'nowy format'!D36</f>
        <v>0</v>
      </c>
      <c r="E36" s="74" t="n">
        <f aca="false">F36</f>
        <v>37720</v>
      </c>
      <c r="F36" s="74" t="n">
        <f aca="false">ROUND('budżet po miesiącach'!$C$85,2)</f>
        <v>37720</v>
      </c>
      <c r="G36" s="74" t="n">
        <f aca="false">ROUND('budżet po miesiącach'!$C$179,2)</f>
        <v>22632</v>
      </c>
      <c r="H36" s="49"/>
      <c r="I36" s="73" t="n">
        <f aca="false">Podsumowanie!E104</f>
        <v>37720</v>
      </c>
      <c r="J36" s="73" t="n">
        <f aca="false">Podsumowanie!E105</f>
        <v>37720</v>
      </c>
      <c r="K36" s="73" t="n">
        <f aca="false">Podsumowanie!E106</f>
        <v>22632</v>
      </c>
      <c r="L36" s="73" t="n">
        <f aca="false">E36-I36</f>
        <v>0</v>
      </c>
      <c r="M36" s="73" t="n">
        <f aca="false">F36-J36</f>
        <v>0</v>
      </c>
      <c r="N36" s="73" t="n">
        <f aca="false">G36-K36</f>
        <v>0</v>
      </c>
      <c r="O36" s="41"/>
      <c r="P36" s="72" t="str">
        <f aca="false">IF(AND(E36&gt;=B36-0.005,F36&gt;=C36-0.005,G36&gt;=D36-0.005),"OK","&lt; narastająco")</f>
        <v>OK</v>
      </c>
    </row>
    <row r="37" customFormat="false" ht="15" hidden="false" customHeight="false" outlineLevel="0" collapsed="false">
      <c r="A37" s="72" t="s">
        <v>47</v>
      </c>
      <c r="B37" s="73" t="n">
        <f aca="false">'nowy format'!B37</f>
        <v>0</v>
      </c>
      <c r="C37" s="73" t="n">
        <f aca="false">'nowy format'!C37</f>
        <v>0</v>
      </c>
      <c r="D37" s="73" t="n">
        <f aca="false">'nowy format'!D37</f>
        <v>0</v>
      </c>
      <c r="E37" s="74" t="n">
        <f aca="false">F37</f>
        <v>108440</v>
      </c>
      <c r="F37" s="74" t="n">
        <f aca="false">ROUND('budżet po miesiącach'!$C$86,2)</f>
        <v>108440</v>
      </c>
      <c r="G37" s="74" t="n">
        <f aca="false">ROUND('budżet po miesiącach'!$C$180,2)</f>
        <v>65064</v>
      </c>
      <c r="H37" s="49"/>
      <c r="I37" s="73" t="n">
        <f aca="false">Podsumowanie!E107</f>
        <v>108440</v>
      </c>
      <c r="J37" s="73" t="n">
        <f aca="false">Podsumowanie!E108</f>
        <v>108440</v>
      </c>
      <c r="K37" s="73" t="n">
        <f aca="false">Podsumowanie!E109</f>
        <v>65064</v>
      </c>
      <c r="L37" s="73" t="n">
        <f aca="false">E37-I37</f>
        <v>0</v>
      </c>
      <c r="M37" s="73" t="n">
        <f aca="false">F37-J37</f>
        <v>0</v>
      </c>
      <c r="N37" s="73" t="n">
        <f aca="false">G37-K37</f>
        <v>0</v>
      </c>
      <c r="O37" s="41"/>
      <c r="P37" s="72" t="str">
        <f aca="false">IF(AND(E37&gt;=B37-0.005,F37&gt;=C37-0.005,G37&gt;=D37-0.005),"OK","&lt; narastająco")</f>
        <v>OK</v>
      </c>
    </row>
    <row r="38" customFormat="false" ht="15" hidden="false" customHeight="false" outlineLevel="0" collapsed="false">
      <c r="A38" s="72" t="s">
        <v>48</v>
      </c>
      <c r="B38" s="73" t="n">
        <f aca="false">'nowy format'!B38</f>
        <v>0</v>
      </c>
      <c r="C38" s="73" t="n">
        <f aca="false">'nowy format'!C38</f>
        <v>0</v>
      </c>
      <c r="D38" s="73" t="n">
        <f aca="false">'nowy format'!D38</f>
        <v>0</v>
      </c>
      <c r="E38" s="74" t="n">
        <f aca="false">F38</f>
        <v>82500</v>
      </c>
      <c r="F38" s="74" t="n">
        <f aca="false">ROUND('budżet po miesiącach'!$C$87,2)</f>
        <v>82500</v>
      </c>
      <c r="G38" s="74" t="n">
        <f aca="false">ROUND('budżet po miesiącach'!$C$181,2)</f>
        <v>49500</v>
      </c>
      <c r="H38" s="49"/>
      <c r="I38" s="73" t="n">
        <f aca="false">Podsumowanie!E110</f>
        <v>82500</v>
      </c>
      <c r="J38" s="73" t="n">
        <f aca="false">Podsumowanie!E111</f>
        <v>82500</v>
      </c>
      <c r="K38" s="73" t="n">
        <f aca="false">Podsumowanie!E112</f>
        <v>49500</v>
      </c>
      <c r="L38" s="73" t="n">
        <f aca="false">E38-I38</f>
        <v>0</v>
      </c>
      <c r="M38" s="73" t="n">
        <f aca="false">F38-J38</f>
        <v>0</v>
      </c>
      <c r="N38" s="73" t="n">
        <f aca="false">G38-K38</f>
        <v>0</v>
      </c>
      <c r="O38" s="41"/>
      <c r="P38" s="72" t="str">
        <f aca="false">IF(AND(E38&gt;=B38-0.005,F38&gt;=C38-0.005,G38&gt;=D38-0.005),"OK","&lt; narastająco")</f>
        <v>OK</v>
      </c>
    </row>
    <row r="39" customFormat="false" ht="15" hidden="false" customHeight="false" outlineLevel="0" collapsed="false">
      <c r="A39" s="72" t="s">
        <v>49</v>
      </c>
      <c r="B39" s="73" t="n">
        <f aca="false">'nowy format'!B39</f>
        <v>0</v>
      </c>
      <c r="C39" s="73" t="n">
        <f aca="false">'nowy format'!C39</f>
        <v>0</v>
      </c>
      <c r="D39" s="73" t="n">
        <f aca="false">'nowy format'!D39</f>
        <v>0</v>
      </c>
      <c r="E39" s="74" t="n">
        <f aca="false">F39</f>
        <v>29760</v>
      </c>
      <c r="F39" s="74" t="n">
        <f aca="false">ROUND('budżet po miesiącach'!$C$88,2)</f>
        <v>29760</v>
      </c>
      <c r="G39" s="74" t="n">
        <f aca="false">ROUND('budżet po miesiącach'!$C$182,2)</f>
        <v>17856</v>
      </c>
      <c r="H39" s="49"/>
      <c r="I39" s="73" t="n">
        <f aca="false">Podsumowanie!E113</f>
        <v>29760</v>
      </c>
      <c r="J39" s="73" t="n">
        <f aca="false">Podsumowanie!E114</f>
        <v>29760</v>
      </c>
      <c r="K39" s="73" t="n">
        <f aca="false">Podsumowanie!E115</f>
        <v>17856</v>
      </c>
      <c r="L39" s="73" t="n">
        <f aca="false">E39-I39</f>
        <v>0</v>
      </c>
      <c r="M39" s="73" t="n">
        <f aca="false">F39-J39</f>
        <v>0</v>
      </c>
      <c r="N39" s="73" t="n">
        <f aca="false">G39-K39</f>
        <v>0</v>
      </c>
      <c r="O39" s="41"/>
      <c r="P39" s="72" t="str">
        <f aca="false">IF(AND(E39&gt;=B39-0.005,F39&gt;=C39-0.005,G39&gt;=D39-0.005),"OK","&lt; narastająco")</f>
        <v>OK</v>
      </c>
    </row>
    <row r="40" customFormat="false" ht="15" hidden="false" customHeight="false" outlineLevel="0" collapsed="false">
      <c r="A40" s="72" t="s">
        <v>50</v>
      </c>
      <c r="B40" s="73" t="n">
        <f aca="false">'nowy format'!B40</f>
        <v>0</v>
      </c>
      <c r="C40" s="73" t="n">
        <f aca="false">'nowy format'!C40</f>
        <v>0</v>
      </c>
      <c r="D40" s="73" t="n">
        <f aca="false">'nowy format'!D40</f>
        <v>0</v>
      </c>
      <c r="E40" s="74" t="n">
        <f aca="false">F40</f>
        <v>82500</v>
      </c>
      <c r="F40" s="74" t="n">
        <f aca="false">ROUND('budżet po miesiącach'!$C$89,2)</f>
        <v>82500</v>
      </c>
      <c r="G40" s="74" t="n">
        <f aca="false">ROUND('budżet po miesiącach'!$C$183,2)</f>
        <v>49500</v>
      </c>
      <c r="H40" s="49"/>
      <c r="I40" s="73" t="n">
        <f aca="false">Podsumowanie!E116</f>
        <v>82500</v>
      </c>
      <c r="J40" s="73" t="n">
        <f aca="false">Podsumowanie!E117</f>
        <v>82500</v>
      </c>
      <c r="K40" s="73" t="n">
        <f aca="false">Podsumowanie!E118</f>
        <v>49500</v>
      </c>
      <c r="L40" s="73" t="n">
        <f aca="false">E40-I40</f>
        <v>0</v>
      </c>
      <c r="M40" s="73" t="n">
        <f aca="false">F40-J40</f>
        <v>0</v>
      </c>
      <c r="N40" s="73" t="n">
        <f aca="false">G40-K40</f>
        <v>0</v>
      </c>
      <c r="O40" s="41"/>
      <c r="P40" s="72" t="str">
        <f aca="false">IF(AND(E40&gt;=B40-0.005,F40&gt;=C40-0.005,G40&gt;=D40-0.005),"OK","&lt; narastająco")</f>
        <v>OK</v>
      </c>
    </row>
    <row r="41" customFormat="false" ht="15" hidden="false" customHeight="false" outlineLevel="0" collapsed="false">
      <c r="A41" s="72" t="s">
        <v>51</v>
      </c>
      <c r="B41" s="73" t="n">
        <f aca="false">'nowy format'!B41</f>
        <v>0</v>
      </c>
      <c r="C41" s="73" t="n">
        <f aca="false">'nowy format'!C41</f>
        <v>0</v>
      </c>
      <c r="D41" s="73" t="n">
        <f aca="false">'nowy format'!D41</f>
        <v>0</v>
      </c>
      <c r="E41" s="74" t="n">
        <f aca="false">F41</f>
        <v>2276.08</v>
      </c>
      <c r="F41" s="74" t="n">
        <f aca="false">ROUND('budżet po miesiącach'!$C$90,2)</f>
        <v>2276.08</v>
      </c>
      <c r="G41" s="74" t="n">
        <f aca="false">ROUND('budżet po miesiącach'!$C$184,2)</f>
        <v>1365.65</v>
      </c>
      <c r="H41" s="49"/>
      <c r="I41" s="73" t="n">
        <f aca="false">Podsumowanie!E119</f>
        <v>2857.14</v>
      </c>
      <c r="J41" s="73" t="n">
        <f aca="false">Podsumowanie!E120</f>
        <v>2857.14</v>
      </c>
      <c r="K41" s="73" t="n">
        <f aca="false">Podsumowanie!E121</f>
        <v>1714.28</v>
      </c>
      <c r="L41" s="73" t="n">
        <f aca="false">E41-I41</f>
        <v>-581.06</v>
      </c>
      <c r="M41" s="73" t="n">
        <f aca="false">F41-J41</f>
        <v>-581.06</v>
      </c>
      <c r="N41" s="73" t="n">
        <f aca="false">G41-K41</f>
        <v>-348.63</v>
      </c>
      <c r="O41" s="41"/>
      <c r="P41" s="72" t="str">
        <f aca="false">IF(AND(E41&gt;=B41-0.005,F41&gt;=C41-0.005,G41&gt;=D41-0.005),"OK","&lt; narastająco")</f>
        <v>OK</v>
      </c>
    </row>
    <row r="42" customFormat="false" ht="15" hidden="false" customHeight="false" outlineLevel="0" collapsed="false">
      <c r="A42" s="72" t="s">
        <v>52</v>
      </c>
      <c r="B42" s="73" t="n">
        <f aca="false">'nowy format'!B42</f>
        <v>0</v>
      </c>
      <c r="C42" s="73" t="n">
        <f aca="false">'nowy format'!C42</f>
        <v>0</v>
      </c>
      <c r="D42" s="73" t="n">
        <f aca="false">'nowy format'!D42</f>
        <v>0</v>
      </c>
      <c r="E42" s="74" t="n">
        <f aca="false">F42</f>
        <v>79000</v>
      </c>
      <c r="F42" s="74" t="n">
        <f aca="false">ROUND('budżet po miesiącach'!$C$91,2)</f>
        <v>79000</v>
      </c>
      <c r="G42" s="74" t="n">
        <f aca="false">ROUND('budżet po miesiącach'!$C$185,2)</f>
        <v>47400</v>
      </c>
      <c r="H42" s="49"/>
      <c r="I42" s="73" t="n">
        <f aca="false">Podsumowanie!E122</f>
        <v>79000</v>
      </c>
      <c r="J42" s="73" t="n">
        <f aca="false">Podsumowanie!E123</f>
        <v>79000</v>
      </c>
      <c r="K42" s="73" t="n">
        <f aca="false">Podsumowanie!E124</f>
        <v>47400</v>
      </c>
      <c r="L42" s="73" t="n">
        <f aca="false">E42-I42</f>
        <v>0</v>
      </c>
      <c r="M42" s="73" t="n">
        <f aca="false">F42-J42</f>
        <v>0</v>
      </c>
      <c r="N42" s="73" t="n">
        <f aca="false">G42-K42</f>
        <v>0</v>
      </c>
      <c r="O42" s="41"/>
      <c r="P42" s="72" t="str">
        <f aca="false">IF(AND(E42&gt;=B42-0.005,F42&gt;=C42-0.005,G42&gt;=D42-0.005),"OK","&lt; narastająco")</f>
        <v>OK</v>
      </c>
    </row>
    <row r="43" customFormat="false" ht="15" hidden="false" customHeight="false" outlineLevel="0" collapsed="false">
      <c r="A43" s="72" t="s">
        <v>53</v>
      </c>
      <c r="B43" s="73" t="n">
        <f aca="false">'nowy format'!B43</f>
        <v>0</v>
      </c>
      <c r="C43" s="73" t="n">
        <f aca="false">'nowy format'!C43</f>
        <v>0</v>
      </c>
      <c r="D43" s="73" t="n">
        <f aca="false">'nowy format'!D43</f>
        <v>0</v>
      </c>
      <c r="E43" s="74" t="n">
        <f aca="false">F43</f>
        <v>13715.58</v>
      </c>
      <c r="F43" s="74" t="n">
        <f aca="false">ROUND('budżet po miesiącach'!$C$92,2)</f>
        <v>13715.58</v>
      </c>
      <c r="G43" s="74" t="n">
        <f aca="false">ROUND(założenia!$C$13-(G4+G5+G6+G7+G8+G9+G10+G11+G12+G14+G15+G16+G17+G18+G19+G20+G21+G22+G23+G25+G26+G27+G28+G29+G30+G31+G32+G33+G35+G36+G37+G38+G39+G40+G41+G42),2)</f>
        <v>8229.35</v>
      </c>
      <c r="H43" s="49"/>
      <c r="I43" s="73" t="n">
        <f aca="false">Podsumowanie!E125</f>
        <v>53860</v>
      </c>
      <c r="J43" s="73" t="n">
        <f aca="false">Podsumowanie!E126</f>
        <v>53860</v>
      </c>
      <c r="K43" s="73" t="n">
        <f aca="false">Podsumowanie!E127</f>
        <v>32316</v>
      </c>
      <c r="L43" s="73" t="n">
        <f aca="false">E43-I43</f>
        <v>-40144.42</v>
      </c>
      <c r="M43" s="73" t="n">
        <f aca="false">F43-J43</f>
        <v>-40144.42</v>
      </c>
      <c r="N43" s="73" t="n">
        <f aca="false">G43-K43</f>
        <v>-24086.65</v>
      </c>
      <c r="O43" s="41"/>
      <c r="P43" s="72" t="str">
        <f aca="false">IF(AND(E43&gt;=B43-0.005,F43&gt;=C43-0.005,G43&gt;=D43-0.005),"OK","&lt; narastająco")</f>
        <v>OK</v>
      </c>
      <c r="Q43" s="55" t="s">
        <v>248</v>
      </c>
    </row>
    <row r="46" customFormat="false" ht="15" hidden="false" customHeight="false" outlineLevel="0" collapsed="false">
      <c r="A46" s="75" t="s">
        <v>249</v>
      </c>
    </row>
    <row r="47" customFormat="false" ht="23.85" hidden="false" customHeight="false" outlineLevel="0" collapsed="false">
      <c r="A47" s="53" t="s">
        <v>250</v>
      </c>
      <c r="B47" s="53" t="s">
        <v>251</v>
      </c>
      <c r="C47" s="53" t="s">
        <v>252</v>
      </c>
      <c r="D47" s="53" t="s">
        <v>253</v>
      </c>
      <c r="E47" s="53" t="s">
        <v>254</v>
      </c>
      <c r="F47" s="53" t="s">
        <v>255</v>
      </c>
      <c r="G47" s="53" t="s">
        <v>256</v>
      </c>
      <c r="H47" s="76"/>
      <c r="I47" s="53" t="s">
        <v>257</v>
      </c>
      <c r="J47" s="53" t="s">
        <v>258</v>
      </c>
      <c r="K47" s="53" t="s">
        <v>259</v>
      </c>
      <c r="L47" s="53" t="s">
        <v>260</v>
      </c>
      <c r="M47" s="53" t="s">
        <v>261</v>
      </c>
      <c r="N47" s="53" t="s">
        <v>262</v>
      </c>
    </row>
    <row r="48" customFormat="false" ht="15" hidden="false" customHeight="false" outlineLevel="0" collapsed="false">
      <c r="A48" s="41" t="s">
        <v>263</v>
      </c>
      <c r="B48" s="73" t="n">
        <f aca="false">B3+B13+B24+B34</f>
        <v>1816194.16</v>
      </c>
      <c r="C48" s="73" t="n">
        <f aca="false">C3+C13+C24+C34</f>
        <v>1816194.16</v>
      </c>
      <c r="D48" s="73" t="n">
        <f aca="false">D3+D13+D24+D34</f>
        <v>1452955.33</v>
      </c>
      <c r="E48" s="73" t="n">
        <f aca="false">E3+E13+E24+E34</f>
        <v>3864456.02</v>
      </c>
      <c r="F48" s="73" t="n">
        <f aca="false">F3+F13+F24+F34</f>
        <v>3864311.1</v>
      </c>
      <c r="G48" s="73" t="n">
        <f aca="false">G3+G13+G24+G34</f>
        <v>2959946.54</v>
      </c>
      <c r="H48" s="41"/>
      <c r="I48" s="73" t="n">
        <f aca="false">I3+I13+I24+I34</f>
        <v>3897492.49</v>
      </c>
      <c r="J48" s="73" t="n">
        <f aca="false">J3+J13+J24+J34</f>
        <v>3874492.49</v>
      </c>
      <c r="K48" s="73" t="n">
        <f aca="false">K3+K13+K24+K34</f>
        <v>2959946.54</v>
      </c>
      <c r="L48" s="73" t="n">
        <f aca="false">E48-I48</f>
        <v>-33036.4700000007</v>
      </c>
      <c r="M48" s="73" t="n">
        <f aca="false">F48-J48</f>
        <v>-10181.3900000006</v>
      </c>
      <c r="N48" s="73" t="n">
        <f aca="false">G48-K48</f>
        <v>0</v>
      </c>
    </row>
    <row r="49" customFormat="false" ht="15" hidden="false" customHeight="false" outlineLevel="0" collapsed="false">
      <c r="A49" s="41" t="s">
        <v>264</v>
      </c>
      <c r="B49" s="73" t="n">
        <f aca="false">Podsumowanie!D130</f>
        <v>370072.3</v>
      </c>
      <c r="C49" s="73" t="n">
        <f aca="false">Podsumowanie!D131</f>
        <v>328522.3</v>
      </c>
      <c r="D49" s="73" t="n">
        <f aca="false">Podsumowanie!D132</f>
        <v>262817.83</v>
      </c>
      <c r="E49" s="73" t="n">
        <f aca="false">F49</f>
        <v>966077.78</v>
      </c>
      <c r="F49" s="73" t="n">
        <f aca="false">ROUND(0.25*F48,2)</f>
        <v>966077.78</v>
      </c>
      <c r="G49" s="73" t="n">
        <f aca="false">ROUNDDOWN(F49*G48/F48,2)</f>
        <v>739986.63</v>
      </c>
      <c r="H49" s="41"/>
      <c r="I49" s="73" t="n">
        <f aca="false">Podsumowanie!E130</f>
        <v>968623.12</v>
      </c>
      <c r="J49" s="73" t="n">
        <f aca="false">Podsumowanie!E131</f>
        <v>968623.12</v>
      </c>
      <c r="K49" s="73" t="n">
        <f aca="false">Podsumowanie!E132</f>
        <v>739986.63</v>
      </c>
      <c r="L49" s="73" t="n">
        <f aca="false">E49-I49</f>
        <v>-2545.33999999997</v>
      </c>
      <c r="M49" s="73" t="n">
        <f aca="false">F49-J49</f>
        <v>-2545.33999999997</v>
      </c>
      <c r="N49" s="73" t="n">
        <f aca="false">G49-K49</f>
        <v>0</v>
      </c>
    </row>
    <row r="50" customFormat="false" ht="15" hidden="false" customHeight="false" outlineLevel="0" collapsed="false">
      <c r="A50" s="40" t="s">
        <v>236</v>
      </c>
      <c r="B50" s="77" t="n">
        <f aca="false">B48+B49</f>
        <v>2186266.46</v>
      </c>
      <c r="C50" s="77" t="n">
        <f aca="false">C48+C49</f>
        <v>2144716.46</v>
      </c>
      <c r="D50" s="77" t="n">
        <f aca="false">D48+D49</f>
        <v>1715773.16</v>
      </c>
      <c r="E50" s="77" t="n">
        <f aca="false">E48+E49</f>
        <v>4830533.8</v>
      </c>
      <c r="F50" s="77" t="n">
        <f aca="false">F48+F49</f>
        <v>4830388.88</v>
      </c>
      <c r="G50" s="77" t="n">
        <f aca="false">G48+G49</f>
        <v>3699933.17</v>
      </c>
      <c r="H50" s="40"/>
      <c r="I50" s="77" t="n">
        <f aca="false">I48+I49</f>
        <v>4866115.61</v>
      </c>
      <c r="J50" s="77" t="n">
        <f aca="false">J48+J49</f>
        <v>4843115.61</v>
      </c>
      <c r="K50" s="77" t="n">
        <f aca="false">K48+K49</f>
        <v>3699933.17</v>
      </c>
      <c r="L50" s="77" t="n">
        <f aca="false">E50-I50</f>
        <v>-35581.8100000005</v>
      </c>
      <c r="M50" s="77" t="n">
        <f aca="false">F50-J50</f>
        <v>-12726.7300000004</v>
      </c>
      <c r="N50" s="77" t="n">
        <f aca="false">G50-K50</f>
        <v>0</v>
      </c>
    </row>
    <row r="51" customFormat="false" ht="15" hidden="false" customHeight="false" outlineLevel="0" collapsed="false">
      <c r="A51" s="41" t="s">
        <v>265</v>
      </c>
      <c r="B51" s="73"/>
      <c r="C51" s="73"/>
      <c r="D51" s="73"/>
      <c r="E51" s="73"/>
      <c r="F51" s="73" t="n">
        <f aca="false">założenia!$C$10</f>
        <v>4843115.61</v>
      </c>
      <c r="G51" s="73" t="n">
        <f aca="false">założenia!$C$11</f>
        <v>3699933.17</v>
      </c>
      <c r="H51" s="41"/>
      <c r="I51" s="73"/>
      <c r="J51" s="73"/>
      <c r="K51" s="73"/>
      <c r="L51" s="73"/>
      <c r="M51" s="73"/>
      <c r="N51" s="73"/>
    </row>
    <row r="52" customFormat="false" ht="15" hidden="false" customHeight="false" outlineLevel="0" collapsed="false">
      <c r="A52" s="41" t="s">
        <v>266</v>
      </c>
      <c r="B52" s="73"/>
      <c r="C52" s="73"/>
      <c r="D52" s="73"/>
      <c r="E52" s="73"/>
      <c r="F52" s="73" t="n">
        <f aca="false">ROUND(F50-F51,2)</f>
        <v>-12726.73</v>
      </c>
      <c r="G52" s="73" t="n">
        <f aca="false">ROUND(G50-G51,2)</f>
        <v>0</v>
      </c>
      <c r="H52" s="41"/>
      <c r="I52" s="73"/>
      <c r="J52" s="73"/>
      <c r="K52" s="73"/>
      <c r="L52" s="73"/>
      <c r="M52" s="73"/>
      <c r="N52" s="73"/>
    </row>
    <row r="53" customFormat="false" ht="15" hidden="false" customHeight="false" outlineLevel="0" collapsed="false">
      <c r="A53" s="40" t="s">
        <v>267</v>
      </c>
      <c r="B53" s="77"/>
      <c r="C53" s="77"/>
      <c r="D53" s="77"/>
      <c r="E53" s="77"/>
      <c r="F53" s="77" t="str">
        <f aca="false">IF(F52&lt;=0.005,"OK","BŁĄD")</f>
        <v>OK</v>
      </c>
      <c r="G53" s="77" t="str">
        <f aca="false">IF(G52&lt;=0.005,"OK","BŁĄD")</f>
        <v>OK</v>
      </c>
      <c r="H53" s="40"/>
      <c r="I53" s="77"/>
      <c r="J53" s="77"/>
      <c r="K53" s="77"/>
      <c r="L53" s="77"/>
      <c r="M53" s="77"/>
      <c r="N53" s="77"/>
    </row>
  </sheetData>
  <mergeCells count="4">
    <mergeCell ref="B1:D1"/>
    <mergeCell ref="E1:G1"/>
    <mergeCell ref="I1:K1"/>
    <mergeCell ref="L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>Ewa Retajczyk</cp:lastModifiedBy>
  <dcterms:modified xsi:type="dcterms:W3CDTF">2026-10-07T15:29:38Z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