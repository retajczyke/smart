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<sst xmlns="http://schemas.openxmlformats.org/spreadsheetml/2006/main" count="1120" uniqueCount="268">
  <si>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</si>
  <si>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</si>
  <si>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</si>
  <si>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</si>
  <si>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</si>
  <si>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</si>
  <si>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</si>
  <si>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</si>
  <si>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</si>
  <si>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</si>
  <si>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</si>
  <si>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</si>
  <si>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</si>
  <si>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</si>
  <si>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</si>
  <si>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</si>
  <si>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</si>
  <si>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</si>
  <si>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</si>
  <si>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</si>
  <si>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</si>
  <si>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</si>
  <si>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</si>
  <si>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</si>
  <si>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</si>
  <si>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</si>
  <si>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</si>
  <si>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</si>
  <si>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</si>
  <si>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</si>
  <si>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</si>
  <si>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</si>
  <si>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</si>
  <si>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</si>
  <si>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</si>
  <si>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</si>
  <si>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</si>
  <si>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</si>
  <si>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</si>
  <si>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</si>
  <si>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</si>
  <si>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</si>
  <si>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</si>
  <si>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</si>
  <si>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</si>
  <si>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</si>
  <si>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</si>
  <si>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</si>
  <si>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</si>
  <si>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</si>
  <si>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</si>
  <si>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</si>
  <si>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</si>
  <si>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</si>
  <si>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</si>
  <si>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</si>
  <si>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</si>
  <si>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</si>
  <si>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</si>
  <si>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</si>
  <si>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</si>
  <si>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</si>
  <si>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</si>
  <si>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</si>
  <si>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</si>
  <si>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</si>
  <si>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</si>
  <si>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</si>
  <si>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</si>
  <si>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</si>
  <si>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</si>
  <si>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</si>
  <si>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</si>
  <si>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</si>
  <si>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</si>
  <si>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</si>
  <si>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</si>
  <si>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</si>
  <si>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</si>
  <si>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</si>
  <si>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</si>
  <si>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</si>
  <si>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</si>
  <si>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</si>
  <si>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</si>
  <si>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</si>
  <si>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</si>
  <si>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</si>
  <si>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</si>
  <si>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</si>
  <si>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</si>
  <si>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</si>
  <si>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</si>
  <si>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</si>
  <si>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</si>
  <si>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</si>
  <si>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</si>
  <si>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</si>
  <si>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</si>
  <si>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</si>
  <si>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</si>
  <si>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</si>
  <si>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</si>
  <si>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</si>
  <si>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</si>
  <si>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</si>
  <si>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</si>
  <si>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</si>
  <si>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</si>
  <si>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</si>
  <si>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</si>
  <si>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</si>
  <si>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</si>
  <si>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</si>
  <si>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</si>
  <si>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</si>
  <si>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</si>
  <si>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</si>
  <si>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</si>
  <si>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</si>
  <si>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</si>
  <si>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</si>
  <si>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</si>
  <si>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</si>
  <si>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</si>
  <si>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</si>
  <si>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</si>
  <si>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</si>
  <si>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</si>
  <si>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</si>
  <si>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</si>
  <si>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</si>
  <si>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</si>
  <si>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</si>
  <si>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</si>
  <si>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</si>
  <si>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</si>
  <si>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</si>
  <si>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</si>
  <si>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</si>
  <si>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</si>
  <si>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</si>
  <si>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</si>
  <si>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</si>
  <si>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</si>
  <si>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</si>
  <si>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</si>
  <si>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</si>
  <si>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</si>
  <si>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</si>
  <si>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</si>
  <si>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</si>
  <si>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</si>
  <si>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</si>
  <si>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</si>
  <si>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</si>
  <si>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</si>
  <si>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Licencje – kwalifikowalne po zmianie (przyjęto 0: dofinansowanie nie może wzrosnąć)</t>
  </si>
  <si>
    <t xml:space="preserve">Z4 – kwalifikowalne planowane (stawka × etat), przed obniżeniem</t>
  </si>
  <si>
    <t xml:space="preserve">Z3 – dofinansowanie (80% kosztów kwalifikowalnych)</t>
  </si>
  <si>
    <t xml:space="preserve">Dofinansowanie Z1+Z2 (wykonanie, poz. 2.9 wg planu, licencje) + Z3</t>
  </si>
  <si>
    <t xml:space="preserve">Dofinansowanie dostępne dla Z4 = cel D bezpośrednie − C17</t>
  </si>
  <si>
    <t xml:space="preserve">Współczynnik obniżenia kosztów kwalifikowalnych Z4 (Z4 = C15 × C19, tak by D = 60% mieściło się w C18)</t>
  </si>
  <si>
    <t xml:space="preserve">TEST: koszt wakatu grafika w Z4 (stawka × miesiące Z4), gdyby został</t>
  </si>
  <si>
    <t xml:space="preserve">TEST: dofinansowanie (60%), które dodałby wakat w Z4</t>
  </si>
  <si>
    <t xml:space="preserve">TEST: wniosek</t>
  </si>
  <si>
    <t xml:space="preserve">Z4 – kwalifikowalne po obniżeniu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</si>
  <si>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</si>
  <si>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</si>
  <si>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</si>
  <si>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</si>
  <si>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</si>
  <si>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nie przekraczają celu</t>
  </si>
  <si>
    <t xml:space="preserve">Dofinansowanie razem nie przekracza celu (nie może wzrosnąć)</t>
  </si>
  <si>
    <t xml:space="preserve">Z1 i Z2 w nowym budżecie = wydatki narastająco, bez poz. 2.9 i licencji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</si>
  <si>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</si>
  <si>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</si>
  <si>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</si>
  <si>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</si>
  <si>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</si>
  <si>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</si>
  <si>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dofinansowanie razem (3 699 933,17 zł) nie może wzrosnąć; wydatki kwalifikowalne razem (4 843 115,61 zł) mogą się zmniejszyć, ale nie wzrosnąć. Stałe zasady: intensywność Z1–Z3 = 80%, Z4 = 60%, koszty pośrednie = 25% kwalifikowalnych oraz 25% dofinansowania kosztów bezpośrednich (pochodne – nie są sterowane ręcznie).</t>
  </si>
  <si>
    <t xml:space="preserve">3. Z1 i Z2 w nowym budżecie = wydatki narastająco (ogółem, kwalifikowalne, dofinansowanie) per pozycja, z wyjątkiem poz. 2.9 (amortyzacja laptopów w Z2) – bez zmian wg planu: 4 285,71 zł. Poz. 2.1 (Ekspert AI, Z2): przyjęto 332 400 zł kwalifikowalnych / 265 920 zł dofinansowania (PARP wstrzymał wypłatę, budżet nie jest tracony).</t>
  </si>
  <si>
    <t xml:space="preserve">4. Licencje (Z2): wykonanie 0, więc całość uwalnia środki. Po zmianie 0 zł (C14) – przy stałych intensywnościach budżet nie mieści ani reszty na licencjach, ani wakatu grafika w Z4.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</si>
  <si>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</si>
  <si>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</si>
  <si>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</si>
  <si>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</si>
  <si>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Test w C20:C22 pokazuje, że wakat w Z4 nie mieści się w limicie dofinansowania.</t>
  </si>
  <si>
    <t xml:space="preserve">10. Amortyzacja laptopów: 714,29 zł/mies.; wydłużenie Z3 do 8 m-cy zwiększa amortyzację Z3 (5 714,29 zł). Z4 bez zmian.</t>
  </si>
  <si>
    <t xml:space="preserve">11. Dofinansowanie: Z1–Z3 po 80%, Z4 po 60% (bez żadnych korekt intensywności). Przy pełnej prognozie Z3 i Z4 dofinansowanie przekroczyłoby cel, dlatego kwalifikowalne Z4 obniżono jednolitym współczynnikiem C19 do kwoty mieszczącej się w limicie dofinansowania (C18). Kwalifikowalne razem spadają poniżej celu – różnica to niewykorzystany budżet.</t>
  </si>
  <si>
    <t xml:space="preserve">12. Koszty pośrednie: 25% kwalifikowalnych kosztów bezpośrednich; dofinansowanie do nich = ta sama proporcja co w kosztach bezpośrednich (25% dofinansowania bezpośredniego, zaokrąglone w dół). Zmieniają się wraz z kosztami bezpośrednimi.</t>
  </si>
  <si>
    <t xml:space="preserve">14. Daty zadań (PDF): Z1 2025-10-01 – 2026-02-28, Z2 2026-03-01 – 2026-08-31, Z3 2026-09-01 – 2027-04-30, Z4 2027-05-01 – 2027-08-31 (poprawione).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</si>
  <si>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</si>
  <si>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</si>
  <si>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</si>
  <si>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</si>
  <si>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</si>
  <si>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</si>
  <si>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</si>
  <si>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</si>
  <si>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</si>
  <si>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</si>
  <si>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</si>
  <si>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</si>
  <si>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</si>
  <si>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</si>
  <si>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</si>
  <si>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</si>
  <si>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</si>
  <si>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</si>
  <si>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</si>
  <si>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</si>
  <si>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</si>
  <si>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</si>
  <si>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(1 = 714,29/mies.)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</si>
  <si>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</si>
  <si>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</si>
  <si>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</si>
  <si>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</si>
  <si>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</si>
  <si>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</si>
  <si>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</si>
  <si>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</si>
  <si>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</si>
  <si>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</si>
  <si>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</si>
  <si>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</si>
  <si>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</si>
  <si>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</si>
  <si>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</si>
  <si>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</si>
  <si>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</si>
  <si>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</si>
  <si>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</si>
  <si>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</si>
  <si>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</si>
  <si>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</si>
  <si>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</si>
  <si>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</si>
  <si>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</si>
  <si>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</si>
  <si>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</si>
  <si>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</si>
  <si>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</si>
  <si>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</si>
  <si>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</si>
  <si>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</si>
  <si>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</si>
  <si>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</si>
  <si>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</si>
  <si>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</si>
  <si>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</si>
  <si>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</si>
  <si>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</si>
  <si>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</si>
  <si>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</si>
  <si>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</si>
  <si>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</si>
  <si>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</si>
  <si>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</si>
  <si>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</si>
  <si>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</si>
  <si>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</si>
  <si>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</si>
  <si>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</si>
  <si>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</si>
  <si>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(kwota nie może przekroczyć celu)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</si>
</sst>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0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v>0</v>
      </c>
    </row>
    <row r="15" customFormat="false" ht="15" hidden="false" customHeight="false" outlineLevel="0" collapsed="false">
      <c r="A15" s="41" t="s">
        <v>158</v>
      </c>
      <c r="C15" s="44" t="n">
        <f aca="false">SUMIF('plan etatów'!$C$78:$C$114,4,'plan etatów'!$AA$78:$AA$114)</f>
        <v>664057.14</v>
      </c>
    </row>
    <row r="16" customFormat="false" ht="15" hidden="false" customHeight="false" outlineLevel="0" collapsed="false">
      <c r="A16" s="41" t="s">
        <v>159</v>
      </c>
      <c r="C16" s="44" t="n">
        <f aca="false">'nowy format 2'!G24</f>
        <v>1111999.42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2'!G23+C16</f>
        <v>2566562.43</v>
      </c>
    </row>
    <row r="18" customFormat="false" ht="15" hidden="false" customHeight="false" outlineLevel="0" collapsed="false">
      <c r="A18" s="41" t="s">
        <v>161</v>
      </c>
      <c r="C18" s="44" t="n">
        <f aca="false">C13-C17</f>
        <v>393384.11</v>
      </c>
    </row>
    <row r="19" customFormat="false" ht="15" hidden="false" customHeight="false" outlineLevel="0" collapsed="false">
      <c r="A19" s="41" t="s">
        <v>162</v>
      </c>
      <c r="C19" s="47" t="n">
        <f aca="false">MIN(1,ROUNDDOWN(C18/C7,2)/C15)</f>
        <v>0.987324946163518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C20*C7</f>
        <v>20508</v>
      </c>
    </row>
    <row r="22" customFormat="false" ht="15" hidden="false" customHeight="false" outlineLevel="0" collapsed="false">
      <c r="A22" s="41" t="s">
        <v>165</v>
      </c>
      <c r="C22" s="48" t="str">
        <f aca="false">IF(C21&gt;MAX(0,C18-C15*C7),"wakat w Z4 nie mieści się w limicie dofinansowania – zdjęty","mieści się")</f>
        <v>wakat w Z4 nie mieści się w limicie dofinansowania – zdjęty</v>
      </c>
    </row>
    <row r="23" customFormat="false" ht="15" hidden="false" customHeight="false" outlineLevel="0" collapsed="false">
      <c r="A23" s="41" t="s">
        <v>166</v>
      </c>
      <c r="C23" s="44" t="n">
        <f aca="false">ROUND(C15*C19,2)</f>
        <v>655640.18</v>
      </c>
    </row>
    <row r="24" customFormat="false" ht="15" hidden="false" customHeight="false" outlineLevel="0" collapsed="false">
      <c r="A24" s="40" t="s">
        <v>167</v>
      </c>
      <c r="C24" s="40" t="s">
        <v>168</v>
      </c>
      <c r="D24" s="40" t="s">
        <v>169</v>
      </c>
      <c r="E24" s="40" t="s">
        <v>170</v>
      </c>
      <c r="F24" s="40" t="s">
        <v>171</v>
      </c>
    </row>
    <row r="25" customFormat="false" ht="15" hidden="false" customHeight="false" outlineLevel="0" collapsed="false">
      <c r="A25" s="41" t="s">
        <v>172</v>
      </c>
      <c r="C25" s="49" t="n">
        <f aca="false">'nowy format 2'!F50</f>
        <v>4829804.08</v>
      </c>
      <c r="D25" s="49" t="n">
        <f aca="false">C10</f>
        <v>4843115.61</v>
      </c>
      <c r="E25" s="40" t="str">
        <f aca="false">IF(C25&lt;=D25+0.005,"OK","BŁĄD")</f>
        <v>OK</v>
      </c>
      <c r="F25" s="49" t="n">
        <f aca="false">ROUND(C25-D25,2)</f>
        <v>-13311.53</v>
      </c>
    </row>
    <row r="26" customFormat="false" ht="15" hidden="false" customHeight="false" outlineLevel="0" collapsed="false">
      <c r="A26" s="41" t="s">
        <v>173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IF(C26&lt;=D26+0.005,"OK","BŁĄD")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174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175</v>
      </c>
      <c r="C28" s="49" t="n">
        <f aca="false">ROUND('budżet po miesiącach'!C97,2)</f>
        <v>3863843.25</v>
      </c>
      <c r="D28" s="49" t="n">
        <f aca="false">'nowy format 2'!F48</f>
        <v>3863843.26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176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177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178</v>
      </c>
      <c r="C31" s="49" t="n">
        <f aca="false">ROUND('budżet po miesiącach'!C191,2)</f>
        <v>2959946.54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179</v>
      </c>
    </row>
    <row r="34" customFormat="false" ht="43.5" hidden="false" customHeight="true" outlineLevel="0" collapsed="false">
      <c r="A34" s="50" t="s">
        <v>180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181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182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183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184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185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186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187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188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189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190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191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192</v>
      </c>
      <c r="B46" s="50"/>
      <c r="C46" s="50"/>
      <c r="D46" s="50"/>
      <c r="E46" s="50"/>
      <c r="F46" s="50"/>
    </row>
    <row r="47" customFormat="false" ht="43.5" hidden="false" customHeight="true" outlineLevel="0" collapsed="false">
      <c r="A47" s="50" t="s">
        <v>193</v>
      </c>
      <c r="B47" s="50"/>
      <c r="C47" s="50"/>
      <c r="D47" s="50"/>
      <c r="E47" s="50"/>
      <c r="F47" s="50"/>
    </row>
  </sheetData>
  <mergeCells count="14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194</v>
      </c>
    </row>
    <row r="2" customFormat="false" ht="15" hidden="false" customHeight="false" outlineLevel="0" collapsed="false">
      <c r="A2" s="51" t="s">
        <v>195</v>
      </c>
    </row>
    <row r="3" customFormat="false" ht="15" hidden="false" customHeight="false" outlineLevel="0" collapsed="false">
      <c r="A3" s="40" t="s">
        <v>196</v>
      </c>
      <c r="B3" s="40" t="s">
        <v>197</v>
      </c>
      <c r="C3" s="40" t="s">
        <v>198</v>
      </c>
      <c r="D3" s="40" t="s">
        <v>199</v>
      </c>
      <c r="E3" s="40" t="s">
        <v>200</v>
      </c>
      <c r="F3" s="40" t="s">
        <v>201</v>
      </c>
    </row>
    <row r="4" customFormat="false" ht="15" hidden="false" customHeight="false" outlineLevel="0" collapsed="false">
      <c r="A4" s="41" t="s">
        <v>202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203</v>
      </c>
    </row>
    <row r="5" customFormat="false" ht="15" hidden="false" customHeight="false" outlineLevel="0" collapsed="false">
      <c r="A5" s="41" t="s">
        <v>204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203</v>
      </c>
    </row>
    <row r="6" customFormat="false" ht="15" hidden="false" customHeight="false" outlineLevel="0" collapsed="false">
      <c r="A6" s="41" t="s">
        <v>205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206</v>
      </c>
    </row>
    <row r="7" customFormat="false" ht="15" hidden="false" customHeight="false" outlineLevel="0" collapsed="false">
      <c r="A7" s="41" t="s">
        <v>207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206</v>
      </c>
    </row>
    <row r="9" customFormat="false" ht="15" hidden="false" customHeight="false" outlineLevel="0" collapsed="false">
      <c r="A9" s="40" t="s">
        <v>208</v>
      </c>
    </row>
    <row r="10" customFormat="false" ht="15" hidden="false" customHeight="false" outlineLevel="0" collapsed="false">
      <c r="A10" s="53" t="s">
        <v>209</v>
      </c>
      <c r="B10" s="53" t="s">
        <v>210</v>
      </c>
      <c r="C10" s="53" t="s">
        <v>211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212</v>
      </c>
    </row>
    <row r="11" customFormat="false" ht="15" hidden="false" customHeight="false" outlineLevel="0" collapsed="false">
      <c r="A11" s="41" t="s">
        <v>213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214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215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216</v>
      </c>
    </row>
    <row r="23" customFormat="false" ht="15" hidden="false" customHeight="false" outlineLevel="0" collapsed="false">
      <c r="A23" s="53" t="s">
        <v>209</v>
      </c>
      <c r="B23" s="53" t="s">
        <v>210</v>
      </c>
      <c r="C23" s="53" t="s">
        <v>211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212</v>
      </c>
    </row>
    <row r="24" customFormat="false" ht="15" hidden="false" customHeight="false" outlineLevel="0" collapsed="false">
      <c r="A24" s="41" t="s">
        <v>213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217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218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219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214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215</v>
      </c>
      <c r="B32" s="54" t="n">
        <f aca="false">ROUND(4285.71/6,4)</f>
        <v>714.285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220</v>
      </c>
    </row>
    <row r="35" customFormat="false" ht="15" hidden="false" customHeight="false" outlineLevel="0" collapsed="false">
      <c r="A35" s="40" t="s">
        <v>221</v>
      </c>
    </row>
    <row r="36" customFormat="false" ht="15" hidden="false" customHeight="false" outlineLevel="0" collapsed="false">
      <c r="A36" s="53" t="s">
        <v>209</v>
      </c>
      <c r="B36" s="53" t="s">
        <v>210</v>
      </c>
      <c r="C36" s="53" t="s">
        <v>211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212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222</v>
      </c>
    </row>
    <row r="77" customFormat="false" ht="15" hidden="false" customHeight="false" outlineLevel="0" collapsed="false">
      <c r="A77" s="53" t="s">
        <v>209</v>
      </c>
      <c r="B77" s="53" t="s">
        <v>210</v>
      </c>
      <c r="C77" s="53" t="s">
        <v>211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212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714.285</v>
      </c>
      <c r="E85" s="56" t="n">
        <f aca="false">IF(AND(E$77&gt;=$D$4,E$77&lt;=$E$4),$B$32*E32,0)</f>
        <v>714.285</v>
      </c>
      <c r="F85" s="56" t="n">
        <f aca="false">IF(AND(F$77&gt;=$D$4,F$77&lt;=$E$4),$B$32*F32,0)</f>
        <v>714.285</v>
      </c>
      <c r="G85" s="56" t="n">
        <f aca="false">IF(AND(G$77&gt;=$D$4,G$77&lt;=$E$4),$B$32*G32,0)</f>
        <v>714.285</v>
      </c>
      <c r="H85" s="56" t="n">
        <f aca="false">IF(AND(H$77&gt;=$D$4,H$77&lt;=$E$4),$B$32*H32,0)</f>
        <v>714.285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3571.425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714.285</v>
      </c>
      <c r="J95" s="56" t="n">
        <f aca="false">IF(AND(J$77&gt;=$D$5,J$77&lt;=$E$5),$B$32*J32,0)</f>
        <v>714.285</v>
      </c>
      <c r="K95" s="56" t="n">
        <f aca="false">IF(AND(K$77&gt;=$D$5,K$77&lt;=$E$5),$B$32*K32,0)</f>
        <v>714.285</v>
      </c>
      <c r="L95" s="56" t="n">
        <f aca="false">IF(AND(L$77&gt;=$D$5,L$77&lt;=$E$5),$B$32*L32,0)</f>
        <v>714.285</v>
      </c>
      <c r="M95" s="56" t="n">
        <f aca="false">IF(AND(M$77&gt;=$D$5,M$77&lt;=$E$5),$B$32*M32,0)</f>
        <v>714.285</v>
      </c>
      <c r="N95" s="56" t="n">
        <f aca="false">IF(AND(N$77&gt;=$D$5,N$77&lt;=$E$5),$B$32*N32,0)</f>
        <v>714.285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4285.71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714.285</v>
      </c>
      <c r="P104" s="56" t="n">
        <f aca="false">IF(AND(P$77&gt;=$D$6,P$77&lt;=$E$6),$B$32*P32,0)</f>
        <v>714.285</v>
      </c>
      <c r="Q104" s="56" t="n">
        <f aca="false">IF(AND(Q$77&gt;=$D$6,Q$77&lt;=$E$6),$B$32*Q32,0)</f>
        <v>714.285</v>
      </c>
      <c r="R104" s="56" t="n">
        <f aca="false">IF(AND(R$77&gt;=$D$6,R$77&lt;=$E$6),$B$32*R32,0)</f>
        <v>714.285</v>
      </c>
      <c r="S104" s="56" t="n">
        <f aca="false">IF(AND(S$77&gt;=$D$6,S$77&lt;=$E$6),$B$32*S32,0)</f>
        <v>714.285</v>
      </c>
      <c r="T104" s="56" t="n">
        <f aca="false">IF(AND(T$77&gt;=$D$6,T$77&lt;=$E$6),$B$32*T32,0)</f>
        <v>714.285</v>
      </c>
      <c r="U104" s="56" t="n">
        <f aca="false">IF(AND(U$77&gt;=$D$6,U$77&lt;=$E$6),$B$32*U32,0)</f>
        <v>714.285</v>
      </c>
      <c r="V104" s="56" t="n">
        <f aca="false">IF(AND(V$77&gt;=$D$6,V$77&lt;=$E$6),$B$32*V32,0)</f>
        <v>714.285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5714.28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714.285</v>
      </c>
      <c r="X112" s="56" t="n">
        <f aca="false">IF(AND(X$77&gt;=$D$7,X$77&lt;=$E$7),$B$32*X32,0)</f>
        <v>714.285</v>
      </c>
      <c r="Y112" s="56" t="n">
        <f aca="false">IF(AND(Y$77&gt;=$D$7,Y$77&lt;=$E$7),$B$32*Y32,0)</f>
        <v>714.285</v>
      </c>
      <c r="Z112" s="56" t="n">
        <f aca="false">IF(AND(Z$77&gt;=$D$7,Z$77&lt;=$E$7),$B$32*Z32,0)</f>
        <v>714.285</v>
      </c>
      <c r="AA112" s="57" t="n">
        <f aca="false">SUM(D112:Z112)</f>
        <v>2857.14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223</v>
      </c>
    </row>
    <row r="2" customFormat="false" ht="15" hidden="false" customHeight="false" outlineLevel="0" collapsed="false">
      <c r="A2" s="51" t="s">
        <v>224</v>
      </c>
    </row>
    <row r="3" customFormat="false" ht="15" hidden="false" customHeight="false" outlineLevel="0" collapsed="false">
      <c r="A3" s="58" t="s">
        <v>225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226</v>
      </c>
      <c r="B4" s="59" t="s">
        <v>211</v>
      </c>
      <c r="C4" s="59" t="s">
        <v>227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228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229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230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231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232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233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234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235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236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237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238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0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0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4285.71</v>
      </c>
      <c r="D73" s="49" t="n">
        <f aca="false">IF('plan etatów'!$AA$95=0,0,'nowy format 2'!$J$22*'plan etatów'!D95/'plan etatów'!$AA$95)</f>
        <v>0</v>
      </c>
      <c r="E73" s="49" t="n">
        <f aca="false">IF('plan etatów'!$AA$95=0,0,'nowy format 2'!$J$22*'plan etatów'!E95/'plan etatów'!$AA$95)</f>
        <v>0</v>
      </c>
      <c r="F73" s="49" t="n">
        <f aca="false">IF('plan etatów'!$AA$95=0,0,'nowy format 2'!$J$22*'plan etatów'!F95/'plan etatów'!$AA$95)</f>
        <v>0</v>
      </c>
      <c r="G73" s="49" t="n">
        <f aca="false">IF('plan etatów'!$AA$95=0,0,'nowy format 2'!$J$22*'plan etatów'!G95/'plan etatów'!$AA$95)</f>
        <v>0</v>
      </c>
      <c r="H73" s="49" t="n">
        <f aca="false">IF('plan etatów'!$AA$95=0,0,'nowy format 2'!$J$22*'plan etatów'!H95/'plan etatów'!$AA$95)</f>
        <v>0</v>
      </c>
      <c r="I73" s="49" t="n">
        <f aca="false">IF('plan etatów'!$AA$95=0,0,'nowy format 2'!$J$22*'plan etatów'!I95/'plan etatów'!$AA$95)</f>
        <v>714.285</v>
      </c>
      <c r="J73" s="49" t="n">
        <f aca="false">IF('plan etatów'!$AA$95=0,0,'nowy format 2'!$J$22*'plan etatów'!J95/'plan etatów'!$AA$95)</f>
        <v>714.285</v>
      </c>
      <c r="K73" s="49" t="n">
        <f aca="false">IF('plan etatów'!$AA$95=0,0,'nowy format 2'!$J$22*'plan etatów'!K95/'plan etatów'!$AA$95)</f>
        <v>714.285</v>
      </c>
      <c r="L73" s="49" t="n">
        <f aca="false">IF('plan etatów'!$AA$95=0,0,'nowy format 2'!$J$22*'plan etatów'!L95/'plan etatów'!$AA$95)</f>
        <v>714.285</v>
      </c>
      <c r="M73" s="49" t="n">
        <f aca="false">IF('plan etatów'!$AA$95=0,0,'nowy format 2'!$J$22*'plan etatów'!M95/'plan etatów'!$AA$95)</f>
        <v>714.285</v>
      </c>
      <c r="N73" s="49" t="n">
        <f aca="false">IF('plan etatów'!$AA$95=0,0,'nowy format 2'!$J$22*'plan etatów'!N95/'plan etatów'!$AA$95)</f>
        <v>714.285</v>
      </c>
      <c r="O73" s="49" t="n">
        <f aca="false">IF('plan etatów'!$AA$95=0,0,'nowy format 2'!$J$22*'plan etatów'!O95/'plan etatów'!$AA$95)</f>
        <v>0</v>
      </c>
      <c r="P73" s="49" t="n">
        <f aca="false">IF('plan etatów'!$AA$95=0,0,'nowy format 2'!$J$22*'plan etatów'!P95/'plan etatów'!$AA$95)</f>
        <v>0</v>
      </c>
      <c r="Q73" s="49" t="n">
        <f aca="false">IF('plan etatów'!$AA$95=0,0,'nowy format 2'!$J$22*'plan etatów'!Q95/'plan etatów'!$AA$95)</f>
        <v>0</v>
      </c>
      <c r="R73" s="49" t="n">
        <f aca="false">IF('plan etatów'!$AA$95=0,0,'nowy format 2'!$J$22*'plan etatów'!R95/'plan etatów'!$AA$95)</f>
        <v>0</v>
      </c>
      <c r="S73" s="49" t="n">
        <f aca="false">IF('plan etatów'!$AA$95=0,0,'nowy format 2'!$J$22*'plan etatów'!S95/'plan etatów'!$AA$95)</f>
        <v>0</v>
      </c>
      <c r="T73" s="49" t="n">
        <f aca="false">IF('plan etatów'!$AA$95=0,0,'nowy format 2'!$J$22*'plan etatów'!T95/'plan etatów'!$AA$95)</f>
        <v>0</v>
      </c>
      <c r="U73" s="49" t="n">
        <f aca="false">IF('plan etatów'!$AA$95=0,0,'nowy format 2'!$J$22*'plan etatów'!U95/'plan etatów'!$AA$95)</f>
        <v>0</v>
      </c>
      <c r="V73" s="49" t="n">
        <f aca="false">IF('plan etatów'!$AA$95=0,0,'nowy format 2'!$J$22*'plan etatów'!V95/'plan etatów'!$AA$95)</f>
        <v>0</v>
      </c>
      <c r="W73" s="49" t="n">
        <f aca="false">IF('plan etatów'!$AA$95=0,0,'nowy format 2'!$J$22*'plan etatów'!W95/'plan etatów'!$AA$95)</f>
        <v>0</v>
      </c>
      <c r="X73" s="49" t="n">
        <f aca="false">IF('plan etatów'!$AA$95=0,0,'nowy format 2'!$J$22*'plan etatów'!X95/'plan etatów'!$AA$95)</f>
        <v>0</v>
      </c>
      <c r="Y73" s="49" t="n">
        <f aca="false">IF('plan etatów'!$AA$95=0,0,'nowy format 2'!$J$22*'plan etatów'!Y95/'plan etatów'!$AA$95)</f>
        <v>0</v>
      </c>
      <c r="Z73" s="49" t="n">
        <f aca="false">IF('plan etatów'!$AA$95=0,0,'nowy format 2'!$J$22*'plan etatów'!Z95/'plan etatów'!$AA$95)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5714.28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714.285</v>
      </c>
      <c r="P82" s="49" t="n">
        <f aca="false">'plan etatów'!P104</f>
        <v>714.285</v>
      </c>
      <c r="Q82" s="49" t="n">
        <f aca="false">'plan etatów'!Q104</f>
        <v>714.285</v>
      </c>
      <c r="R82" s="49" t="n">
        <f aca="false">'plan etatów'!R104</f>
        <v>714.285</v>
      </c>
      <c r="S82" s="49" t="n">
        <f aca="false">'plan etatów'!S104</f>
        <v>714.285</v>
      </c>
      <c r="T82" s="49" t="n">
        <f aca="false">'plan etatów'!T104</f>
        <v>714.285</v>
      </c>
      <c r="U82" s="49" t="n">
        <f aca="false">'plan etatów'!U104</f>
        <v>714.285</v>
      </c>
      <c r="V82" s="49" t="n">
        <f aca="false">'plan etatów'!V104</f>
        <v>714.285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218791.208069836</v>
      </c>
      <c r="D84" s="49" t="n">
        <f aca="false">'plan etatów'!D106*założenia!$C$19</f>
        <v>0</v>
      </c>
      <c r="E84" s="49" t="n">
        <f aca="false">'plan etatów'!E106*założenia!$C$19</f>
        <v>0</v>
      </c>
      <c r="F84" s="49" t="n">
        <f aca="false">'plan etatów'!F106*założenia!$C$19</f>
        <v>0</v>
      </c>
      <c r="G84" s="49" t="n">
        <f aca="false">'plan etatów'!G106*założenia!$C$19</f>
        <v>0</v>
      </c>
      <c r="H84" s="49" t="n">
        <f aca="false">'plan etatów'!H106*założenia!$C$19</f>
        <v>0</v>
      </c>
      <c r="I84" s="49" t="n">
        <f aca="false">'plan etatów'!I106*założenia!$C$19</f>
        <v>0</v>
      </c>
      <c r="J84" s="49" t="n">
        <f aca="false">'plan etatów'!J106*założenia!$C$19</f>
        <v>0</v>
      </c>
      <c r="K84" s="49" t="n">
        <f aca="false">'plan etatów'!K106*założenia!$C$19</f>
        <v>0</v>
      </c>
      <c r="L84" s="49" t="n">
        <f aca="false">'plan etatów'!L106*założenia!$C$19</f>
        <v>0</v>
      </c>
      <c r="M84" s="49" t="n">
        <f aca="false">'plan etatów'!M106*założenia!$C$19</f>
        <v>0</v>
      </c>
      <c r="N84" s="49" t="n">
        <f aca="false">'plan etatów'!N106*założenia!$C$19</f>
        <v>0</v>
      </c>
      <c r="O84" s="49" t="n">
        <f aca="false">'plan etatów'!O106*założenia!$C$19</f>
        <v>0</v>
      </c>
      <c r="P84" s="49" t="n">
        <f aca="false">'plan etatów'!P106*założenia!$C$19</f>
        <v>0</v>
      </c>
      <c r="Q84" s="49" t="n">
        <f aca="false">'plan etatów'!Q106*założenia!$C$19</f>
        <v>0</v>
      </c>
      <c r="R84" s="49" t="n">
        <f aca="false">'plan etatów'!R106*założenia!$C$19</f>
        <v>0</v>
      </c>
      <c r="S84" s="49" t="n">
        <f aca="false">'plan etatów'!S106*założenia!$C$19</f>
        <v>0</v>
      </c>
      <c r="T84" s="49" t="n">
        <f aca="false">'plan etatów'!T106*założenia!$C$19</f>
        <v>0</v>
      </c>
      <c r="U84" s="49" t="n">
        <f aca="false">'plan etatów'!U106*założenia!$C$19</f>
        <v>0</v>
      </c>
      <c r="V84" s="49" t="n">
        <f aca="false">'plan etatów'!V106*założenia!$C$19</f>
        <v>0</v>
      </c>
      <c r="W84" s="49" t="n">
        <f aca="false">'plan etatów'!W106*założenia!$C$19</f>
        <v>54697.8020174589</v>
      </c>
      <c r="X84" s="49" t="n">
        <f aca="false">'plan etatów'!X106*założenia!$C$19</f>
        <v>54697.8020174589</v>
      </c>
      <c r="Y84" s="49" t="n">
        <f aca="false">'plan etatów'!Y106*założenia!$C$19</f>
        <v>54697.8020174589</v>
      </c>
      <c r="Z84" s="49" t="n">
        <f aca="false">'plan etatów'!Z106*założenia!$C$19</f>
        <v>54697.8020174589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37241.8969692879</v>
      </c>
      <c r="D85" s="49" t="n">
        <f aca="false">'plan etatów'!D107*założenia!$C$19</f>
        <v>0</v>
      </c>
      <c r="E85" s="49" t="n">
        <f aca="false">'plan etatów'!E107*założenia!$C$19</f>
        <v>0</v>
      </c>
      <c r="F85" s="49" t="n">
        <f aca="false">'plan etatów'!F107*założenia!$C$19</f>
        <v>0</v>
      </c>
      <c r="G85" s="49" t="n">
        <f aca="false">'plan etatów'!G107*założenia!$C$19</f>
        <v>0</v>
      </c>
      <c r="H85" s="49" t="n">
        <f aca="false">'plan etatów'!H107*założenia!$C$19</f>
        <v>0</v>
      </c>
      <c r="I85" s="49" t="n">
        <f aca="false">'plan etatów'!I107*założenia!$C$19</f>
        <v>0</v>
      </c>
      <c r="J85" s="49" t="n">
        <f aca="false">'plan etatów'!J107*założenia!$C$19</f>
        <v>0</v>
      </c>
      <c r="K85" s="49" t="n">
        <f aca="false">'plan etatów'!K107*założenia!$C$19</f>
        <v>0</v>
      </c>
      <c r="L85" s="49" t="n">
        <f aca="false">'plan etatów'!L107*założenia!$C$19</f>
        <v>0</v>
      </c>
      <c r="M85" s="49" t="n">
        <f aca="false">'plan etatów'!M107*założenia!$C$19</f>
        <v>0</v>
      </c>
      <c r="N85" s="49" t="n">
        <f aca="false">'plan etatów'!N107*założenia!$C$19</f>
        <v>0</v>
      </c>
      <c r="O85" s="49" t="n">
        <f aca="false">'plan etatów'!O107*założenia!$C$19</f>
        <v>0</v>
      </c>
      <c r="P85" s="49" t="n">
        <f aca="false">'plan etatów'!P107*założenia!$C$19</f>
        <v>0</v>
      </c>
      <c r="Q85" s="49" t="n">
        <f aca="false">'plan etatów'!Q107*założenia!$C$19</f>
        <v>0</v>
      </c>
      <c r="R85" s="49" t="n">
        <f aca="false">'plan etatów'!R107*założenia!$C$19</f>
        <v>0</v>
      </c>
      <c r="S85" s="49" t="n">
        <f aca="false">'plan etatów'!S107*założenia!$C$19</f>
        <v>0</v>
      </c>
      <c r="T85" s="49" t="n">
        <f aca="false">'plan etatów'!T107*założenia!$C$19</f>
        <v>0</v>
      </c>
      <c r="U85" s="49" t="n">
        <f aca="false">'plan etatów'!U107*założenia!$C$19</f>
        <v>0</v>
      </c>
      <c r="V85" s="49" t="n">
        <f aca="false">'plan etatów'!V107*założenia!$C$19</f>
        <v>0</v>
      </c>
      <c r="W85" s="49" t="n">
        <f aca="false">'plan etatów'!W107*założenia!$C$19</f>
        <v>9310.47424232198</v>
      </c>
      <c r="X85" s="49" t="n">
        <f aca="false">'plan etatów'!X107*założenia!$C$19</f>
        <v>9310.47424232198</v>
      </c>
      <c r="Y85" s="49" t="n">
        <f aca="false">'plan etatów'!Y107*założenia!$C$19</f>
        <v>9310.47424232198</v>
      </c>
      <c r="Z85" s="49" t="n">
        <f aca="false">'plan etatów'!Z107*założenia!$C$19</f>
        <v>9310.47424232198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107065.517161972</v>
      </c>
      <c r="D86" s="49" t="n">
        <f aca="false">'plan etatów'!D108*założenia!$C$19</f>
        <v>0</v>
      </c>
      <c r="E86" s="49" t="n">
        <f aca="false">'plan etatów'!E108*założenia!$C$19</f>
        <v>0</v>
      </c>
      <c r="F86" s="49" t="n">
        <f aca="false">'plan etatów'!F108*założenia!$C$19</f>
        <v>0</v>
      </c>
      <c r="G86" s="49" t="n">
        <f aca="false">'plan etatów'!G108*założenia!$C$19</f>
        <v>0</v>
      </c>
      <c r="H86" s="49" t="n">
        <f aca="false">'plan etatów'!H108*założenia!$C$19</f>
        <v>0</v>
      </c>
      <c r="I86" s="49" t="n">
        <f aca="false">'plan etatów'!I108*założenia!$C$19</f>
        <v>0</v>
      </c>
      <c r="J86" s="49" t="n">
        <f aca="false">'plan etatów'!J108*założenia!$C$19</f>
        <v>0</v>
      </c>
      <c r="K86" s="49" t="n">
        <f aca="false">'plan etatów'!K108*założenia!$C$19</f>
        <v>0</v>
      </c>
      <c r="L86" s="49" t="n">
        <f aca="false">'plan etatów'!L108*założenia!$C$19</f>
        <v>0</v>
      </c>
      <c r="M86" s="49" t="n">
        <f aca="false">'plan etatów'!M108*założenia!$C$19</f>
        <v>0</v>
      </c>
      <c r="N86" s="49" t="n">
        <f aca="false">'plan etatów'!N108*założenia!$C$19</f>
        <v>0</v>
      </c>
      <c r="O86" s="49" t="n">
        <f aca="false">'plan etatów'!O108*założenia!$C$19</f>
        <v>0</v>
      </c>
      <c r="P86" s="49" t="n">
        <f aca="false">'plan etatów'!P108*założenia!$C$19</f>
        <v>0</v>
      </c>
      <c r="Q86" s="49" t="n">
        <f aca="false">'plan etatów'!Q108*założenia!$C$19</f>
        <v>0</v>
      </c>
      <c r="R86" s="49" t="n">
        <f aca="false">'plan etatów'!R108*założenia!$C$19</f>
        <v>0</v>
      </c>
      <c r="S86" s="49" t="n">
        <f aca="false">'plan etatów'!S108*założenia!$C$19</f>
        <v>0</v>
      </c>
      <c r="T86" s="49" t="n">
        <f aca="false">'plan etatów'!T108*założenia!$C$19</f>
        <v>0</v>
      </c>
      <c r="U86" s="49" t="n">
        <f aca="false">'plan etatów'!U108*założenia!$C$19</f>
        <v>0</v>
      </c>
      <c r="V86" s="49" t="n">
        <f aca="false">'plan etatów'!V108*założenia!$C$19</f>
        <v>0</v>
      </c>
      <c r="W86" s="49" t="n">
        <f aca="false">'plan etatów'!W108*założenia!$C$19</f>
        <v>26766.379290493</v>
      </c>
      <c r="X86" s="49" t="n">
        <f aca="false">'plan etatów'!X108*założenia!$C$19</f>
        <v>26766.379290493</v>
      </c>
      <c r="Y86" s="49" t="n">
        <f aca="false">'plan etatów'!Y108*założenia!$C$19</f>
        <v>26766.379290493</v>
      </c>
      <c r="Z86" s="49" t="n">
        <f aca="false">'plan etatów'!Z108*założenia!$C$19</f>
        <v>26766.379290493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81454.3080584903</v>
      </c>
      <c r="D87" s="49" t="n">
        <f aca="false">'plan etatów'!D109*założenia!$C$19</f>
        <v>0</v>
      </c>
      <c r="E87" s="49" t="n">
        <f aca="false">'plan etatów'!E109*założenia!$C$19</f>
        <v>0</v>
      </c>
      <c r="F87" s="49" t="n">
        <f aca="false">'plan etatów'!F109*założenia!$C$19</f>
        <v>0</v>
      </c>
      <c r="G87" s="49" t="n">
        <f aca="false">'plan etatów'!G109*założenia!$C$19</f>
        <v>0</v>
      </c>
      <c r="H87" s="49" t="n">
        <f aca="false">'plan etatów'!H109*założenia!$C$19</f>
        <v>0</v>
      </c>
      <c r="I87" s="49" t="n">
        <f aca="false">'plan etatów'!I109*założenia!$C$19</f>
        <v>0</v>
      </c>
      <c r="J87" s="49" t="n">
        <f aca="false">'plan etatów'!J109*założenia!$C$19</f>
        <v>0</v>
      </c>
      <c r="K87" s="49" t="n">
        <f aca="false">'plan etatów'!K109*założenia!$C$19</f>
        <v>0</v>
      </c>
      <c r="L87" s="49" t="n">
        <f aca="false">'plan etatów'!L109*założenia!$C$19</f>
        <v>0</v>
      </c>
      <c r="M87" s="49" t="n">
        <f aca="false">'plan etatów'!M109*założenia!$C$19</f>
        <v>0</v>
      </c>
      <c r="N87" s="49" t="n">
        <f aca="false">'plan etatów'!N109*założenia!$C$19</f>
        <v>0</v>
      </c>
      <c r="O87" s="49" t="n">
        <f aca="false">'plan etatów'!O109*założenia!$C$19</f>
        <v>0</v>
      </c>
      <c r="P87" s="49" t="n">
        <f aca="false">'plan etatów'!P109*założenia!$C$19</f>
        <v>0</v>
      </c>
      <c r="Q87" s="49" t="n">
        <f aca="false">'plan etatów'!Q109*założenia!$C$19</f>
        <v>0</v>
      </c>
      <c r="R87" s="49" t="n">
        <f aca="false">'plan etatów'!R109*założenia!$C$19</f>
        <v>0</v>
      </c>
      <c r="S87" s="49" t="n">
        <f aca="false">'plan etatów'!S109*założenia!$C$19</f>
        <v>0</v>
      </c>
      <c r="T87" s="49" t="n">
        <f aca="false">'plan etatów'!T109*założenia!$C$19</f>
        <v>0</v>
      </c>
      <c r="U87" s="49" t="n">
        <f aca="false">'plan etatów'!U109*założenia!$C$19</f>
        <v>0</v>
      </c>
      <c r="V87" s="49" t="n">
        <f aca="false">'plan etatów'!V109*założenia!$C$19</f>
        <v>0</v>
      </c>
      <c r="W87" s="49" t="n">
        <f aca="false">'plan etatów'!W109*założenia!$C$19</f>
        <v>20363.5770146226</v>
      </c>
      <c r="X87" s="49" t="n">
        <f aca="false">'plan etatów'!X109*założenia!$C$19</f>
        <v>20363.5770146226</v>
      </c>
      <c r="Y87" s="49" t="n">
        <f aca="false">'plan etatów'!Y109*założenia!$C$19</f>
        <v>20363.5770146226</v>
      </c>
      <c r="Z87" s="49" t="n">
        <f aca="false">'plan etatów'!Z109*założenia!$C$19</f>
        <v>20363.5770146226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29382.7903978263</v>
      </c>
      <c r="D88" s="49" t="n">
        <f aca="false">'plan etatów'!D110*założenia!$C$19</f>
        <v>0</v>
      </c>
      <c r="E88" s="49" t="n">
        <f aca="false">'plan etatów'!E110*założenia!$C$19</f>
        <v>0</v>
      </c>
      <c r="F88" s="49" t="n">
        <f aca="false">'plan etatów'!F110*założenia!$C$19</f>
        <v>0</v>
      </c>
      <c r="G88" s="49" t="n">
        <f aca="false">'plan etatów'!G110*założenia!$C$19</f>
        <v>0</v>
      </c>
      <c r="H88" s="49" t="n">
        <f aca="false">'plan etatów'!H110*założenia!$C$19</f>
        <v>0</v>
      </c>
      <c r="I88" s="49" t="n">
        <f aca="false">'plan etatów'!I110*założenia!$C$19</f>
        <v>0</v>
      </c>
      <c r="J88" s="49" t="n">
        <f aca="false">'plan etatów'!J110*założenia!$C$19</f>
        <v>0</v>
      </c>
      <c r="K88" s="49" t="n">
        <f aca="false">'plan etatów'!K110*założenia!$C$19</f>
        <v>0</v>
      </c>
      <c r="L88" s="49" t="n">
        <f aca="false">'plan etatów'!L110*założenia!$C$19</f>
        <v>0</v>
      </c>
      <c r="M88" s="49" t="n">
        <f aca="false">'plan etatów'!M110*założenia!$C$19</f>
        <v>0</v>
      </c>
      <c r="N88" s="49" t="n">
        <f aca="false">'plan etatów'!N110*założenia!$C$19</f>
        <v>0</v>
      </c>
      <c r="O88" s="49" t="n">
        <f aca="false">'plan etatów'!O110*założenia!$C$19</f>
        <v>0</v>
      </c>
      <c r="P88" s="49" t="n">
        <f aca="false">'plan etatów'!P110*założenia!$C$19</f>
        <v>0</v>
      </c>
      <c r="Q88" s="49" t="n">
        <f aca="false">'plan etatów'!Q110*założenia!$C$19</f>
        <v>0</v>
      </c>
      <c r="R88" s="49" t="n">
        <f aca="false">'plan etatów'!R110*założenia!$C$19</f>
        <v>0</v>
      </c>
      <c r="S88" s="49" t="n">
        <f aca="false">'plan etatów'!S110*założenia!$C$19</f>
        <v>0</v>
      </c>
      <c r="T88" s="49" t="n">
        <f aca="false">'plan etatów'!T110*założenia!$C$19</f>
        <v>0</v>
      </c>
      <c r="U88" s="49" t="n">
        <f aca="false">'plan etatów'!U110*założenia!$C$19</f>
        <v>0</v>
      </c>
      <c r="V88" s="49" t="n">
        <f aca="false">'plan etatów'!V110*założenia!$C$19</f>
        <v>0</v>
      </c>
      <c r="W88" s="49" t="n">
        <f aca="false">'plan etatów'!W110*założenia!$C$19</f>
        <v>7345.69759945658</v>
      </c>
      <c r="X88" s="49" t="n">
        <f aca="false">'plan etatów'!X110*założenia!$C$19</f>
        <v>7345.69759945658</v>
      </c>
      <c r="Y88" s="49" t="n">
        <f aca="false">'plan etatów'!Y110*założenia!$C$19</f>
        <v>7345.69759945658</v>
      </c>
      <c r="Z88" s="49" t="n">
        <f aca="false">'plan etatów'!Z110*założenia!$C$19</f>
        <v>7345.69759945658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81454.3080584903</v>
      </c>
      <c r="D89" s="49" t="n">
        <f aca="false">'plan etatów'!D111*założenia!$C$19</f>
        <v>0</v>
      </c>
      <c r="E89" s="49" t="n">
        <f aca="false">'plan etatów'!E111*założenia!$C$19</f>
        <v>0</v>
      </c>
      <c r="F89" s="49" t="n">
        <f aca="false">'plan etatów'!F111*założenia!$C$19</f>
        <v>0</v>
      </c>
      <c r="G89" s="49" t="n">
        <f aca="false">'plan etatów'!G111*założenia!$C$19</f>
        <v>0</v>
      </c>
      <c r="H89" s="49" t="n">
        <f aca="false">'plan etatów'!H111*założenia!$C$19</f>
        <v>0</v>
      </c>
      <c r="I89" s="49" t="n">
        <f aca="false">'plan etatów'!I111*założenia!$C$19</f>
        <v>0</v>
      </c>
      <c r="J89" s="49" t="n">
        <f aca="false">'plan etatów'!J111*założenia!$C$19</f>
        <v>0</v>
      </c>
      <c r="K89" s="49" t="n">
        <f aca="false">'plan etatów'!K111*założenia!$C$19</f>
        <v>0</v>
      </c>
      <c r="L89" s="49" t="n">
        <f aca="false">'plan etatów'!L111*założenia!$C$19</f>
        <v>0</v>
      </c>
      <c r="M89" s="49" t="n">
        <f aca="false">'plan etatów'!M111*założenia!$C$19</f>
        <v>0</v>
      </c>
      <c r="N89" s="49" t="n">
        <f aca="false">'plan etatów'!N111*założenia!$C$19</f>
        <v>0</v>
      </c>
      <c r="O89" s="49" t="n">
        <f aca="false">'plan etatów'!O111*założenia!$C$19</f>
        <v>0</v>
      </c>
      <c r="P89" s="49" t="n">
        <f aca="false">'plan etatów'!P111*założenia!$C$19</f>
        <v>0</v>
      </c>
      <c r="Q89" s="49" t="n">
        <f aca="false">'plan etatów'!Q111*założenia!$C$19</f>
        <v>0</v>
      </c>
      <c r="R89" s="49" t="n">
        <f aca="false">'plan etatów'!R111*założenia!$C$19</f>
        <v>0</v>
      </c>
      <c r="S89" s="49" t="n">
        <f aca="false">'plan etatów'!S111*założenia!$C$19</f>
        <v>0</v>
      </c>
      <c r="T89" s="49" t="n">
        <f aca="false">'plan etatów'!T111*założenia!$C$19</f>
        <v>0</v>
      </c>
      <c r="U89" s="49" t="n">
        <f aca="false">'plan etatów'!U111*założenia!$C$19</f>
        <v>0</v>
      </c>
      <c r="V89" s="49" t="n">
        <f aca="false">'plan etatów'!V111*założenia!$C$19</f>
        <v>0</v>
      </c>
      <c r="W89" s="49" t="n">
        <f aca="false">'plan etatów'!W111*założenia!$C$19</f>
        <v>20363.5770146226</v>
      </c>
      <c r="X89" s="49" t="n">
        <f aca="false">'plan etatów'!X111*założenia!$C$19</f>
        <v>20363.5770146226</v>
      </c>
      <c r="Y89" s="49" t="n">
        <f aca="false">'plan etatów'!Y111*założenia!$C$19</f>
        <v>20363.5770146226</v>
      </c>
      <c r="Z89" s="49" t="n">
        <f aca="false">'plan etatów'!Z111*założenia!$C$19</f>
        <v>20363.5770146226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2820.92559668164</v>
      </c>
      <c r="D90" s="49" t="n">
        <f aca="false">'plan etatów'!D112*założenia!$C$19</f>
        <v>0</v>
      </c>
      <c r="E90" s="49" t="n">
        <f aca="false">'plan etatów'!E112*założenia!$C$19</f>
        <v>0</v>
      </c>
      <c r="F90" s="49" t="n">
        <f aca="false">'plan etatów'!F112*założenia!$C$19</f>
        <v>0</v>
      </c>
      <c r="G90" s="49" t="n">
        <f aca="false">'plan etatów'!G112*założenia!$C$19</f>
        <v>0</v>
      </c>
      <c r="H90" s="49" t="n">
        <f aca="false">'plan etatów'!H112*założenia!$C$19</f>
        <v>0</v>
      </c>
      <c r="I90" s="49" t="n">
        <f aca="false">'plan etatów'!I112*założenia!$C$19</f>
        <v>0</v>
      </c>
      <c r="J90" s="49" t="n">
        <f aca="false">'plan etatów'!J112*założenia!$C$19</f>
        <v>0</v>
      </c>
      <c r="K90" s="49" t="n">
        <f aca="false">'plan etatów'!K112*założenia!$C$19</f>
        <v>0</v>
      </c>
      <c r="L90" s="49" t="n">
        <f aca="false">'plan etatów'!L112*założenia!$C$19</f>
        <v>0</v>
      </c>
      <c r="M90" s="49" t="n">
        <f aca="false">'plan etatów'!M112*założenia!$C$19</f>
        <v>0</v>
      </c>
      <c r="N90" s="49" t="n">
        <f aca="false">'plan etatów'!N112*założenia!$C$19</f>
        <v>0</v>
      </c>
      <c r="O90" s="49" t="n">
        <f aca="false">'plan etatów'!O112*założenia!$C$19</f>
        <v>0</v>
      </c>
      <c r="P90" s="49" t="n">
        <f aca="false">'plan etatów'!P112*założenia!$C$19</f>
        <v>0</v>
      </c>
      <c r="Q90" s="49" t="n">
        <f aca="false">'plan etatów'!Q112*założenia!$C$19</f>
        <v>0</v>
      </c>
      <c r="R90" s="49" t="n">
        <f aca="false">'plan etatów'!R112*założenia!$C$19</f>
        <v>0</v>
      </c>
      <c r="S90" s="49" t="n">
        <f aca="false">'plan etatów'!S112*założenia!$C$19</f>
        <v>0</v>
      </c>
      <c r="T90" s="49" t="n">
        <f aca="false">'plan etatów'!T112*założenia!$C$19</f>
        <v>0</v>
      </c>
      <c r="U90" s="49" t="n">
        <f aca="false">'plan etatów'!U112*założenia!$C$19</f>
        <v>0</v>
      </c>
      <c r="V90" s="49" t="n">
        <f aca="false">'plan etatów'!V112*założenia!$C$19</f>
        <v>0</v>
      </c>
      <c r="W90" s="49" t="n">
        <f aca="false">'plan etatów'!W112*założenia!$C$19</f>
        <v>705.231399170409</v>
      </c>
      <c r="X90" s="49" t="n">
        <f aca="false">'plan etatów'!X112*założenia!$C$19</f>
        <v>705.231399170409</v>
      </c>
      <c r="Y90" s="49" t="n">
        <f aca="false">'plan etatów'!Y112*założenia!$C$19</f>
        <v>705.231399170409</v>
      </c>
      <c r="Z90" s="49" t="n">
        <f aca="false">'plan etatów'!Z112*założenia!$C$19</f>
        <v>705.231399170409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77998.670746918</v>
      </c>
      <c r="D91" s="49" t="n">
        <f aca="false">'plan etatów'!D113*założenia!$C$19</f>
        <v>0</v>
      </c>
      <c r="E91" s="49" t="n">
        <f aca="false">'plan etatów'!E113*założenia!$C$19</f>
        <v>0</v>
      </c>
      <c r="F91" s="49" t="n">
        <f aca="false">'plan etatów'!F113*założenia!$C$19</f>
        <v>0</v>
      </c>
      <c r="G91" s="49" t="n">
        <f aca="false">'plan etatów'!G113*założenia!$C$19</f>
        <v>0</v>
      </c>
      <c r="H91" s="49" t="n">
        <f aca="false">'plan etatów'!H113*założenia!$C$19</f>
        <v>0</v>
      </c>
      <c r="I91" s="49" t="n">
        <f aca="false">'plan etatów'!I113*założenia!$C$19</f>
        <v>0</v>
      </c>
      <c r="J91" s="49" t="n">
        <f aca="false">'plan etatów'!J113*założenia!$C$19</f>
        <v>0</v>
      </c>
      <c r="K91" s="49" t="n">
        <f aca="false">'plan etatów'!K113*założenia!$C$19</f>
        <v>0</v>
      </c>
      <c r="L91" s="49" t="n">
        <f aca="false">'plan etatów'!L113*założenia!$C$19</f>
        <v>0</v>
      </c>
      <c r="M91" s="49" t="n">
        <f aca="false">'plan etatów'!M113*założenia!$C$19</f>
        <v>0</v>
      </c>
      <c r="N91" s="49" t="n">
        <f aca="false">'plan etatów'!N113*założenia!$C$19</f>
        <v>0</v>
      </c>
      <c r="O91" s="49" t="n">
        <f aca="false">'plan etatów'!O113*założenia!$C$19</f>
        <v>0</v>
      </c>
      <c r="P91" s="49" t="n">
        <f aca="false">'plan etatów'!P113*założenia!$C$19</f>
        <v>0</v>
      </c>
      <c r="Q91" s="49" t="n">
        <f aca="false">'plan etatów'!Q113*założenia!$C$19</f>
        <v>0</v>
      </c>
      <c r="R91" s="49" t="n">
        <f aca="false">'plan etatów'!R113*założenia!$C$19</f>
        <v>0</v>
      </c>
      <c r="S91" s="49" t="n">
        <f aca="false">'plan etatów'!S113*założenia!$C$19</f>
        <v>0</v>
      </c>
      <c r="T91" s="49" t="n">
        <f aca="false">'plan etatów'!T113*założenia!$C$19</f>
        <v>0</v>
      </c>
      <c r="U91" s="49" t="n">
        <f aca="false">'plan etatów'!U113*założenia!$C$19</f>
        <v>0</v>
      </c>
      <c r="V91" s="49" t="n">
        <f aca="false">'plan etatów'!V113*założenia!$C$19</f>
        <v>0</v>
      </c>
      <c r="W91" s="49" t="n">
        <f aca="false">'plan etatów'!W113*założenia!$C$19</f>
        <v>19499.6676867295</v>
      </c>
      <c r="X91" s="49" t="n">
        <f aca="false">'plan etatów'!X113*założenia!$C$19</f>
        <v>19499.6676867295</v>
      </c>
      <c r="Y91" s="49" t="n">
        <f aca="false">'plan etatów'!Y113*założenia!$C$19</f>
        <v>19499.6676867295</v>
      </c>
      <c r="Z91" s="49" t="n">
        <f aca="false">'plan etatów'!Z113*założenia!$C$19</f>
        <v>19499.6676867295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19430.554940498</v>
      </c>
      <c r="D92" s="49" t="n">
        <f aca="false">'plan etatów'!D114*założenia!$C$19</f>
        <v>0</v>
      </c>
      <c r="E92" s="49" t="n">
        <f aca="false">'plan etatów'!E114*założenia!$C$19</f>
        <v>0</v>
      </c>
      <c r="F92" s="49" t="n">
        <f aca="false">'plan etatów'!F114*założenia!$C$19</f>
        <v>0</v>
      </c>
      <c r="G92" s="49" t="n">
        <f aca="false">'plan etatów'!G114*założenia!$C$19</f>
        <v>0</v>
      </c>
      <c r="H92" s="49" t="n">
        <f aca="false">'plan etatów'!H114*założenia!$C$19</f>
        <v>0</v>
      </c>
      <c r="I92" s="49" t="n">
        <f aca="false">'plan etatów'!I114*założenia!$C$19</f>
        <v>0</v>
      </c>
      <c r="J92" s="49" t="n">
        <f aca="false">'plan etatów'!J114*założenia!$C$19</f>
        <v>0</v>
      </c>
      <c r="K92" s="49" t="n">
        <f aca="false">'plan etatów'!K114*założenia!$C$19</f>
        <v>0</v>
      </c>
      <c r="L92" s="49" t="n">
        <f aca="false">'plan etatów'!L114*założenia!$C$19</f>
        <v>0</v>
      </c>
      <c r="M92" s="49" t="n">
        <f aca="false">'plan etatów'!M114*założenia!$C$19</f>
        <v>0</v>
      </c>
      <c r="N92" s="49" t="n">
        <f aca="false">'plan etatów'!N114*założenia!$C$19</f>
        <v>0</v>
      </c>
      <c r="O92" s="49" t="n">
        <f aca="false">'plan etatów'!O114*założenia!$C$19</f>
        <v>0</v>
      </c>
      <c r="P92" s="49" t="n">
        <f aca="false">'plan etatów'!P114*założenia!$C$19</f>
        <v>0</v>
      </c>
      <c r="Q92" s="49" t="n">
        <f aca="false">'plan etatów'!Q114*założenia!$C$19</f>
        <v>0</v>
      </c>
      <c r="R92" s="49" t="n">
        <f aca="false">'plan etatów'!R114*założenia!$C$19</f>
        <v>0</v>
      </c>
      <c r="S92" s="49" t="n">
        <f aca="false">'plan etatów'!S114*założenia!$C$19</f>
        <v>0</v>
      </c>
      <c r="T92" s="49" t="n">
        <f aca="false">'plan etatów'!T114*założenia!$C$19</f>
        <v>0</v>
      </c>
      <c r="U92" s="49" t="n">
        <f aca="false">'plan etatów'!U114*założenia!$C$19</f>
        <v>0</v>
      </c>
      <c r="V92" s="49" t="n">
        <f aca="false">'plan etatów'!V114*założenia!$C$19</f>
        <v>0</v>
      </c>
      <c r="W92" s="49" t="n">
        <f aca="false">'plan etatów'!W114*założenia!$C$19</f>
        <v>4857.63873512451</v>
      </c>
      <c r="X92" s="49" t="n">
        <f aca="false">'plan etatów'!X114*założenia!$C$19</f>
        <v>4857.63873512451</v>
      </c>
      <c r="Y92" s="49" t="n">
        <f aca="false">'plan etatów'!Y114*założenia!$C$19</f>
        <v>4857.63873512451</v>
      </c>
      <c r="Z92" s="49" t="n">
        <f aca="false">'plan etatów'!Z114*założenia!$C$19</f>
        <v>4857.63873512451</v>
      </c>
    </row>
    <row r="93" customFormat="false" ht="15" hidden="false" customHeight="false" outlineLevel="0" collapsed="false">
      <c r="A93" s="40" t="s">
        <v>231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232</v>
      </c>
      <c r="B94" s="40" t="n">
        <v>2</v>
      </c>
      <c r="C94" s="63" t="n">
        <f aca="false">SUMIF($B$56:$B$92,2,C$56:C$92)</f>
        <v>1010778.92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168463.153333333</v>
      </c>
      <c r="J94" s="63" t="n">
        <f aca="false">SUMIF($B$56:$B$92,2,J$56:J$92)</f>
        <v>168463.153333333</v>
      </c>
      <c r="K94" s="63" t="n">
        <f aca="false">SUMIF($B$56:$B$92,2,K$56:K$92)</f>
        <v>168463.153333333</v>
      </c>
      <c r="L94" s="63" t="n">
        <f aca="false">SUMIF($B$56:$B$92,2,L$56:L$92)</f>
        <v>168463.153333333</v>
      </c>
      <c r="M94" s="63" t="n">
        <f aca="false">SUMIF($B$56:$B$92,2,M$56:M$92)</f>
        <v>168463.153333333</v>
      </c>
      <c r="N94" s="63" t="n">
        <f aca="false">SUMIF($B$56:$B$92,2,N$56:N$92)</f>
        <v>168463.153333333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233</v>
      </c>
      <c r="B95" s="40" t="n">
        <v>3</v>
      </c>
      <c r="C95" s="63" t="n">
        <f aca="false">SUMIF($B$56:$B$92,3,C$56:C$92)</f>
        <v>1389999.28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168666.785</v>
      </c>
      <c r="P95" s="63" t="n">
        <f aca="false">SUMIF($B$56:$B$92,3,P$56:P$92)</f>
        <v>168666.785</v>
      </c>
      <c r="Q95" s="63" t="n">
        <f aca="false">SUMIF($B$56:$B$92,3,Q$56:Q$92)</f>
        <v>175444.285</v>
      </c>
      <c r="R95" s="63" t="n">
        <f aca="false">SUMIF($B$56:$B$92,3,R$56:R$92)</f>
        <v>175444.285</v>
      </c>
      <c r="S95" s="63" t="n">
        <f aca="false">SUMIF($B$56:$B$92,3,S$56:S$92)</f>
        <v>175444.285</v>
      </c>
      <c r="T95" s="63" t="n">
        <f aca="false">SUMIF($B$56:$B$92,3,T$56:T$92)</f>
        <v>175444.285</v>
      </c>
      <c r="U95" s="63" t="n">
        <f aca="false">SUMIF($B$56:$B$92,3,U$56:U$92)</f>
        <v>175444.285</v>
      </c>
      <c r="V95" s="63" t="n">
        <f aca="false">SUMIF($B$56:$B$92,3,V$56:V$92)</f>
        <v>175444.285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234</v>
      </c>
      <c r="B96" s="40" t="n">
        <v>4</v>
      </c>
      <c r="C96" s="63" t="n">
        <f aca="false">SUMIF($B$56:$B$92,4,C$56:C$92)</f>
        <v>655640.18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163910.045</v>
      </c>
      <c r="X96" s="63" t="n">
        <f aca="false">SUMIF($B$56:$B$92,4,X$56:X$92)</f>
        <v>163910.045</v>
      </c>
      <c r="Y96" s="63" t="n">
        <f aca="false">SUMIF($B$56:$B$92,4,Y$56:Y$92)</f>
        <v>163910.045</v>
      </c>
      <c r="Z96" s="63" t="n">
        <f aca="false">SUMIF($B$56:$B$92,4,Z$56:Z$92)</f>
        <v>163910.045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3863843.25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168463.153333333</v>
      </c>
      <c r="J97" s="63" t="n">
        <f aca="false">SUM(J93:J96)</f>
        <v>168463.153333333</v>
      </c>
      <c r="K97" s="63" t="n">
        <f aca="false">SUM(K93:K96)</f>
        <v>168463.153333333</v>
      </c>
      <c r="L97" s="63" t="n">
        <f aca="false">SUM(L93:L96)</f>
        <v>168463.153333333</v>
      </c>
      <c r="M97" s="63" t="n">
        <f aca="false">SUM(M93:M96)</f>
        <v>168463.153333333</v>
      </c>
      <c r="N97" s="63" t="n">
        <f aca="false">SUM(N93:N96)</f>
        <v>168463.153333333</v>
      </c>
      <c r="O97" s="63" t="n">
        <f aca="false">SUM(O93:O96)</f>
        <v>168666.785</v>
      </c>
      <c r="P97" s="63" t="n">
        <f aca="false">SUM(P93:P96)</f>
        <v>168666.785</v>
      </c>
      <c r="Q97" s="63" t="n">
        <f aca="false">SUM(Q93:Q96)</f>
        <v>175444.285</v>
      </c>
      <c r="R97" s="63" t="n">
        <f aca="false">SUM(R93:R96)</f>
        <v>175444.285</v>
      </c>
      <c r="S97" s="63" t="n">
        <f aca="false">SUM(S93:S96)</f>
        <v>175444.285</v>
      </c>
      <c r="T97" s="63" t="n">
        <f aca="false">SUM(T93:T96)</f>
        <v>175444.285</v>
      </c>
      <c r="U97" s="63" t="n">
        <f aca="false">SUM(U93:U96)</f>
        <v>175444.285</v>
      </c>
      <c r="V97" s="63" t="n">
        <f aca="false">SUM(V93:V96)</f>
        <v>175444.285</v>
      </c>
      <c r="W97" s="63" t="n">
        <f aca="false">SUM(W93:W96)</f>
        <v>163910.045</v>
      </c>
      <c r="X97" s="63" t="n">
        <f aca="false">SUM(X93:X96)</f>
        <v>163910.045</v>
      </c>
      <c r="Y97" s="63" t="n">
        <f aca="false">SUM(Y93:Y96)</f>
        <v>163910.045</v>
      </c>
      <c r="Z97" s="63" t="n">
        <f aca="false">SUM(Z93:Z96)</f>
        <v>163910.045</v>
      </c>
    </row>
    <row r="98" customFormat="false" ht="15" hidden="false" customHeight="false" outlineLevel="0" collapsed="false">
      <c r="A98" s="40" t="s">
        <v>235</v>
      </c>
      <c r="B98" s="40"/>
      <c r="C98" s="63" t="n">
        <f aca="false">0.25*C97</f>
        <v>965960.8125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42115.7883333333</v>
      </c>
      <c r="J98" s="63" t="n">
        <f aca="false">0.25*J97</f>
        <v>42115.7883333333</v>
      </c>
      <c r="K98" s="63" t="n">
        <f aca="false">0.25*K97</f>
        <v>42115.7883333333</v>
      </c>
      <c r="L98" s="63" t="n">
        <f aca="false">0.25*L97</f>
        <v>42115.7883333333</v>
      </c>
      <c r="M98" s="63" t="n">
        <f aca="false">0.25*M97</f>
        <v>42115.7883333333</v>
      </c>
      <c r="N98" s="63" t="n">
        <f aca="false">0.25*N97</f>
        <v>42115.7883333333</v>
      </c>
      <c r="O98" s="63" t="n">
        <f aca="false">0.25*O97</f>
        <v>42166.69625</v>
      </c>
      <c r="P98" s="63" t="n">
        <f aca="false">0.25*P97</f>
        <v>42166.69625</v>
      </c>
      <c r="Q98" s="63" t="n">
        <f aca="false">0.25*Q97</f>
        <v>43861.07125</v>
      </c>
      <c r="R98" s="63" t="n">
        <f aca="false">0.25*R97</f>
        <v>43861.07125</v>
      </c>
      <c r="S98" s="63" t="n">
        <f aca="false">0.25*S97</f>
        <v>43861.07125</v>
      </c>
      <c r="T98" s="63" t="n">
        <f aca="false">0.25*T97</f>
        <v>43861.07125</v>
      </c>
      <c r="U98" s="63" t="n">
        <f aca="false">0.25*U97</f>
        <v>43861.07125</v>
      </c>
      <c r="V98" s="63" t="n">
        <f aca="false">0.25*V97</f>
        <v>43861.07125</v>
      </c>
      <c r="W98" s="63" t="n">
        <f aca="false">0.25*W97</f>
        <v>40977.51125</v>
      </c>
      <c r="X98" s="63" t="n">
        <f aca="false">0.25*X97</f>
        <v>40977.51125</v>
      </c>
      <c r="Y98" s="63" t="n">
        <f aca="false">0.25*Y97</f>
        <v>40977.51125</v>
      </c>
      <c r="Z98" s="63" t="n">
        <f aca="false">0.25*Z97</f>
        <v>40977.51125</v>
      </c>
    </row>
    <row r="99" customFormat="false" ht="15" hidden="false" customHeight="false" outlineLevel="0" collapsed="false">
      <c r="A99" s="40" t="s">
        <v>236</v>
      </c>
      <c r="B99" s="40"/>
      <c r="C99" s="63" t="n">
        <f aca="false">C97+C98</f>
        <v>4829804.0625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210578.941666667</v>
      </c>
      <c r="J99" s="63" t="n">
        <f aca="false">J97+J98</f>
        <v>210578.941666667</v>
      </c>
      <c r="K99" s="63" t="n">
        <f aca="false">K97+K98</f>
        <v>210578.941666667</v>
      </c>
      <c r="L99" s="63" t="n">
        <f aca="false">L97+L98</f>
        <v>210578.941666667</v>
      </c>
      <c r="M99" s="63" t="n">
        <f aca="false">M97+M98</f>
        <v>210578.941666667</v>
      </c>
      <c r="N99" s="63" t="n">
        <f aca="false">N97+N98</f>
        <v>210578.941666667</v>
      </c>
      <c r="O99" s="63" t="n">
        <f aca="false">O97+O98</f>
        <v>210833.48125</v>
      </c>
      <c r="P99" s="63" t="n">
        <f aca="false">P97+P98</f>
        <v>210833.48125</v>
      </c>
      <c r="Q99" s="63" t="n">
        <f aca="false">Q97+Q98</f>
        <v>219305.35625</v>
      </c>
      <c r="R99" s="63" t="n">
        <f aca="false">R97+R98</f>
        <v>219305.35625</v>
      </c>
      <c r="S99" s="63" t="n">
        <f aca="false">S97+S98</f>
        <v>219305.35625</v>
      </c>
      <c r="T99" s="63" t="n">
        <f aca="false">T97+T98</f>
        <v>219305.35625</v>
      </c>
      <c r="U99" s="63" t="n">
        <f aca="false">U97+U98</f>
        <v>219305.35625</v>
      </c>
      <c r="V99" s="63" t="n">
        <f aca="false">V97+V98</f>
        <v>219305.35625</v>
      </c>
      <c r="W99" s="63" t="n">
        <f aca="false">W97+W98</f>
        <v>204887.55625</v>
      </c>
      <c r="X99" s="63" t="n">
        <f aca="false">X97+X98</f>
        <v>204887.55625</v>
      </c>
      <c r="Y99" s="63" t="n">
        <f aca="false">Y97+Y98</f>
        <v>204887.55625</v>
      </c>
      <c r="Z99" s="63" t="n">
        <f aca="false">Z97+Z98</f>
        <v>204887.55625</v>
      </c>
    </row>
    <row r="100" customFormat="false" ht="15" hidden="false" customHeight="false" outlineLevel="0" collapsed="false">
      <c r="A100" s="40" t="s">
        <v>237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1219860.02916667</v>
      </c>
      <c r="J100" s="63" t="n">
        <f aca="false">I100+J99</f>
        <v>1430438.97083333</v>
      </c>
      <c r="K100" s="63" t="n">
        <f aca="false">J100+K99</f>
        <v>1641017.9125</v>
      </c>
      <c r="L100" s="63" t="n">
        <f aca="false">K100+L99</f>
        <v>1851596.85416667</v>
      </c>
      <c r="M100" s="63" t="n">
        <f aca="false">L100+M99</f>
        <v>2062175.79583333</v>
      </c>
      <c r="N100" s="63" t="n">
        <f aca="false">M100+N99</f>
        <v>2272754.7375</v>
      </c>
      <c r="O100" s="63" t="n">
        <f aca="false">N100+O99</f>
        <v>2483588.21875</v>
      </c>
      <c r="P100" s="63" t="n">
        <f aca="false">O100+P99</f>
        <v>2694421.7</v>
      </c>
      <c r="Q100" s="63" t="n">
        <f aca="false">P100+Q99</f>
        <v>2913727.05625</v>
      </c>
      <c r="R100" s="63" t="n">
        <f aca="false">Q100+R99</f>
        <v>3133032.4125</v>
      </c>
      <c r="S100" s="63" t="n">
        <f aca="false">R100+S99</f>
        <v>3352337.76875</v>
      </c>
      <c r="T100" s="63" t="n">
        <f aca="false">S100+T99</f>
        <v>3571643.125</v>
      </c>
      <c r="U100" s="63" t="n">
        <f aca="false">T100+U99</f>
        <v>3790948.48125</v>
      </c>
      <c r="V100" s="63" t="n">
        <f aca="false">U100+V99</f>
        <v>4010253.8375</v>
      </c>
      <c r="W100" s="63" t="n">
        <f aca="false">V100+W99</f>
        <v>4215141.39375</v>
      </c>
      <c r="X100" s="63" t="n">
        <f aca="false">W100+X99</f>
        <v>4420028.95</v>
      </c>
      <c r="Y100" s="63" t="n">
        <f aca="false">X100+Y99</f>
        <v>4624916.50625</v>
      </c>
      <c r="Z100" s="63" t="n">
        <f aca="false">Y100+Z99</f>
        <v>4829804.0625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239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231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232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233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234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235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236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237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240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0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0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3428.56</v>
      </c>
      <c r="D167" s="49" t="n">
        <f aca="false">IF('plan etatów'!$AA$95=0,0,'nowy format 2'!$K$22*'plan etatów'!D95/'plan etatów'!$AA$95)</f>
        <v>0</v>
      </c>
      <c r="E167" s="49" t="n">
        <f aca="false">IF('plan etatów'!$AA$95=0,0,'nowy format 2'!$K$22*'plan etatów'!E95/'plan etatów'!$AA$95)</f>
        <v>0</v>
      </c>
      <c r="F167" s="49" t="n">
        <f aca="false">IF('plan etatów'!$AA$95=0,0,'nowy format 2'!$K$22*'plan etatów'!F95/'plan etatów'!$AA$95)</f>
        <v>0</v>
      </c>
      <c r="G167" s="49" t="n">
        <f aca="false">IF('plan etatów'!$AA$95=0,0,'nowy format 2'!$K$22*'plan etatów'!G95/'plan etatów'!$AA$95)</f>
        <v>0</v>
      </c>
      <c r="H167" s="49" t="n">
        <f aca="false">IF('plan etatów'!$AA$95=0,0,'nowy format 2'!$K$22*'plan etatów'!H95/'plan etatów'!$AA$95)</f>
        <v>0</v>
      </c>
      <c r="I167" s="49" t="n">
        <f aca="false">IF('plan etatów'!$AA$95=0,0,'nowy format 2'!$K$22*'plan etatów'!I95/'plan etatów'!$AA$95)</f>
        <v>571.426666666667</v>
      </c>
      <c r="J167" s="49" t="n">
        <f aca="false">IF('plan etatów'!$AA$95=0,0,'nowy format 2'!$K$22*'plan etatów'!J95/'plan etatów'!$AA$95)</f>
        <v>571.426666666667</v>
      </c>
      <c r="K167" s="49" t="n">
        <f aca="false">IF('plan etatów'!$AA$95=0,0,'nowy format 2'!$K$22*'plan etatów'!K95/'plan etatów'!$AA$95)</f>
        <v>571.426666666667</v>
      </c>
      <c r="L167" s="49" t="n">
        <f aca="false">IF('plan etatów'!$AA$95=0,0,'nowy format 2'!$K$22*'plan etatów'!L95/'plan etatów'!$AA$95)</f>
        <v>571.426666666667</v>
      </c>
      <c r="M167" s="49" t="n">
        <f aca="false">IF('plan etatów'!$AA$95=0,0,'nowy format 2'!$K$22*'plan etatów'!M95/'plan etatów'!$AA$95)</f>
        <v>571.426666666667</v>
      </c>
      <c r="N167" s="49" t="n">
        <f aca="false">IF('plan etatów'!$AA$95=0,0,'nowy format 2'!$K$22*'plan etatów'!N95/'plan etatów'!$AA$95)</f>
        <v>571.426666666667</v>
      </c>
      <c r="O167" s="49" t="n">
        <f aca="false">IF('plan etatów'!$AA$95=0,0,'nowy format 2'!$K$22*'plan etatów'!O95/'plan etatów'!$AA$95)</f>
        <v>0</v>
      </c>
      <c r="P167" s="49" t="n">
        <f aca="false">IF('plan etatów'!$AA$95=0,0,'nowy format 2'!$K$22*'plan etatów'!P95/'plan etatów'!$AA$95)</f>
        <v>0</v>
      </c>
      <c r="Q167" s="49" t="n">
        <f aca="false">IF('plan etatów'!$AA$95=0,0,'nowy format 2'!$K$22*'plan etatów'!Q95/'plan etatów'!$AA$95)</f>
        <v>0</v>
      </c>
      <c r="R167" s="49" t="n">
        <f aca="false">IF('plan etatów'!$AA$95=0,0,'nowy format 2'!$K$22*'plan etatów'!R95/'plan etatów'!$AA$95)</f>
        <v>0</v>
      </c>
      <c r="S167" s="49" t="n">
        <f aca="false">IF('plan etatów'!$AA$95=0,0,'nowy format 2'!$K$22*'plan etatów'!S95/'plan etatów'!$AA$95)</f>
        <v>0</v>
      </c>
      <c r="T167" s="49" t="n">
        <f aca="false">IF('plan etatów'!$AA$95=0,0,'nowy format 2'!$K$22*'plan etatów'!T95/'plan etatów'!$AA$95)</f>
        <v>0</v>
      </c>
      <c r="U167" s="49" t="n">
        <f aca="false">IF('plan etatów'!$AA$95=0,0,'nowy format 2'!$K$22*'plan etatów'!U95/'plan etatów'!$AA$95)</f>
        <v>0</v>
      </c>
      <c r="V167" s="49" t="n">
        <f aca="false">IF('plan etatów'!$AA$95=0,0,'nowy format 2'!$K$22*'plan etatów'!V95/'plan etatów'!$AA$95)</f>
        <v>0</v>
      </c>
      <c r="W167" s="49" t="n">
        <f aca="false">IF('plan etatów'!$AA$95=0,0,'nowy format 2'!$K$22*'plan etatów'!W95/'plan etatów'!$AA$95)</f>
        <v>0</v>
      </c>
      <c r="X167" s="49" t="n">
        <f aca="false">IF('plan etatów'!$AA$95=0,0,'nowy format 2'!$K$22*'plan etatów'!X95/'plan etatów'!$AA$95)</f>
        <v>0</v>
      </c>
      <c r="Y167" s="49" t="n">
        <f aca="false">IF('plan etatów'!$AA$95=0,0,'nowy format 2'!$K$22*'plan etatów'!Y95/'plan etatów'!$AA$95)</f>
        <v>0</v>
      </c>
      <c r="Z167" s="49" t="n">
        <f aca="false">IF('plan etatów'!$AA$95=0,0,'nowy format 2'!$K$22*'plan etatów'!Z95/'plan etatów'!$AA$95)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354560</v>
      </c>
      <c r="D169" s="49" t="n">
        <f aca="false">D75*założenia!$C$6</f>
        <v>0</v>
      </c>
      <c r="E169" s="49" t="n">
        <f aca="false">E75*założenia!$C$6</f>
        <v>0</v>
      </c>
      <c r="F169" s="49" t="n">
        <f aca="false">F75*założenia!$C$6</f>
        <v>0</v>
      </c>
      <c r="G169" s="49" t="n">
        <f aca="false">G75*założenia!$C$6</f>
        <v>0</v>
      </c>
      <c r="H169" s="49" t="n">
        <f aca="false">H75*założenia!$C$6</f>
        <v>0</v>
      </c>
      <c r="I169" s="49" t="n">
        <f aca="false">I75*założenia!$C$6</f>
        <v>0</v>
      </c>
      <c r="J169" s="49" t="n">
        <f aca="false">J75*założenia!$C$6</f>
        <v>0</v>
      </c>
      <c r="K169" s="49" t="n">
        <f aca="false">K75*założenia!$C$6</f>
        <v>0</v>
      </c>
      <c r="L169" s="49" t="n">
        <f aca="false">L75*założenia!$C$6</f>
        <v>0</v>
      </c>
      <c r="M169" s="49" t="n">
        <f aca="false">M75*założenia!$C$6</f>
        <v>0</v>
      </c>
      <c r="N169" s="49" t="n">
        <f aca="false">N75*założenia!$C$6</f>
        <v>0</v>
      </c>
      <c r="O169" s="49" t="n">
        <f aca="false">O75*założenia!$C$6</f>
        <v>44320</v>
      </c>
      <c r="P169" s="49" t="n">
        <f aca="false">P75*założenia!$C$6</f>
        <v>44320</v>
      </c>
      <c r="Q169" s="49" t="n">
        <f aca="false">Q75*założenia!$C$6</f>
        <v>44320</v>
      </c>
      <c r="R169" s="49" t="n">
        <f aca="false">R75*założenia!$C$6</f>
        <v>44320</v>
      </c>
      <c r="S169" s="49" t="n">
        <f aca="false">S75*założenia!$C$6</f>
        <v>44320</v>
      </c>
      <c r="T169" s="49" t="n">
        <f aca="false">T75*założenia!$C$6</f>
        <v>44320</v>
      </c>
      <c r="U169" s="49" t="n">
        <f aca="false">U75*założenia!$C$6</f>
        <v>44320</v>
      </c>
      <c r="V169" s="49" t="n">
        <f aca="false">V75*założenia!$C$6</f>
        <v>44320</v>
      </c>
      <c r="W169" s="49" t="n">
        <f aca="false">W75*założenia!$C$6</f>
        <v>0</v>
      </c>
      <c r="X169" s="49" t="n">
        <f aca="false">X75*założenia!$C$6</f>
        <v>0</v>
      </c>
      <c r="Y169" s="49" t="n">
        <f aca="false">Y75*założenia!$C$6</f>
        <v>0</v>
      </c>
      <c r="Z169" s="49" t="n">
        <f aca="false">Z75*założenia!$C$6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120704</v>
      </c>
      <c r="D170" s="49" t="n">
        <f aca="false">D76*założenia!$C$6</f>
        <v>0</v>
      </c>
      <c r="E170" s="49" t="n">
        <f aca="false">E76*założenia!$C$6</f>
        <v>0</v>
      </c>
      <c r="F170" s="49" t="n">
        <f aca="false">F76*założenia!$C$6</f>
        <v>0</v>
      </c>
      <c r="G170" s="49" t="n">
        <f aca="false">G76*założenia!$C$6</f>
        <v>0</v>
      </c>
      <c r="H170" s="49" t="n">
        <f aca="false">H76*założenia!$C$6</f>
        <v>0</v>
      </c>
      <c r="I170" s="49" t="n">
        <f aca="false">I76*założenia!$C$6</f>
        <v>0</v>
      </c>
      <c r="J170" s="49" t="n">
        <f aca="false">J76*założenia!$C$6</f>
        <v>0</v>
      </c>
      <c r="K170" s="49" t="n">
        <f aca="false">K76*założenia!$C$6</f>
        <v>0</v>
      </c>
      <c r="L170" s="49" t="n">
        <f aca="false">L76*założenia!$C$6</f>
        <v>0</v>
      </c>
      <c r="M170" s="49" t="n">
        <f aca="false">M76*założenia!$C$6</f>
        <v>0</v>
      </c>
      <c r="N170" s="49" t="n">
        <f aca="false">N76*założenia!$C$6</f>
        <v>0</v>
      </c>
      <c r="O170" s="49" t="n">
        <f aca="false">O76*założenia!$C$6</f>
        <v>15088</v>
      </c>
      <c r="P170" s="49" t="n">
        <f aca="false">P76*założenia!$C$6</f>
        <v>15088</v>
      </c>
      <c r="Q170" s="49" t="n">
        <f aca="false">Q76*założenia!$C$6</f>
        <v>15088</v>
      </c>
      <c r="R170" s="49" t="n">
        <f aca="false">R76*założenia!$C$6</f>
        <v>15088</v>
      </c>
      <c r="S170" s="49" t="n">
        <f aca="false">S76*założenia!$C$6</f>
        <v>15088</v>
      </c>
      <c r="T170" s="49" t="n">
        <f aca="false">T76*założenia!$C$6</f>
        <v>15088</v>
      </c>
      <c r="U170" s="49" t="n">
        <f aca="false">U76*założenia!$C$6</f>
        <v>15088</v>
      </c>
      <c r="V170" s="49" t="n">
        <f aca="false">V76*założenia!$C$6</f>
        <v>15088</v>
      </c>
      <c r="W170" s="49" t="n">
        <f aca="false">W76*założenia!$C$6</f>
        <v>0</v>
      </c>
      <c r="X170" s="49" t="n">
        <f aca="false">X76*założenia!$C$6</f>
        <v>0</v>
      </c>
      <c r="Y170" s="49" t="n">
        <f aca="false">Y76*założenia!$C$6</f>
        <v>0</v>
      </c>
      <c r="Z170" s="49" t="n">
        <f aca="false">Z76*założenia!$C$6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162660</v>
      </c>
      <c r="D171" s="49" t="n">
        <f aca="false">D77*założenia!$C$6</f>
        <v>0</v>
      </c>
      <c r="E171" s="49" t="n">
        <f aca="false">E77*założenia!$C$6</f>
        <v>0</v>
      </c>
      <c r="F171" s="49" t="n">
        <f aca="false">F77*założenia!$C$6</f>
        <v>0</v>
      </c>
      <c r="G171" s="49" t="n">
        <f aca="false">G77*założenia!$C$6</f>
        <v>0</v>
      </c>
      <c r="H171" s="49" t="n">
        <f aca="false">H77*założenia!$C$6</f>
        <v>0</v>
      </c>
      <c r="I171" s="49" t="n">
        <f aca="false">I77*założenia!$C$6</f>
        <v>0</v>
      </c>
      <c r="J171" s="49" t="n">
        <f aca="false">J77*założenia!$C$6</f>
        <v>0</v>
      </c>
      <c r="K171" s="49" t="n">
        <f aca="false">K77*założenia!$C$6</f>
        <v>0</v>
      </c>
      <c r="L171" s="49" t="n">
        <f aca="false">L77*założenia!$C$6</f>
        <v>0</v>
      </c>
      <c r="M171" s="49" t="n">
        <f aca="false">M77*założenia!$C$6</f>
        <v>0</v>
      </c>
      <c r="N171" s="49" t="n">
        <f aca="false">N77*założenia!$C$6</f>
        <v>0</v>
      </c>
      <c r="O171" s="49" t="n">
        <f aca="false">O77*założenia!$C$6</f>
        <v>16266</v>
      </c>
      <c r="P171" s="49" t="n">
        <f aca="false">P77*założenia!$C$6</f>
        <v>16266</v>
      </c>
      <c r="Q171" s="49" t="n">
        <f aca="false">Q77*założenia!$C$6</f>
        <v>21688</v>
      </c>
      <c r="R171" s="49" t="n">
        <f aca="false">R77*założenia!$C$6</f>
        <v>21688</v>
      </c>
      <c r="S171" s="49" t="n">
        <f aca="false">S77*założenia!$C$6</f>
        <v>21688</v>
      </c>
      <c r="T171" s="49" t="n">
        <f aca="false">T77*założenia!$C$6</f>
        <v>21688</v>
      </c>
      <c r="U171" s="49" t="n">
        <f aca="false">U77*założenia!$C$6</f>
        <v>21688</v>
      </c>
      <c r="V171" s="49" t="n">
        <f aca="false">V77*założenia!$C$6</f>
        <v>21688</v>
      </c>
      <c r="W171" s="49" t="n">
        <f aca="false">W77*założenia!$C$6</f>
        <v>0</v>
      </c>
      <c r="X171" s="49" t="n">
        <f aca="false">X77*założenia!$C$6</f>
        <v>0</v>
      </c>
      <c r="Y171" s="49" t="n">
        <f aca="false">Y77*założenia!$C$6</f>
        <v>0</v>
      </c>
      <c r="Z171" s="49" t="n">
        <f aca="false">Z77*założenia!$C$6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132000</v>
      </c>
      <c r="D172" s="49" t="n">
        <f aca="false">D78*założenia!$C$6</f>
        <v>0</v>
      </c>
      <c r="E172" s="49" t="n">
        <f aca="false">E78*założenia!$C$6</f>
        <v>0</v>
      </c>
      <c r="F172" s="49" t="n">
        <f aca="false">F78*założenia!$C$6</f>
        <v>0</v>
      </c>
      <c r="G172" s="49" t="n">
        <f aca="false">G78*założenia!$C$6</f>
        <v>0</v>
      </c>
      <c r="H172" s="49" t="n">
        <f aca="false">H78*założenia!$C$6</f>
        <v>0</v>
      </c>
      <c r="I172" s="49" t="n">
        <f aca="false">I78*założenia!$C$6</f>
        <v>0</v>
      </c>
      <c r="J172" s="49" t="n">
        <f aca="false">J78*założenia!$C$6</f>
        <v>0</v>
      </c>
      <c r="K172" s="49" t="n">
        <f aca="false">K78*założenia!$C$6</f>
        <v>0</v>
      </c>
      <c r="L172" s="49" t="n">
        <f aca="false">L78*założenia!$C$6</f>
        <v>0</v>
      </c>
      <c r="M172" s="49" t="n">
        <f aca="false">M78*założenia!$C$6</f>
        <v>0</v>
      </c>
      <c r="N172" s="49" t="n">
        <f aca="false">N78*założenia!$C$6</f>
        <v>0</v>
      </c>
      <c r="O172" s="49" t="n">
        <f aca="false">O78*założenia!$C$6</f>
        <v>16500</v>
      </c>
      <c r="P172" s="49" t="n">
        <f aca="false">P78*założenia!$C$6</f>
        <v>16500</v>
      </c>
      <c r="Q172" s="49" t="n">
        <f aca="false">Q78*założenia!$C$6</f>
        <v>16500</v>
      </c>
      <c r="R172" s="49" t="n">
        <f aca="false">R78*założenia!$C$6</f>
        <v>16500</v>
      </c>
      <c r="S172" s="49" t="n">
        <f aca="false">S78*założenia!$C$6</f>
        <v>16500</v>
      </c>
      <c r="T172" s="49" t="n">
        <f aca="false">T78*założenia!$C$6</f>
        <v>16500</v>
      </c>
      <c r="U172" s="49" t="n">
        <f aca="false">U78*założenia!$C$6</f>
        <v>16500</v>
      </c>
      <c r="V172" s="49" t="n">
        <f aca="false">V78*założenia!$C$6</f>
        <v>16500</v>
      </c>
      <c r="W172" s="49" t="n">
        <f aca="false">W78*założenia!$C$6</f>
        <v>0</v>
      </c>
      <c r="X172" s="49" t="n">
        <f aca="false">X78*założenia!$C$6</f>
        <v>0</v>
      </c>
      <c r="Y172" s="49" t="n">
        <f aca="false">Y78*założenia!$C$6</f>
        <v>0</v>
      </c>
      <c r="Z172" s="49" t="n">
        <f aca="false">Z78*założenia!$C$6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47616</v>
      </c>
      <c r="D173" s="49" t="n">
        <f aca="false">D79*założenia!$C$6</f>
        <v>0</v>
      </c>
      <c r="E173" s="49" t="n">
        <f aca="false">E79*założenia!$C$6</f>
        <v>0</v>
      </c>
      <c r="F173" s="49" t="n">
        <f aca="false">F79*założenia!$C$6</f>
        <v>0</v>
      </c>
      <c r="G173" s="49" t="n">
        <f aca="false">G79*założenia!$C$6</f>
        <v>0</v>
      </c>
      <c r="H173" s="49" t="n">
        <f aca="false">H79*założenia!$C$6</f>
        <v>0</v>
      </c>
      <c r="I173" s="49" t="n">
        <f aca="false">I79*założenia!$C$6</f>
        <v>0</v>
      </c>
      <c r="J173" s="49" t="n">
        <f aca="false">J79*założenia!$C$6</f>
        <v>0</v>
      </c>
      <c r="K173" s="49" t="n">
        <f aca="false">K79*założenia!$C$6</f>
        <v>0</v>
      </c>
      <c r="L173" s="49" t="n">
        <f aca="false">L79*założenia!$C$6</f>
        <v>0</v>
      </c>
      <c r="M173" s="49" t="n">
        <f aca="false">M79*założenia!$C$6</f>
        <v>0</v>
      </c>
      <c r="N173" s="49" t="n">
        <f aca="false">N79*założenia!$C$6</f>
        <v>0</v>
      </c>
      <c r="O173" s="49" t="n">
        <f aca="false">O79*założenia!$C$6</f>
        <v>5952</v>
      </c>
      <c r="P173" s="49" t="n">
        <f aca="false">P79*założenia!$C$6</f>
        <v>5952</v>
      </c>
      <c r="Q173" s="49" t="n">
        <f aca="false">Q79*założenia!$C$6</f>
        <v>5952</v>
      </c>
      <c r="R173" s="49" t="n">
        <f aca="false">R79*założenia!$C$6</f>
        <v>5952</v>
      </c>
      <c r="S173" s="49" t="n">
        <f aca="false">S79*założenia!$C$6</f>
        <v>5952</v>
      </c>
      <c r="T173" s="49" t="n">
        <f aca="false">T79*założenia!$C$6</f>
        <v>5952</v>
      </c>
      <c r="U173" s="49" t="n">
        <f aca="false">U79*założenia!$C$6</f>
        <v>5952</v>
      </c>
      <c r="V173" s="49" t="n">
        <f aca="false">V79*założenia!$C$6</f>
        <v>5952</v>
      </c>
      <c r="W173" s="49" t="n">
        <f aca="false">W79*założenia!$C$6</f>
        <v>0</v>
      </c>
      <c r="X173" s="49" t="n">
        <f aca="false">X79*założenia!$C$6</f>
        <v>0</v>
      </c>
      <c r="Y173" s="49" t="n">
        <f aca="false">Y79*założenia!$C$6</f>
        <v>0</v>
      </c>
      <c r="Z173" s="49" t="n">
        <f aca="false">Z79*założenia!$C$6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132000</v>
      </c>
      <c r="D174" s="49" t="n">
        <f aca="false">D80*założenia!$C$6</f>
        <v>0</v>
      </c>
      <c r="E174" s="49" t="n">
        <f aca="false">E80*założenia!$C$6</f>
        <v>0</v>
      </c>
      <c r="F174" s="49" t="n">
        <f aca="false">F80*założenia!$C$6</f>
        <v>0</v>
      </c>
      <c r="G174" s="49" t="n">
        <f aca="false">G80*założenia!$C$6</f>
        <v>0</v>
      </c>
      <c r="H174" s="49" t="n">
        <f aca="false">H80*założenia!$C$6</f>
        <v>0</v>
      </c>
      <c r="I174" s="49" t="n">
        <f aca="false">I80*założenia!$C$6</f>
        <v>0</v>
      </c>
      <c r="J174" s="49" t="n">
        <f aca="false">J80*założenia!$C$6</f>
        <v>0</v>
      </c>
      <c r="K174" s="49" t="n">
        <f aca="false">K80*założenia!$C$6</f>
        <v>0</v>
      </c>
      <c r="L174" s="49" t="n">
        <f aca="false">L80*założenia!$C$6</f>
        <v>0</v>
      </c>
      <c r="M174" s="49" t="n">
        <f aca="false">M80*założenia!$C$6</f>
        <v>0</v>
      </c>
      <c r="N174" s="49" t="n">
        <f aca="false">N80*założenia!$C$6</f>
        <v>0</v>
      </c>
      <c r="O174" s="49" t="n">
        <f aca="false">O80*założenia!$C$6</f>
        <v>16500</v>
      </c>
      <c r="P174" s="49" t="n">
        <f aca="false">P80*założenia!$C$6</f>
        <v>16500</v>
      </c>
      <c r="Q174" s="49" t="n">
        <f aca="false">Q80*założenia!$C$6</f>
        <v>16500</v>
      </c>
      <c r="R174" s="49" t="n">
        <f aca="false">R80*założenia!$C$6</f>
        <v>16500</v>
      </c>
      <c r="S174" s="49" t="n">
        <f aca="false">S80*założenia!$C$6</f>
        <v>16500</v>
      </c>
      <c r="T174" s="49" t="n">
        <f aca="false">T80*założenia!$C$6</f>
        <v>16500</v>
      </c>
      <c r="U174" s="49" t="n">
        <f aca="false">U80*założenia!$C$6</f>
        <v>16500</v>
      </c>
      <c r="V174" s="49" t="n">
        <f aca="false">V80*założenia!$C$6</f>
        <v>16500</v>
      </c>
      <c r="W174" s="49" t="n">
        <f aca="false">W80*założenia!$C$6</f>
        <v>0</v>
      </c>
      <c r="X174" s="49" t="n">
        <f aca="false">X80*założenia!$C$6</f>
        <v>0</v>
      </c>
      <c r="Y174" s="49" t="n">
        <f aca="false">Y80*założenia!$C$6</f>
        <v>0</v>
      </c>
      <c r="Z174" s="49" t="n">
        <f aca="false">Z80*założenia!$C$6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31488</v>
      </c>
      <c r="D175" s="49" t="n">
        <f aca="false">D81*założenia!$C$6</f>
        <v>0</v>
      </c>
      <c r="E175" s="49" t="n">
        <f aca="false">E81*założenia!$C$6</f>
        <v>0</v>
      </c>
      <c r="F175" s="49" t="n">
        <f aca="false">F81*założenia!$C$6</f>
        <v>0</v>
      </c>
      <c r="G175" s="49" t="n">
        <f aca="false">G81*założenia!$C$6</f>
        <v>0</v>
      </c>
      <c r="H175" s="49" t="n">
        <f aca="false">H81*założenia!$C$6</f>
        <v>0</v>
      </c>
      <c r="I175" s="49" t="n">
        <f aca="false">I81*założenia!$C$6</f>
        <v>0</v>
      </c>
      <c r="J175" s="49" t="n">
        <f aca="false">J81*założenia!$C$6</f>
        <v>0</v>
      </c>
      <c r="K175" s="49" t="n">
        <f aca="false">K81*założenia!$C$6</f>
        <v>0</v>
      </c>
      <c r="L175" s="49" t="n">
        <f aca="false">L81*założenia!$C$6</f>
        <v>0</v>
      </c>
      <c r="M175" s="49" t="n">
        <f aca="false">M81*założenia!$C$6</f>
        <v>0</v>
      </c>
      <c r="N175" s="49" t="n">
        <f aca="false">N81*założenia!$C$6</f>
        <v>0</v>
      </c>
      <c r="O175" s="49" t="n">
        <f aca="false">O81*założenia!$C$6</f>
        <v>3936</v>
      </c>
      <c r="P175" s="49" t="n">
        <f aca="false">P81*założenia!$C$6</f>
        <v>3936</v>
      </c>
      <c r="Q175" s="49" t="n">
        <f aca="false">Q81*założenia!$C$6</f>
        <v>3936</v>
      </c>
      <c r="R175" s="49" t="n">
        <f aca="false">R81*założenia!$C$6</f>
        <v>3936</v>
      </c>
      <c r="S175" s="49" t="n">
        <f aca="false">S81*założenia!$C$6</f>
        <v>3936</v>
      </c>
      <c r="T175" s="49" t="n">
        <f aca="false">T81*założenia!$C$6</f>
        <v>3936</v>
      </c>
      <c r="U175" s="49" t="n">
        <f aca="false">U81*założenia!$C$6</f>
        <v>3936</v>
      </c>
      <c r="V175" s="49" t="n">
        <f aca="false">V81*założenia!$C$6</f>
        <v>3936</v>
      </c>
      <c r="W175" s="49" t="n">
        <f aca="false">W81*założenia!$C$6</f>
        <v>0</v>
      </c>
      <c r="X175" s="49" t="n">
        <f aca="false">X81*założenia!$C$6</f>
        <v>0</v>
      </c>
      <c r="Y175" s="49" t="n">
        <f aca="false">Y81*założenia!$C$6</f>
        <v>0</v>
      </c>
      <c r="Z175" s="49" t="n">
        <f aca="false">Z81*założenia!$C$6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4571.424</v>
      </c>
      <c r="D176" s="49" t="n">
        <f aca="false">D82*założenia!$C$6</f>
        <v>0</v>
      </c>
      <c r="E176" s="49" t="n">
        <f aca="false">E82*założenia!$C$6</f>
        <v>0</v>
      </c>
      <c r="F176" s="49" t="n">
        <f aca="false">F82*założenia!$C$6</f>
        <v>0</v>
      </c>
      <c r="G176" s="49" t="n">
        <f aca="false">G82*założenia!$C$6</f>
        <v>0</v>
      </c>
      <c r="H176" s="49" t="n">
        <f aca="false">H82*założenia!$C$6</f>
        <v>0</v>
      </c>
      <c r="I176" s="49" t="n">
        <f aca="false">I82*założenia!$C$6</f>
        <v>0</v>
      </c>
      <c r="J176" s="49" t="n">
        <f aca="false">J82*założenia!$C$6</f>
        <v>0</v>
      </c>
      <c r="K176" s="49" t="n">
        <f aca="false">K82*założenia!$C$6</f>
        <v>0</v>
      </c>
      <c r="L176" s="49" t="n">
        <f aca="false">L82*założenia!$C$6</f>
        <v>0</v>
      </c>
      <c r="M176" s="49" t="n">
        <f aca="false">M82*założenia!$C$6</f>
        <v>0</v>
      </c>
      <c r="N176" s="49" t="n">
        <f aca="false">N82*założenia!$C$6</f>
        <v>0</v>
      </c>
      <c r="O176" s="49" t="n">
        <f aca="false">O82*założenia!$C$6</f>
        <v>571.428</v>
      </c>
      <c r="P176" s="49" t="n">
        <f aca="false">P82*założenia!$C$6</f>
        <v>571.428</v>
      </c>
      <c r="Q176" s="49" t="n">
        <f aca="false">Q82*założenia!$C$6</f>
        <v>571.428</v>
      </c>
      <c r="R176" s="49" t="n">
        <f aca="false">R82*założenia!$C$6</f>
        <v>571.428</v>
      </c>
      <c r="S176" s="49" t="n">
        <f aca="false">S82*założenia!$C$6</f>
        <v>571.428</v>
      </c>
      <c r="T176" s="49" t="n">
        <f aca="false">T82*założenia!$C$6</f>
        <v>571.428</v>
      </c>
      <c r="U176" s="49" t="n">
        <f aca="false">U82*założenia!$C$6</f>
        <v>571.428</v>
      </c>
      <c r="V176" s="49" t="n">
        <f aca="false">V82*założenia!$C$6</f>
        <v>571.428</v>
      </c>
      <c r="W176" s="49" t="n">
        <f aca="false">W82*założenia!$C$6</f>
        <v>0</v>
      </c>
      <c r="X176" s="49" t="n">
        <f aca="false">X82*założenia!$C$6</f>
        <v>0</v>
      </c>
      <c r="Y176" s="49" t="n">
        <f aca="false">Y82*założenia!$C$6</f>
        <v>0</v>
      </c>
      <c r="Z176" s="49" t="n">
        <f aca="false">Z82*założenia!$C$6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126400</v>
      </c>
      <c r="D177" s="49" t="n">
        <f aca="false">D83*założenia!$C$6</f>
        <v>0</v>
      </c>
      <c r="E177" s="49" t="n">
        <f aca="false">E83*założenia!$C$6</f>
        <v>0</v>
      </c>
      <c r="F177" s="49" t="n">
        <f aca="false">F83*założenia!$C$6</f>
        <v>0</v>
      </c>
      <c r="G177" s="49" t="n">
        <f aca="false">G83*założenia!$C$6</f>
        <v>0</v>
      </c>
      <c r="H177" s="49" t="n">
        <f aca="false">H83*założenia!$C$6</f>
        <v>0</v>
      </c>
      <c r="I177" s="49" t="n">
        <f aca="false">I83*założenia!$C$6</f>
        <v>0</v>
      </c>
      <c r="J177" s="49" t="n">
        <f aca="false">J83*założenia!$C$6</f>
        <v>0</v>
      </c>
      <c r="K177" s="49" t="n">
        <f aca="false">K83*założenia!$C$6</f>
        <v>0</v>
      </c>
      <c r="L177" s="49" t="n">
        <f aca="false">L83*założenia!$C$6</f>
        <v>0</v>
      </c>
      <c r="M177" s="49" t="n">
        <f aca="false">M83*założenia!$C$6</f>
        <v>0</v>
      </c>
      <c r="N177" s="49" t="n">
        <f aca="false">N83*założenia!$C$6</f>
        <v>0</v>
      </c>
      <c r="O177" s="49" t="n">
        <f aca="false">O83*założenia!$C$6</f>
        <v>15800</v>
      </c>
      <c r="P177" s="49" t="n">
        <f aca="false">P83*założenia!$C$6</f>
        <v>15800</v>
      </c>
      <c r="Q177" s="49" t="n">
        <f aca="false">Q83*założenia!$C$6</f>
        <v>15800</v>
      </c>
      <c r="R177" s="49" t="n">
        <f aca="false">R83*założenia!$C$6</f>
        <v>15800</v>
      </c>
      <c r="S177" s="49" t="n">
        <f aca="false">S83*założenia!$C$6</f>
        <v>15800</v>
      </c>
      <c r="T177" s="49" t="n">
        <f aca="false">T83*założenia!$C$6</f>
        <v>15800</v>
      </c>
      <c r="U177" s="49" t="n">
        <f aca="false">U83*założenia!$C$6</f>
        <v>15800</v>
      </c>
      <c r="V177" s="49" t="n">
        <f aca="false">V83*założenia!$C$6</f>
        <v>15800</v>
      </c>
      <c r="W177" s="49" t="n">
        <f aca="false">W83*założenia!$C$6</f>
        <v>0</v>
      </c>
      <c r="X177" s="49" t="n">
        <f aca="false">X83*założenia!$C$6</f>
        <v>0</v>
      </c>
      <c r="Y177" s="49" t="n">
        <f aca="false">Y83*założenia!$C$6</f>
        <v>0</v>
      </c>
      <c r="Z177" s="49" t="n">
        <f aca="false">Z83*założenia!$C$6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131274.724841901</v>
      </c>
      <c r="D178" s="49" t="n">
        <f aca="false">D84*założenia!$C$7</f>
        <v>0</v>
      </c>
      <c r="E178" s="49" t="n">
        <f aca="false">E84*założenia!$C$7</f>
        <v>0</v>
      </c>
      <c r="F178" s="49" t="n">
        <f aca="false">F84*założenia!$C$7</f>
        <v>0</v>
      </c>
      <c r="G178" s="49" t="n">
        <f aca="false">G84*założenia!$C$7</f>
        <v>0</v>
      </c>
      <c r="H178" s="49" t="n">
        <f aca="false">H84*założenia!$C$7</f>
        <v>0</v>
      </c>
      <c r="I178" s="49" t="n">
        <f aca="false">I84*założenia!$C$7</f>
        <v>0</v>
      </c>
      <c r="J178" s="49" t="n">
        <f aca="false">J84*założenia!$C$7</f>
        <v>0</v>
      </c>
      <c r="K178" s="49" t="n">
        <f aca="false">K84*założenia!$C$7</f>
        <v>0</v>
      </c>
      <c r="L178" s="49" t="n">
        <f aca="false">L84*założenia!$C$7</f>
        <v>0</v>
      </c>
      <c r="M178" s="49" t="n">
        <f aca="false">M84*założenia!$C$7</f>
        <v>0</v>
      </c>
      <c r="N178" s="49" t="n">
        <f aca="false">N84*założenia!$C$7</f>
        <v>0</v>
      </c>
      <c r="O178" s="49" t="n">
        <f aca="false">O84*założenia!$C$7</f>
        <v>0</v>
      </c>
      <c r="P178" s="49" t="n">
        <f aca="false">P84*założenia!$C$7</f>
        <v>0</v>
      </c>
      <c r="Q178" s="49" t="n">
        <f aca="false">Q84*założenia!$C$7</f>
        <v>0</v>
      </c>
      <c r="R178" s="49" t="n">
        <f aca="false">R84*założenia!$C$7</f>
        <v>0</v>
      </c>
      <c r="S178" s="49" t="n">
        <f aca="false">S84*założenia!$C$7</f>
        <v>0</v>
      </c>
      <c r="T178" s="49" t="n">
        <f aca="false">T84*założenia!$C$7</f>
        <v>0</v>
      </c>
      <c r="U178" s="49" t="n">
        <f aca="false">U84*założenia!$C$7</f>
        <v>0</v>
      </c>
      <c r="V178" s="49" t="n">
        <f aca="false">V84*założenia!$C$7</f>
        <v>0</v>
      </c>
      <c r="W178" s="49" t="n">
        <f aca="false">W84*założenia!$C$7</f>
        <v>32818.6812104754</v>
      </c>
      <c r="X178" s="49" t="n">
        <f aca="false">X84*założenia!$C$7</f>
        <v>32818.6812104754</v>
      </c>
      <c r="Y178" s="49" t="n">
        <f aca="false">Y84*założenia!$C$7</f>
        <v>32818.6812104754</v>
      </c>
      <c r="Z178" s="49" t="n">
        <f aca="false">Z84*założenia!$C$7</f>
        <v>32818.6812104754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22345.1381815727</v>
      </c>
      <c r="D179" s="49" t="n">
        <f aca="false">D85*założenia!$C$7</f>
        <v>0</v>
      </c>
      <c r="E179" s="49" t="n">
        <f aca="false">E85*założenia!$C$7</f>
        <v>0</v>
      </c>
      <c r="F179" s="49" t="n">
        <f aca="false">F85*założenia!$C$7</f>
        <v>0</v>
      </c>
      <c r="G179" s="49" t="n">
        <f aca="false">G85*założenia!$C$7</f>
        <v>0</v>
      </c>
      <c r="H179" s="49" t="n">
        <f aca="false">H85*założenia!$C$7</f>
        <v>0</v>
      </c>
      <c r="I179" s="49" t="n">
        <f aca="false">I85*założenia!$C$7</f>
        <v>0</v>
      </c>
      <c r="J179" s="49" t="n">
        <f aca="false">J85*założenia!$C$7</f>
        <v>0</v>
      </c>
      <c r="K179" s="49" t="n">
        <f aca="false">K85*założenia!$C$7</f>
        <v>0</v>
      </c>
      <c r="L179" s="49" t="n">
        <f aca="false">L85*założenia!$C$7</f>
        <v>0</v>
      </c>
      <c r="M179" s="49" t="n">
        <f aca="false">M85*założenia!$C$7</f>
        <v>0</v>
      </c>
      <c r="N179" s="49" t="n">
        <f aca="false">N85*założenia!$C$7</f>
        <v>0</v>
      </c>
      <c r="O179" s="49" t="n">
        <f aca="false">O85*założenia!$C$7</f>
        <v>0</v>
      </c>
      <c r="P179" s="49" t="n">
        <f aca="false">P85*założenia!$C$7</f>
        <v>0</v>
      </c>
      <c r="Q179" s="49" t="n">
        <f aca="false">Q85*założenia!$C$7</f>
        <v>0</v>
      </c>
      <c r="R179" s="49" t="n">
        <f aca="false">R85*założenia!$C$7</f>
        <v>0</v>
      </c>
      <c r="S179" s="49" t="n">
        <f aca="false">S85*założenia!$C$7</f>
        <v>0</v>
      </c>
      <c r="T179" s="49" t="n">
        <f aca="false">T85*założenia!$C$7</f>
        <v>0</v>
      </c>
      <c r="U179" s="49" t="n">
        <f aca="false">U85*założenia!$C$7</f>
        <v>0</v>
      </c>
      <c r="V179" s="49" t="n">
        <f aca="false">V85*założenia!$C$7</f>
        <v>0</v>
      </c>
      <c r="W179" s="49" t="n">
        <f aca="false">W85*założenia!$C$7</f>
        <v>5586.28454539319</v>
      </c>
      <c r="X179" s="49" t="n">
        <f aca="false">X85*założenia!$C$7</f>
        <v>5586.28454539319</v>
      </c>
      <c r="Y179" s="49" t="n">
        <f aca="false">Y85*założenia!$C$7</f>
        <v>5586.28454539319</v>
      </c>
      <c r="Z179" s="49" t="n">
        <f aca="false">Z85*założenia!$C$7</f>
        <v>5586.28454539319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64239.3102971832</v>
      </c>
      <c r="D180" s="49" t="n">
        <f aca="false">D86*założenia!$C$7</f>
        <v>0</v>
      </c>
      <c r="E180" s="49" t="n">
        <f aca="false">E86*założenia!$C$7</f>
        <v>0</v>
      </c>
      <c r="F180" s="49" t="n">
        <f aca="false">F86*założenia!$C$7</f>
        <v>0</v>
      </c>
      <c r="G180" s="49" t="n">
        <f aca="false">G86*założenia!$C$7</f>
        <v>0</v>
      </c>
      <c r="H180" s="49" t="n">
        <f aca="false">H86*założenia!$C$7</f>
        <v>0</v>
      </c>
      <c r="I180" s="49" t="n">
        <f aca="false">I86*założenia!$C$7</f>
        <v>0</v>
      </c>
      <c r="J180" s="49" t="n">
        <f aca="false">J86*założenia!$C$7</f>
        <v>0</v>
      </c>
      <c r="K180" s="49" t="n">
        <f aca="false">K86*założenia!$C$7</f>
        <v>0</v>
      </c>
      <c r="L180" s="49" t="n">
        <f aca="false">L86*założenia!$C$7</f>
        <v>0</v>
      </c>
      <c r="M180" s="49" t="n">
        <f aca="false">M86*założenia!$C$7</f>
        <v>0</v>
      </c>
      <c r="N180" s="49" t="n">
        <f aca="false">N86*założenia!$C$7</f>
        <v>0</v>
      </c>
      <c r="O180" s="49" t="n">
        <f aca="false">O86*założenia!$C$7</f>
        <v>0</v>
      </c>
      <c r="P180" s="49" t="n">
        <f aca="false">P86*założenia!$C$7</f>
        <v>0</v>
      </c>
      <c r="Q180" s="49" t="n">
        <f aca="false">Q86*założenia!$C$7</f>
        <v>0</v>
      </c>
      <c r="R180" s="49" t="n">
        <f aca="false">R86*założenia!$C$7</f>
        <v>0</v>
      </c>
      <c r="S180" s="49" t="n">
        <f aca="false">S86*założenia!$C$7</f>
        <v>0</v>
      </c>
      <c r="T180" s="49" t="n">
        <f aca="false">T86*założenia!$C$7</f>
        <v>0</v>
      </c>
      <c r="U180" s="49" t="n">
        <f aca="false">U86*założenia!$C$7</f>
        <v>0</v>
      </c>
      <c r="V180" s="49" t="n">
        <f aca="false">V86*założenia!$C$7</f>
        <v>0</v>
      </c>
      <c r="W180" s="49" t="n">
        <f aca="false">W86*założenia!$C$7</f>
        <v>16059.8275742958</v>
      </c>
      <c r="X180" s="49" t="n">
        <f aca="false">X86*założenia!$C$7</f>
        <v>16059.8275742958</v>
      </c>
      <c r="Y180" s="49" t="n">
        <f aca="false">Y86*założenia!$C$7</f>
        <v>16059.8275742958</v>
      </c>
      <c r="Z180" s="49" t="n">
        <f aca="false">Z86*założenia!$C$7</f>
        <v>16059.8275742958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48872.5848350942</v>
      </c>
      <c r="D181" s="49" t="n">
        <f aca="false">D87*założenia!$C$7</f>
        <v>0</v>
      </c>
      <c r="E181" s="49" t="n">
        <f aca="false">E87*założenia!$C$7</f>
        <v>0</v>
      </c>
      <c r="F181" s="49" t="n">
        <f aca="false">F87*założenia!$C$7</f>
        <v>0</v>
      </c>
      <c r="G181" s="49" t="n">
        <f aca="false">G87*założenia!$C$7</f>
        <v>0</v>
      </c>
      <c r="H181" s="49" t="n">
        <f aca="false">H87*założenia!$C$7</f>
        <v>0</v>
      </c>
      <c r="I181" s="49" t="n">
        <f aca="false">I87*założenia!$C$7</f>
        <v>0</v>
      </c>
      <c r="J181" s="49" t="n">
        <f aca="false">J87*założenia!$C$7</f>
        <v>0</v>
      </c>
      <c r="K181" s="49" t="n">
        <f aca="false">K87*założenia!$C$7</f>
        <v>0</v>
      </c>
      <c r="L181" s="49" t="n">
        <f aca="false">L87*założenia!$C$7</f>
        <v>0</v>
      </c>
      <c r="M181" s="49" t="n">
        <f aca="false">M87*założenia!$C$7</f>
        <v>0</v>
      </c>
      <c r="N181" s="49" t="n">
        <f aca="false">N87*założenia!$C$7</f>
        <v>0</v>
      </c>
      <c r="O181" s="49" t="n">
        <f aca="false">O87*założenia!$C$7</f>
        <v>0</v>
      </c>
      <c r="P181" s="49" t="n">
        <f aca="false">P87*założenia!$C$7</f>
        <v>0</v>
      </c>
      <c r="Q181" s="49" t="n">
        <f aca="false">Q87*założenia!$C$7</f>
        <v>0</v>
      </c>
      <c r="R181" s="49" t="n">
        <f aca="false">R87*założenia!$C$7</f>
        <v>0</v>
      </c>
      <c r="S181" s="49" t="n">
        <f aca="false">S87*założenia!$C$7</f>
        <v>0</v>
      </c>
      <c r="T181" s="49" t="n">
        <f aca="false">T87*założenia!$C$7</f>
        <v>0</v>
      </c>
      <c r="U181" s="49" t="n">
        <f aca="false">U87*założenia!$C$7</f>
        <v>0</v>
      </c>
      <c r="V181" s="49" t="n">
        <f aca="false">V87*założenia!$C$7</f>
        <v>0</v>
      </c>
      <c r="W181" s="49" t="n">
        <f aca="false">W87*założenia!$C$7</f>
        <v>12218.1462087735</v>
      </c>
      <c r="X181" s="49" t="n">
        <f aca="false">X87*założenia!$C$7</f>
        <v>12218.1462087735</v>
      </c>
      <c r="Y181" s="49" t="n">
        <f aca="false">Y87*założenia!$C$7</f>
        <v>12218.1462087735</v>
      </c>
      <c r="Z181" s="49" t="n">
        <f aca="false">Z87*założenia!$C$7</f>
        <v>12218.1462087735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17629.6742386958</v>
      </c>
      <c r="D182" s="49" t="n">
        <f aca="false">D88*założenia!$C$7</f>
        <v>0</v>
      </c>
      <c r="E182" s="49" t="n">
        <f aca="false">E88*założenia!$C$7</f>
        <v>0</v>
      </c>
      <c r="F182" s="49" t="n">
        <f aca="false">F88*założenia!$C$7</f>
        <v>0</v>
      </c>
      <c r="G182" s="49" t="n">
        <f aca="false">G88*założenia!$C$7</f>
        <v>0</v>
      </c>
      <c r="H182" s="49" t="n">
        <f aca="false">H88*założenia!$C$7</f>
        <v>0</v>
      </c>
      <c r="I182" s="49" t="n">
        <f aca="false">I88*założenia!$C$7</f>
        <v>0</v>
      </c>
      <c r="J182" s="49" t="n">
        <f aca="false">J88*założenia!$C$7</f>
        <v>0</v>
      </c>
      <c r="K182" s="49" t="n">
        <f aca="false">K88*założenia!$C$7</f>
        <v>0</v>
      </c>
      <c r="L182" s="49" t="n">
        <f aca="false">L88*założenia!$C$7</f>
        <v>0</v>
      </c>
      <c r="M182" s="49" t="n">
        <f aca="false">M88*założenia!$C$7</f>
        <v>0</v>
      </c>
      <c r="N182" s="49" t="n">
        <f aca="false">N88*założenia!$C$7</f>
        <v>0</v>
      </c>
      <c r="O182" s="49" t="n">
        <f aca="false">O88*założenia!$C$7</f>
        <v>0</v>
      </c>
      <c r="P182" s="49" t="n">
        <f aca="false">P88*założenia!$C$7</f>
        <v>0</v>
      </c>
      <c r="Q182" s="49" t="n">
        <f aca="false">Q88*założenia!$C$7</f>
        <v>0</v>
      </c>
      <c r="R182" s="49" t="n">
        <f aca="false">R88*założenia!$C$7</f>
        <v>0</v>
      </c>
      <c r="S182" s="49" t="n">
        <f aca="false">S88*założenia!$C$7</f>
        <v>0</v>
      </c>
      <c r="T182" s="49" t="n">
        <f aca="false">T88*założenia!$C$7</f>
        <v>0</v>
      </c>
      <c r="U182" s="49" t="n">
        <f aca="false">U88*założenia!$C$7</f>
        <v>0</v>
      </c>
      <c r="V182" s="49" t="n">
        <f aca="false">V88*założenia!$C$7</f>
        <v>0</v>
      </c>
      <c r="W182" s="49" t="n">
        <f aca="false">W88*założenia!$C$7</f>
        <v>4407.41855967395</v>
      </c>
      <c r="X182" s="49" t="n">
        <f aca="false">X88*założenia!$C$7</f>
        <v>4407.41855967395</v>
      </c>
      <c r="Y182" s="49" t="n">
        <f aca="false">Y88*założenia!$C$7</f>
        <v>4407.41855967395</v>
      </c>
      <c r="Z182" s="49" t="n">
        <f aca="false">Z88*założenia!$C$7</f>
        <v>4407.41855967395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48872.5848350942</v>
      </c>
      <c r="D183" s="49" t="n">
        <f aca="false">D89*założenia!$C$7</f>
        <v>0</v>
      </c>
      <c r="E183" s="49" t="n">
        <f aca="false">E89*założenia!$C$7</f>
        <v>0</v>
      </c>
      <c r="F183" s="49" t="n">
        <f aca="false">F89*założenia!$C$7</f>
        <v>0</v>
      </c>
      <c r="G183" s="49" t="n">
        <f aca="false">G89*założenia!$C$7</f>
        <v>0</v>
      </c>
      <c r="H183" s="49" t="n">
        <f aca="false">H89*założenia!$C$7</f>
        <v>0</v>
      </c>
      <c r="I183" s="49" t="n">
        <f aca="false">I89*założenia!$C$7</f>
        <v>0</v>
      </c>
      <c r="J183" s="49" t="n">
        <f aca="false">J89*założenia!$C$7</f>
        <v>0</v>
      </c>
      <c r="K183" s="49" t="n">
        <f aca="false">K89*założenia!$C$7</f>
        <v>0</v>
      </c>
      <c r="L183" s="49" t="n">
        <f aca="false">L89*założenia!$C$7</f>
        <v>0</v>
      </c>
      <c r="M183" s="49" t="n">
        <f aca="false">M89*założenia!$C$7</f>
        <v>0</v>
      </c>
      <c r="N183" s="49" t="n">
        <f aca="false">N89*założenia!$C$7</f>
        <v>0</v>
      </c>
      <c r="O183" s="49" t="n">
        <f aca="false">O89*założenia!$C$7</f>
        <v>0</v>
      </c>
      <c r="P183" s="49" t="n">
        <f aca="false">P89*założenia!$C$7</f>
        <v>0</v>
      </c>
      <c r="Q183" s="49" t="n">
        <f aca="false">Q89*założenia!$C$7</f>
        <v>0</v>
      </c>
      <c r="R183" s="49" t="n">
        <f aca="false">R89*założenia!$C$7</f>
        <v>0</v>
      </c>
      <c r="S183" s="49" t="n">
        <f aca="false">S89*założenia!$C$7</f>
        <v>0</v>
      </c>
      <c r="T183" s="49" t="n">
        <f aca="false">T89*założenia!$C$7</f>
        <v>0</v>
      </c>
      <c r="U183" s="49" t="n">
        <f aca="false">U89*założenia!$C$7</f>
        <v>0</v>
      </c>
      <c r="V183" s="49" t="n">
        <f aca="false">V89*założenia!$C$7</f>
        <v>0</v>
      </c>
      <c r="W183" s="49" t="n">
        <f aca="false">W89*założenia!$C$7</f>
        <v>12218.1462087735</v>
      </c>
      <c r="X183" s="49" t="n">
        <f aca="false">X89*założenia!$C$7</f>
        <v>12218.1462087735</v>
      </c>
      <c r="Y183" s="49" t="n">
        <f aca="false">Y89*założenia!$C$7</f>
        <v>12218.1462087735</v>
      </c>
      <c r="Z183" s="49" t="n">
        <f aca="false">Z89*założenia!$C$7</f>
        <v>12218.1462087735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1692.55535800898</v>
      </c>
      <c r="D184" s="49" t="n">
        <f aca="false">D90*założenia!$C$7</f>
        <v>0</v>
      </c>
      <c r="E184" s="49" t="n">
        <f aca="false">E90*założenia!$C$7</f>
        <v>0</v>
      </c>
      <c r="F184" s="49" t="n">
        <f aca="false">F90*założenia!$C$7</f>
        <v>0</v>
      </c>
      <c r="G184" s="49" t="n">
        <f aca="false">G90*założenia!$C$7</f>
        <v>0</v>
      </c>
      <c r="H184" s="49" t="n">
        <f aca="false">H90*założenia!$C$7</f>
        <v>0</v>
      </c>
      <c r="I184" s="49" t="n">
        <f aca="false">I90*założenia!$C$7</f>
        <v>0</v>
      </c>
      <c r="J184" s="49" t="n">
        <f aca="false">J90*założenia!$C$7</f>
        <v>0</v>
      </c>
      <c r="K184" s="49" t="n">
        <f aca="false">K90*założenia!$C$7</f>
        <v>0</v>
      </c>
      <c r="L184" s="49" t="n">
        <f aca="false">L90*założenia!$C$7</f>
        <v>0</v>
      </c>
      <c r="M184" s="49" t="n">
        <f aca="false">M90*założenia!$C$7</f>
        <v>0</v>
      </c>
      <c r="N184" s="49" t="n">
        <f aca="false">N90*założenia!$C$7</f>
        <v>0</v>
      </c>
      <c r="O184" s="49" t="n">
        <f aca="false">O90*założenia!$C$7</f>
        <v>0</v>
      </c>
      <c r="P184" s="49" t="n">
        <f aca="false">P90*założenia!$C$7</f>
        <v>0</v>
      </c>
      <c r="Q184" s="49" t="n">
        <f aca="false">Q90*założenia!$C$7</f>
        <v>0</v>
      </c>
      <c r="R184" s="49" t="n">
        <f aca="false">R90*założenia!$C$7</f>
        <v>0</v>
      </c>
      <c r="S184" s="49" t="n">
        <f aca="false">S90*założenia!$C$7</f>
        <v>0</v>
      </c>
      <c r="T184" s="49" t="n">
        <f aca="false">T90*założenia!$C$7</f>
        <v>0</v>
      </c>
      <c r="U184" s="49" t="n">
        <f aca="false">U90*założenia!$C$7</f>
        <v>0</v>
      </c>
      <c r="V184" s="49" t="n">
        <f aca="false">V90*założenia!$C$7</f>
        <v>0</v>
      </c>
      <c r="W184" s="49" t="n">
        <f aca="false">W90*założenia!$C$7</f>
        <v>423.138839502245</v>
      </c>
      <c r="X184" s="49" t="n">
        <f aca="false">X90*założenia!$C$7</f>
        <v>423.138839502245</v>
      </c>
      <c r="Y184" s="49" t="n">
        <f aca="false">Y90*założenia!$C$7</f>
        <v>423.138839502245</v>
      </c>
      <c r="Z184" s="49" t="n">
        <f aca="false">Z90*założenia!$C$7</f>
        <v>423.138839502245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46799.2024481508</v>
      </c>
      <c r="D185" s="49" t="n">
        <f aca="false">D91*założenia!$C$7</f>
        <v>0</v>
      </c>
      <c r="E185" s="49" t="n">
        <f aca="false">E91*założenia!$C$7</f>
        <v>0</v>
      </c>
      <c r="F185" s="49" t="n">
        <f aca="false">F91*założenia!$C$7</f>
        <v>0</v>
      </c>
      <c r="G185" s="49" t="n">
        <f aca="false">G91*założenia!$C$7</f>
        <v>0</v>
      </c>
      <c r="H185" s="49" t="n">
        <f aca="false">H91*założenia!$C$7</f>
        <v>0</v>
      </c>
      <c r="I185" s="49" t="n">
        <f aca="false">I91*założenia!$C$7</f>
        <v>0</v>
      </c>
      <c r="J185" s="49" t="n">
        <f aca="false">J91*założenia!$C$7</f>
        <v>0</v>
      </c>
      <c r="K185" s="49" t="n">
        <f aca="false">K91*założenia!$C$7</f>
        <v>0</v>
      </c>
      <c r="L185" s="49" t="n">
        <f aca="false">L91*założenia!$C$7</f>
        <v>0</v>
      </c>
      <c r="M185" s="49" t="n">
        <f aca="false">M91*założenia!$C$7</f>
        <v>0</v>
      </c>
      <c r="N185" s="49" t="n">
        <f aca="false">N91*założenia!$C$7</f>
        <v>0</v>
      </c>
      <c r="O185" s="49" t="n">
        <f aca="false">O91*założenia!$C$7</f>
        <v>0</v>
      </c>
      <c r="P185" s="49" t="n">
        <f aca="false">P91*założenia!$C$7</f>
        <v>0</v>
      </c>
      <c r="Q185" s="49" t="n">
        <f aca="false">Q91*założenia!$C$7</f>
        <v>0</v>
      </c>
      <c r="R185" s="49" t="n">
        <f aca="false">R91*założenia!$C$7</f>
        <v>0</v>
      </c>
      <c r="S185" s="49" t="n">
        <f aca="false">S91*założenia!$C$7</f>
        <v>0</v>
      </c>
      <c r="T185" s="49" t="n">
        <f aca="false">T91*założenia!$C$7</f>
        <v>0</v>
      </c>
      <c r="U185" s="49" t="n">
        <f aca="false">U91*założenia!$C$7</f>
        <v>0</v>
      </c>
      <c r="V185" s="49" t="n">
        <f aca="false">V91*założenia!$C$7</f>
        <v>0</v>
      </c>
      <c r="W185" s="49" t="n">
        <f aca="false">W91*założenia!$C$7</f>
        <v>11699.8006120377</v>
      </c>
      <c r="X185" s="49" t="n">
        <f aca="false">X91*założenia!$C$7</f>
        <v>11699.8006120377</v>
      </c>
      <c r="Y185" s="49" t="n">
        <f aca="false">Y91*założenia!$C$7</f>
        <v>11699.8006120377</v>
      </c>
      <c r="Z185" s="49" t="n">
        <f aca="false">Z91*założenia!$C$7</f>
        <v>11699.8006120377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11658.3329642988</v>
      </c>
      <c r="D186" s="49" t="n">
        <f aca="false">D92*założenia!$C$7</f>
        <v>0</v>
      </c>
      <c r="E186" s="49" t="n">
        <f aca="false">E92*założenia!$C$7</f>
        <v>0</v>
      </c>
      <c r="F186" s="49" t="n">
        <f aca="false">F92*założenia!$C$7</f>
        <v>0</v>
      </c>
      <c r="G186" s="49" t="n">
        <f aca="false">G92*założenia!$C$7</f>
        <v>0</v>
      </c>
      <c r="H186" s="49" t="n">
        <f aca="false">H92*założenia!$C$7</f>
        <v>0</v>
      </c>
      <c r="I186" s="49" t="n">
        <f aca="false">I92*założenia!$C$7</f>
        <v>0</v>
      </c>
      <c r="J186" s="49" t="n">
        <f aca="false">J92*założenia!$C$7</f>
        <v>0</v>
      </c>
      <c r="K186" s="49" t="n">
        <f aca="false">K92*założenia!$C$7</f>
        <v>0</v>
      </c>
      <c r="L186" s="49" t="n">
        <f aca="false">L92*założenia!$C$7</f>
        <v>0</v>
      </c>
      <c r="M186" s="49" t="n">
        <f aca="false">M92*założenia!$C$7</f>
        <v>0</v>
      </c>
      <c r="N186" s="49" t="n">
        <f aca="false">N92*założenia!$C$7</f>
        <v>0</v>
      </c>
      <c r="O186" s="49" t="n">
        <f aca="false">O92*założenia!$C$7</f>
        <v>0</v>
      </c>
      <c r="P186" s="49" t="n">
        <f aca="false">P92*założenia!$C$7</f>
        <v>0</v>
      </c>
      <c r="Q186" s="49" t="n">
        <f aca="false">Q92*założenia!$C$7</f>
        <v>0</v>
      </c>
      <c r="R186" s="49" t="n">
        <f aca="false">R92*założenia!$C$7</f>
        <v>0</v>
      </c>
      <c r="S186" s="49" t="n">
        <f aca="false">S92*założenia!$C$7</f>
        <v>0</v>
      </c>
      <c r="T186" s="49" t="n">
        <f aca="false">T92*założenia!$C$7</f>
        <v>0</v>
      </c>
      <c r="U186" s="49" t="n">
        <f aca="false">U92*założenia!$C$7</f>
        <v>0</v>
      </c>
      <c r="V186" s="49" t="n">
        <f aca="false">V92*założenia!$C$7</f>
        <v>0</v>
      </c>
      <c r="W186" s="49" t="n">
        <f aca="false">W92*założenia!$C$7</f>
        <v>2914.58324107471</v>
      </c>
      <c r="X186" s="49" t="n">
        <f aca="false">X92*założenia!$C$7</f>
        <v>2914.58324107471</v>
      </c>
      <c r="Y186" s="49" t="n">
        <f aca="false">Y92*założenia!$C$7</f>
        <v>2914.58324107471</v>
      </c>
      <c r="Z186" s="49" t="n">
        <f aca="false">Z92*założenia!$C$7</f>
        <v>2914.58324107471</v>
      </c>
    </row>
    <row r="187" customFormat="false" ht="15" hidden="false" customHeight="false" outlineLevel="0" collapsed="false">
      <c r="A187" s="40" t="s">
        <v>231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232</v>
      </c>
      <c r="B188" s="40" t="n">
        <v>2</v>
      </c>
      <c r="C188" s="63" t="n">
        <f aca="false">SUMIF($B$150:$B$186,2,C$150:C$186)</f>
        <v>808623.11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134770.518333333</v>
      </c>
      <c r="J188" s="63" t="n">
        <f aca="false">SUMIF($B$150:$B$186,2,J$150:J$186)</f>
        <v>134770.518333333</v>
      </c>
      <c r="K188" s="63" t="n">
        <f aca="false">SUMIF($B$150:$B$186,2,K$150:K$186)</f>
        <v>134770.518333333</v>
      </c>
      <c r="L188" s="63" t="n">
        <f aca="false">SUMIF($B$150:$B$186,2,L$150:L$186)</f>
        <v>134770.518333333</v>
      </c>
      <c r="M188" s="63" t="n">
        <f aca="false">SUMIF($B$150:$B$186,2,M$150:M$186)</f>
        <v>134770.518333333</v>
      </c>
      <c r="N188" s="63" t="n">
        <f aca="false">SUMIF($B$150:$B$186,2,N$150:N$186)</f>
        <v>134770.518333333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233</v>
      </c>
      <c r="B189" s="40" t="n">
        <v>3</v>
      </c>
      <c r="C189" s="63" t="n">
        <f aca="false">SUMIF($B$150:$B$186,3,C$150:C$186)</f>
        <v>1111999.424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134933.428</v>
      </c>
      <c r="P189" s="63" t="n">
        <f aca="false">SUMIF($B$150:$B$186,3,P$150:P$186)</f>
        <v>134933.428</v>
      </c>
      <c r="Q189" s="63" t="n">
        <f aca="false">SUMIF($B$150:$B$186,3,Q$150:Q$186)</f>
        <v>140355.428</v>
      </c>
      <c r="R189" s="63" t="n">
        <f aca="false">SUMIF($B$150:$B$186,3,R$150:R$186)</f>
        <v>140355.428</v>
      </c>
      <c r="S189" s="63" t="n">
        <f aca="false">SUMIF($B$150:$B$186,3,S$150:S$186)</f>
        <v>140355.428</v>
      </c>
      <c r="T189" s="63" t="n">
        <f aca="false">SUMIF($B$150:$B$186,3,T$150:T$186)</f>
        <v>140355.428</v>
      </c>
      <c r="U189" s="63" t="n">
        <f aca="false">SUMIF($B$150:$B$186,3,U$150:U$186)</f>
        <v>140355.428</v>
      </c>
      <c r="V189" s="63" t="n">
        <f aca="false">SUMIF($B$150:$B$186,3,V$150:V$186)</f>
        <v>140355.428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234</v>
      </c>
      <c r="B190" s="40" t="n">
        <v>4</v>
      </c>
      <c r="C190" s="63" t="n">
        <f aca="false">SUMIF($B$150:$B$186,4,C$150:C$186)</f>
        <v>393384.108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98346.027</v>
      </c>
      <c r="X190" s="63" t="n">
        <f aca="false">SUMIF($B$150:$B$186,4,X$150:X$186)</f>
        <v>98346.027</v>
      </c>
      <c r="Y190" s="63" t="n">
        <f aca="false">SUMIF($B$150:$B$186,4,Y$150:Y$186)</f>
        <v>98346.027</v>
      </c>
      <c r="Z190" s="63" t="n">
        <f aca="false">SUMIF($B$150:$B$186,4,Z$150:Z$186)</f>
        <v>98346.027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2959946.542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134770.518333333</v>
      </c>
      <c r="J191" s="63" t="n">
        <f aca="false">SUM(J187:J190)</f>
        <v>134770.518333333</v>
      </c>
      <c r="K191" s="63" t="n">
        <f aca="false">SUM(K187:K190)</f>
        <v>134770.518333333</v>
      </c>
      <c r="L191" s="63" t="n">
        <f aca="false">SUM(L187:L190)</f>
        <v>134770.518333333</v>
      </c>
      <c r="M191" s="63" t="n">
        <f aca="false">SUM(M187:M190)</f>
        <v>134770.518333333</v>
      </c>
      <c r="N191" s="63" t="n">
        <f aca="false">SUM(N187:N190)</f>
        <v>134770.518333333</v>
      </c>
      <c r="O191" s="63" t="n">
        <f aca="false">SUM(O187:O190)</f>
        <v>134933.428</v>
      </c>
      <c r="P191" s="63" t="n">
        <f aca="false">SUM(P187:P190)</f>
        <v>134933.428</v>
      </c>
      <c r="Q191" s="63" t="n">
        <f aca="false">SUM(Q187:Q190)</f>
        <v>140355.428</v>
      </c>
      <c r="R191" s="63" t="n">
        <f aca="false">SUM(R187:R190)</f>
        <v>140355.428</v>
      </c>
      <c r="S191" s="63" t="n">
        <f aca="false">SUM(S187:S190)</f>
        <v>140355.428</v>
      </c>
      <c r="T191" s="63" t="n">
        <f aca="false">SUM(T187:T190)</f>
        <v>140355.428</v>
      </c>
      <c r="U191" s="63" t="n">
        <f aca="false">SUM(U187:U190)</f>
        <v>140355.428</v>
      </c>
      <c r="V191" s="63" t="n">
        <f aca="false">SUM(V187:V190)</f>
        <v>140355.428</v>
      </c>
      <c r="W191" s="63" t="n">
        <f aca="false">SUM(W187:W190)</f>
        <v>98346.027</v>
      </c>
      <c r="X191" s="63" t="n">
        <f aca="false">SUM(X187:X190)</f>
        <v>98346.027</v>
      </c>
      <c r="Y191" s="63" t="n">
        <f aca="false">SUM(Y187:Y190)</f>
        <v>98346.027</v>
      </c>
      <c r="Z191" s="63" t="n">
        <f aca="false">SUM(Z187:Z190)</f>
        <v>98346.027</v>
      </c>
    </row>
    <row r="192" customFormat="false" ht="15" hidden="false" customHeight="false" outlineLevel="0" collapsed="false">
      <c r="A192" s="40" t="s">
        <v>235</v>
      </c>
      <c r="B192" s="40"/>
      <c r="C192" s="63" t="n">
        <f aca="false">IF($C$97=0,0,C98*$C$191/$C$97)</f>
        <v>739986.6355</v>
      </c>
      <c r="D192" s="63" t="n">
        <f aca="false">IF($C$97=0,0,D98*$C$191/$C$97)</f>
        <v>31446.1064211191</v>
      </c>
      <c r="E192" s="63" t="n">
        <f aca="false">IF($C$97=0,0,E98*$C$191/$C$97)</f>
        <v>31446.1064211191</v>
      </c>
      <c r="F192" s="63" t="n">
        <f aca="false">IF($C$97=0,0,F98*$C$191/$C$97)</f>
        <v>31446.1064211191</v>
      </c>
      <c r="G192" s="63" t="n">
        <f aca="false">IF($C$97=0,0,G98*$C$191/$C$97)</f>
        <v>30148.1089933264</v>
      </c>
      <c r="H192" s="63" t="n">
        <f aca="false">IF($C$97=0,0,H98*$C$191/$C$97)</f>
        <v>30148.1089933264</v>
      </c>
      <c r="I192" s="63" t="n">
        <f aca="false">IF($C$97=0,0,I98*$C$191/$C$97)</f>
        <v>32263.3383331102</v>
      </c>
      <c r="J192" s="63" t="n">
        <f aca="false">IF($C$97=0,0,J98*$C$191/$C$97)</f>
        <v>32263.3383331102</v>
      </c>
      <c r="K192" s="63" t="n">
        <f aca="false">IF($C$97=0,0,K98*$C$191/$C$97)</f>
        <v>32263.3383331102</v>
      </c>
      <c r="L192" s="63" t="n">
        <f aca="false">IF($C$97=0,0,L98*$C$191/$C$97)</f>
        <v>32263.3383331102</v>
      </c>
      <c r="M192" s="63" t="n">
        <f aca="false">IF($C$97=0,0,M98*$C$191/$C$97)</f>
        <v>32263.3383331102</v>
      </c>
      <c r="N192" s="63" t="n">
        <f aca="false">IF($C$97=0,0,N98*$C$191/$C$97)</f>
        <v>32263.3383331102</v>
      </c>
      <c r="O192" s="63" t="n">
        <f aca="false">IF($C$97=0,0,O98*$C$191/$C$97)</f>
        <v>32302.3369938084</v>
      </c>
      <c r="P192" s="63" t="n">
        <f aca="false">IF($C$97=0,0,P98*$C$191/$C$97)</f>
        <v>32302.3369938084</v>
      </c>
      <c r="Q192" s="63" t="n">
        <f aca="false">IF($C$97=0,0,Q98*$C$191/$C$97)</f>
        <v>33600.3346343962</v>
      </c>
      <c r="R192" s="63" t="n">
        <f aca="false">IF($C$97=0,0,R98*$C$191/$C$97)</f>
        <v>33600.3346343962</v>
      </c>
      <c r="S192" s="63" t="n">
        <f aca="false">IF($C$97=0,0,S98*$C$191/$C$97)</f>
        <v>33600.3346343962</v>
      </c>
      <c r="T192" s="63" t="n">
        <f aca="false">IF($C$97=0,0,T98*$C$191/$C$97)</f>
        <v>33600.3346343962</v>
      </c>
      <c r="U192" s="63" t="n">
        <f aca="false">IF($C$97=0,0,U98*$C$191/$C$97)</f>
        <v>33600.3346343962</v>
      </c>
      <c r="V192" s="63" t="n">
        <f aca="false">IF($C$97=0,0,V98*$C$191/$C$97)</f>
        <v>33600.3346343962</v>
      </c>
      <c r="W192" s="63" t="n">
        <f aca="false">IF($C$97=0,0,W98*$C$191/$C$97)</f>
        <v>31391.3466143337</v>
      </c>
      <c r="X192" s="63" t="n">
        <f aca="false">IF($C$97=0,0,X98*$C$191/$C$97)</f>
        <v>31391.3466143337</v>
      </c>
      <c r="Y192" s="63" t="n">
        <f aca="false">IF($C$97=0,0,Y98*$C$191/$C$97)</f>
        <v>31391.3466143337</v>
      </c>
      <c r="Z192" s="63" t="n">
        <f aca="false">IF($C$97=0,0,Z98*$C$191/$C$97)</f>
        <v>31391.3466143337</v>
      </c>
    </row>
    <row r="193" customFormat="false" ht="15" hidden="false" customHeight="false" outlineLevel="0" collapsed="false">
      <c r="A193" s="40" t="s">
        <v>236</v>
      </c>
      <c r="B193" s="40"/>
      <c r="C193" s="63" t="n">
        <f aca="false">C191+C192</f>
        <v>3699933.1775</v>
      </c>
      <c r="D193" s="63" t="n">
        <f aca="false">D191+D192</f>
        <v>162802.885976675</v>
      </c>
      <c r="E193" s="63" t="n">
        <f aca="false">E191+E192</f>
        <v>162802.885976675</v>
      </c>
      <c r="F193" s="63" t="n">
        <f aca="false">F191+F192</f>
        <v>162802.885976675</v>
      </c>
      <c r="G193" s="63" t="n">
        <f aca="false">G191+G192</f>
        <v>156082.889659993</v>
      </c>
      <c r="H193" s="63" t="n">
        <f aca="false">H191+H192</f>
        <v>156082.889659993</v>
      </c>
      <c r="I193" s="63" t="n">
        <f aca="false">I191+I192</f>
        <v>167033.856666444</v>
      </c>
      <c r="J193" s="63" t="n">
        <f aca="false">J191+J192</f>
        <v>167033.856666444</v>
      </c>
      <c r="K193" s="63" t="n">
        <f aca="false">K191+K192</f>
        <v>167033.856666444</v>
      </c>
      <c r="L193" s="63" t="n">
        <f aca="false">L191+L192</f>
        <v>167033.856666444</v>
      </c>
      <c r="M193" s="63" t="n">
        <f aca="false">M191+M192</f>
        <v>167033.856666444</v>
      </c>
      <c r="N193" s="63" t="n">
        <f aca="false">N191+N192</f>
        <v>167033.856666444</v>
      </c>
      <c r="O193" s="63" t="n">
        <f aca="false">O191+O192</f>
        <v>167235.764993808</v>
      </c>
      <c r="P193" s="63" t="n">
        <f aca="false">P191+P192</f>
        <v>167235.764993808</v>
      </c>
      <c r="Q193" s="63" t="n">
        <f aca="false">Q191+Q192</f>
        <v>173955.762634396</v>
      </c>
      <c r="R193" s="63" t="n">
        <f aca="false">R191+R192</f>
        <v>173955.762634396</v>
      </c>
      <c r="S193" s="63" t="n">
        <f aca="false">S191+S192</f>
        <v>173955.762634396</v>
      </c>
      <c r="T193" s="63" t="n">
        <f aca="false">T191+T192</f>
        <v>173955.762634396</v>
      </c>
      <c r="U193" s="63" t="n">
        <f aca="false">U191+U192</f>
        <v>173955.762634396</v>
      </c>
      <c r="V193" s="63" t="n">
        <f aca="false">V191+V192</f>
        <v>173955.762634396</v>
      </c>
      <c r="W193" s="63" t="n">
        <f aca="false">W191+W192</f>
        <v>129737.373614334</v>
      </c>
      <c r="X193" s="63" t="n">
        <f aca="false">X191+X192</f>
        <v>129737.373614334</v>
      </c>
      <c r="Y193" s="63" t="n">
        <f aca="false">Y191+Y192</f>
        <v>129737.373614334</v>
      </c>
      <c r="Z193" s="63" t="n">
        <f aca="false">Z191+Z192</f>
        <v>129737.373614334</v>
      </c>
    </row>
    <row r="194" customFormat="false" ht="15" hidden="false" customHeight="false" outlineLevel="0" collapsed="false">
      <c r="A194" s="40" t="s">
        <v>237</v>
      </c>
      <c r="B194" s="40"/>
      <c r="C194" s="63"/>
      <c r="D194" s="63" t="n">
        <f aca="false">D193</f>
        <v>162802.885976675</v>
      </c>
      <c r="E194" s="63" t="n">
        <f aca="false">D194+E193</f>
        <v>325605.771953349</v>
      </c>
      <c r="F194" s="63" t="n">
        <f aca="false">E194+F193</f>
        <v>488408.657930024</v>
      </c>
      <c r="G194" s="63" t="n">
        <f aca="false">F194+G193</f>
        <v>644491.547590017</v>
      </c>
      <c r="H194" s="63" t="n">
        <f aca="false">G194+H193</f>
        <v>800574.43725001</v>
      </c>
      <c r="I194" s="63" t="n">
        <f aca="false">H194+I193</f>
        <v>967608.293916454</v>
      </c>
      <c r="J194" s="63" t="n">
        <f aca="false">I194+J193</f>
        <v>1134642.1505829</v>
      </c>
      <c r="K194" s="63" t="n">
        <f aca="false">J194+K193</f>
        <v>1301676.00724934</v>
      </c>
      <c r="L194" s="63" t="n">
        <f aca="false">K194+L193</f>
        <v>1468709.86391578</v>
      </c>
      <c r="M194" s="63" t="n">
        <f aca="false">L194+M193</f>
        <v>1635743.72058223</v>
      </c>
      <c r="N194" s="63" t="n">
        <f aca="false">M194+N193</f>
        <v>1802777.57724867</v>
      </c>
      <c r="O194" s="63" t="n">
        <f aca="false">N194+O193</f>
        <v>1970013.34224248</v>
      </c>
      <c r="P194" s="63" t="n">
        <f aca="false">O194+P193</f>
        <v>2137249.10723629</v>
      </c>
      <c r="Q194" s="63" t="n">
        <f aca="false">P194+Q193</f>
        <v>2311204.86987068</v>
      </c>
      <c r="R194" s="63" t="n">
        <f aca="false">Q194+R193</f>
        <v>2485160.63250508</v>
      </c>
      <c r="S194" s="63" t="n">
        <f aca="false">R194+S193</f>
        <v>2659116.39513948</v>
      </c>
      <c r="T194" s="63" t="n">
        <f aca="false">S194+T193</f>
        <v>2833072.15777387</v>
      </c>
      <c r="U194" s="63" t="n">
        <f aca="false">T194+U193</f>
        <v>3007027.92040827</v>
      </c>
      <c r="V194" s="63" t="n">
        <f aca="false">U194+V193</f>
        <v>3180983.68304266</v>
      </c>
      <c r="W194" s="63" t="n">
        <f aca="false">V194+W193</f>
        <v>3310721.056657</v>
      </c>
      <c r="X194" s="63" t="n">
        <f aca="false">W194+X193</f>
        <v>3440458.43027133</v>
      </c>
      <c r="Y194" s="63" t="n">
        <f aca="false">X194+Y193</f>
        <v>3570195.80388567</v>
      </c>
      <c r="Z194" s="63" t="n">
        <f aca="false">Y194+Z193</f>
        <v>3699933.1775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241</v>
      </c>
      <c r="C1" s="68"/>
      <c r="D1" s="68"/>
      <c r="E1" s="68" t="s">
        <v>242</v>
      </c>
      <c r="F1" s="68"/>
      <c r="G1" s="68"/>
      <c r="H1" s="69"/>
      <c r="I1" s="68" t="s">
        <v>243</v>
      </c>
      <c r="J1" s="68"/>
      <c r="K1" s="68"/>
      <c r="L1" s="68" t="s">
        <v>244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245</v>
      </c>
      <c r="M2" s="67" t="s">
        <v>246</v>
      </c>
      <c r="N2" s="67" t="s">
        <v>117</v>
      </c>
      <c r="O2" s="69"/>
      <c r="P2" s="67" t="s">
        <v>247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1010778.92</v>
      </c>
      <c r="F13" s="71" t="n">
        <f aca="false">SUM(F14:F23)</f>
        <v>1010778.92</v>
      </c>
      <c r="G13" s="71" t="n">
        <f aca="false">SUM(G14:G23)</f>
        <v>808623.11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-216156.79</v>
      </c>
      <c r="M13" s="71" t="n">
        <f aca="false">F13-J13</f>
        <v>-193156.79</v>
      </c>
      <c r="N13" s="71" t="n">
        <f aca="false">G13-K13</f>
        <v>-154525.45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0</v>
      </c>
      <c r="F21" s="74" t="n">
        <f aca="false">założenia!$C$14</f>
        <v>0</v>
      </c>
      <c r="G21" s="74" t="n">
        <f aca="false">założenia!$C$9</f>
        <v>0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-123000</v>
      </c>
      <c r="M21" s="73" t="n">
        <f aca="false">F21-J21</f>
        <v>-100000</v>
      </c>
      <c r="N21" s="73" t="n">
        <f aca="false">G21-K21</f>
        <v>-80000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I22</f>
        <v>4285.71</v>
      </c>
      <c r="F22" s="74" t="n">
        <f aca="false">J22</f>
        <v>4285.71</v>
      </c>
      <c r="G22" s="74" t="n">
        <f aca="false">K22</f>
        <v>3428.56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0</v>
      </c>
      <c r="M22" s="73" t="n">
        <f aca="false">F22-J22</f>
        <v>0</v>
      </c>
      <c r="N22" s="73" t="n">
        <f aca="false">G22-K22</f>
        <v>0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1389999.28</v>
      </c>
      <c r="F24" s="71" t="n">
        <f aca="false">SUM(F25:F33)</f>
        <v>1389999.28</v>
      </c>
      <c r="G24" s="71" t="n">
        <f aca="false">SUM(G25:G33)</f>
        <v>1111999.42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286063.57</v>
      </c>
      <c r="M24" s="71" t="n">
        <f aca="false">F24-J24</f>
        <v>286063.57</v>
      </c>
      <c r="N24" s="71" t="n">
        <f aca="false">G24-K24</f>
        <v>228850.86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ROUND('budżet po miesiącach'!$C$169,2)</f>
        <v>354560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88640</v>
      </c>
      <c r="O25" s="41"/>
      <c r="P25" s="72" t="str">
        <f aca="false">IF(AND(E25&gt;=B25-0.005,F25&gt;=C25-0.005,G25&gt;=D25-0.005),"OK","&lt; narastająco")</f>
        <v>OK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120704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30176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162660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32532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132000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33000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47616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11904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132000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33000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31488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-33144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5714.28</v>
      </c>
      <c r="F32" s="74" t="n">
        <f aca="false">ROUND('budżet po miesiącach'!$C$82,2)</f>
        <v>5714.28</v>
      </c>
      <c r="G32" s="74" t="n">
        <f aca="false">ROUND('budżet po miesiącach'!$C$176,2)</f>
        <v>4571.42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1428.57</v>
      </c>
      <c r="M32" s="73" t="n">
        <f aca="false">F32-J32</f>
        <v>1428.57</v>
      </c>
      <c r="N32" s="73" t="n">
        <f aca="false">G32-K32</f>
        <v>1142.86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126400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31600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655640.19</v>
      </c>
      <c r="F34" s="71" t="n">
        <f aca="false">SUM(F35:F43)</f>
        <v>655640.19</v>
      </c>
      <c r="G34" s="71" t="n">
        <f aca="false">SUM(G35:G43)</f>
        <v>393384.11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-42596.95</v>
      </c>
      <c r="M34" s="71" t="n">
        <f aca="false">F34-J34</f>
        <v>-42596.95</v>
      </c>
      <c r="N34" s="71" t="n">
        <f aca="false">G34-K34</f>
        <v>-25558.17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218791.21</v>
      </c>
      <c r="F35" s="74" t="n">
        <f aca="false">ROUND('budżet po miesiącach'!$C$84,2)</f>
        <v>218791.21</v>
      </c>
      <c r="G35" s="74" t="n">
        <f aca="false">ROUND(założenia!$C$13-(G4+G5+G6+G7+G8+G9+G10+G11+G12+G14+G15+G16+G17+G18+G19+G20+G21+G22+G23+G25+G26+G27+G28+G29+G30+G31+G32+G33+G36+G37+G38+G39+G40+G41+G42+G43),2)</f>
        <v>131274.74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-2808.79000000001</v>
      </c>
      <c r="M35" s="73" t="n">
        <f aca="false">F35-J35</f>
        <v>-2808.79000000001</v>
      </c>
      <c r="N35" s="73" t="n">
        <f aca="false">G35-K35</f>
        <v>-1685.26000000001</v>
      </c>
      <c r="O35" s="41"/>
      <c r="P35" s="72" t="str">
        <f aca="false">IF(AND(E35&gt;=B35-0.005,F35&gt;=C35-0.005,G35&gt;=D35-0.005),"OK","&lt; narastająco")</f>
        <v>OK</v>
      </c>
      <c r="Q35" s="55" t="s">
        <v>248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37241.9</v>
      </c>
      <c r="F36" s="74" t="n">
        <f aca="false">ROUND('budżet po miesiącach'!$C$85,2)</f>
        <v>37241.9</v>
      </c>
      <c r="G36" s="74" t="n">
        <f aca="false">ROUND('budżet po miesiącach'!$C$179,2)</f>
        <v>22345.14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-478.099999999999</v>
      </c>
      <c r="M36" s="73" t="n">
        <f aca="false">F36-J36</f>
        <v>-478.099999999999</v>
      </c>
      <c r="N36" s="73" t="n">
        <f aca="false">G36-K36</f>
        <v>-286.860000000001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107065.52</v>
      </c>
      <c r="F37" s="74" t="n">
        <f aca="false">ROUND('budżet po miesiącach'!$C$86,2)</f>
        <v>107065.52</v>
      </c>
      <c r="G37" s="74" t="n">
        <f aca="false">ROUND('budżet po miesiącach'!$C$180,2)</f>
        <v>64239.31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-1374.48</v>
      </c>
      <c r="M37" s="73" t="n">
        <f aca="false">F37-J37</f>
        <v>-1374.48</v>
      </c>
      <c r="N37" s="73" t="n">
        <f aca="false">G37-K37</f>
        <v>-824.690000000002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81454.31</v>
      </c>
      <c r="F38" s="74" t="n">
        <f aca="false">ROUND('budżet po miesiącach'!$C$87,2)</f>
        <v>81454.31</v>
      </c>
      <c r="G38" s="74" t="n">
        <f aca="false">ROUND('budżet po miesiącach'!$C$181,2)</f>
        <v>48872.58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-1045.69</v>
      </c>
      <c r="M38" s="73" t="n">
        <f aca="false">F38-J38</f>
        <v>-1045.69</v>
      </c>
      <c r="N38" s="73" t="n">
        <f aca="false">G38-K38</f>
        <v>-627.419999999998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29382.79</v>
      </c>
      <c r="F39" s="74" t="n">
        <f aca="false">ROUND('budżet po miesiącach'!$C$88,2)</f>
        <v>29382.79</v>
      </c>
      <c r="G39" s="74" t="n">
        <f aca="false">ROUND('budżet po miesiącach'!$C$182,2)</f>
        <v>17629.67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-377.209999999999</v>
      </c>
      <c r="M39" s="73" t="n">
        <f aca="false">F39-J39</f>
        <v>-377.209999999999</v>
      </c>
      <c r="N39" s="73" t="n">
        <f aca="false">G39-K39</f>
        <v>-226.330000000002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81454.31</v>
      </c>
      <c r="F40" s="74" t="n">
        <f aca="false">ROUND('budżet po miesiącach'!$C$89,2)</f>
        <v>81454.31</v>
      </c>
      <c r="G40" s="74" t="n">
        <f aca="false">ROUND('budżet po miesiącach'!$C$183,2)</f>
        <v>48872.58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-1045.69</v>
      </c>
      <c r="M40" s="73" t="n">
        <f aca="false">F40-J40</f>
        <v>-1045.69</v>
      </c>
      <c r="N40" s="73" t="n">
        <f aca="false">G40-K40</f>
        <v>-627.419999999998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2820.93</v>
      </c>
      <c r="F41" s="74" t="n">
        <f aca="false">ROUND('budżet po miesiącach'!$C$90,2)</f>
        <v>2820.93</v>
      </c>
      <c r="G41" s="74" t="n">
        <f aca="false">ROUND('budżet po miesiącach'!$C$184,2)</f>
        <v>1692.56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-36.21</v>
      </c>
      <c r="M41" s="73" t="n">
        <f aca="false">F41-J41</f>
        <v>-36.21</v>
      </c>
      <c r="N41" s="73" t="n">
        <f aca="false">G41-K41</f>
        <v>-21.72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77998.67</v>
      </c>
      <c r="F42" s="74" t="n">
        <f aca="false">ROUND('budżet po miesiącach'!$C$91,2)</f>
        <v>77998.67</v>
      </c>
      <c r="G42" s="74" t="n">
        <f aca="false">ROUND('budżet po miesiącach'!$C$185,2)</f>
        <v>46799.2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-1001.33</v>
      </c>
      <c r="M42" s="73" t="n">
        <f aca="false">F42-J42</f>
        <v>-1001.33</v>
      </c>
      <c r="N42" s="73" t="n">
        <f aca="false">G42-K42</f>
        <v>-600.800000000003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19430.55</v>
      </c>
      <c r="F43" s="74" t="n">
        <f aca="false">ROUND('budżet po miesiącach'!$C$92,2)</f>
        <v>19430.55</v>
      </c>
      <c r="G43" s="74" t="n">
        <f aca="false">ROUND('budżet po miesiącach'!$C$186,2)</f>
        <v>11658.33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-34429.45</v>
      </c>
      <c r="M43" s="73" t="n">
        <f aca="false">F43-J43</f>
        <v>-34429.45</v>
      </c>
      <c r="N43" s="73" t="n">
        <f aca="false">G43-K43</f>
        <v>-20657.67</v>
      </c>
      <c r="O43" s="41"/>
      <c r="P43" s="72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5" t="s">
        <v>249</v>
      </c>
    </row>
    <row r="47" customFormat="false" ht="23.85" hidden="false" customHeight="false" outlineLevel="0" collapsed="false">
      <c r="A47" s="53" t="s">
        <v>250</v>
      </c>
      <c r="B47" s="53" t="s">
        <v>251</v>
      </c>
      <c r="C47" s="53" t="s">
        <v>252</v>
      </c>
      <c r="D47" s="53" t="s">
        <v>253</v>
      </c>
      <c r="E47" s="53" t="s">
        <v>254</v>
      </c>
      <c r="F47" s="53" t="s">
        <v>255</v>
      </c>
      <c r="G47" s="53" t="s">
        <v>256</v>
      </c>
      <c r="H47" s="76"/>
      <c r="I47" s="53" t="s">
        <v>257</v>
      </c>
      <c r="J47" s="53" t="s">
        <v>258</v>
      </c>
      <c r="K47" s="53" t="s">
        <v>259</v>
      </c>
      <c r="L47" s="53" t="s">
        <v>260</v>
      </c>
      <c r="M47" s="53" t="s">
        <v>261</v>
      </c>
      <c r="N47" s="53" t="s">
        <v>262</v>
      </c>
    </row>
    <row r="48" customFormat="false" ht="15" hidden="false" customHeight="false" outlineLevel="0" collapsed="false">
      <c r="A48" s="41" t="s">
        <v>263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3863843.26</v>
      </c>
      <c r="F48" s="73" t="n">
        <f aca="false">F3+F13+F24+F34</f>
        <v>3863843.26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-33649.23</v>
      </c>
      <c r="M48" s="73" t="n">
        <f aca="false">F48-J48</f>
        <v>-10649.23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264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965960.82</v>
      </c>
      <c r="F49" s="73" t="n">
        <f aca="false">ROUND(0.25*F48,2)</f>
        <v>965960.82</v>
      </c>
      <c r="G49" s="73" t="n">
        <f aca="false">ROUNDDOWN(F49*G48/F48,2)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-2662.30000000005</v>
      </c>
      <c r="M49" s="73" t="n">
        <f aca="false">F49-J49</f>
        <v>-2662.30000000005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236</v>
      </c>
      <c r="B50" s="77" t="n">
        <f aca="false">B48+B49</f>
        <v>2186266.46</v>
      </c>
      <c r="C50" s="77" t="n">
        <f aca="false">C48+C49</f>
        <v>2144716.46</v>
      </c>
      <c r="D50" s="77" t="n">
        <f aca="false">D48+D49</f>
        <v>1715773.16</v>
      </c>
      <c r="E50" s="77" t="n">
        <f aca="false">E48+E49</f>
        <v>4829804.08</v>
      </c>
      <c r="F50" s="77" t="n">
        <f aca="false">F48+F49</f>
        <v>4829804.08</v>
      </c>
      <c r="G50" s="77" t="n">
        <f aca="false">G48+G49</f>
        <v>3699933.17</v>
      </c>
      <c r="H50" s="40"/>
      <c r="I50" s="77" t="n">
        <f aca="false">I48+I49</f>
        <v>4866115.61</v>
      </c>
      <c r="J50" s="77" t="n">
        <f aca="false">J48+J49</f>
        <v>4843115.61</v>
      </c>
      <c r="K50" s="77" t="n">
        <f aca="false">K48+K49</f>
        <v>3699933.17</v>
      </c>
      <c r="L50" s="77" t="n">
        <f aca="false">E50-I50</f>
        <v>-36311.5300000003</v>
      </c>
      <c r="M50" s="77" t="n">
        <f aca="false">F50-J50</f>
        <v>-13311.5300000003</v>
      </c>
      <c r="N50" s="77" t="n">
        <f aca="false">G50-K50</f>
        <v>0</v>
      </c>
    </row>
    <row r="51" customFormat="false" ht="15" hidden="false" customHeight="false" outlineLevel="0" collapsed="false">
      <c r="A51" s="41" t="s">
        <v>265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266</v>
      </c>
      <c r="B52" s="73"/>
      <c r="C52" s="73"/>
      <c r="D52" s="73"/>
      <c r="E52" s="73"/>
      <c r="F52" s="73" t="n">
        <f aca="false">ROUND(F50-F51,2)</f>
        <v>-13311.53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267</v>
      </c>
      <c r="B53" s="77"/>
      <c r="C53" s="77"/>
      <c r="D53" s="77"/>
      <c r="E53" s="77"/>
      <c r="F53" s="77" t="str">
        <f aca="false">IF(F52&lt;=0.005,"OK","BŁĄD")</f>
        <v>OK</v>
      </c>
      <c r="G53" s="77" t="str">
        <f aca="false">IF(G52&lt;=0.005,"OK","BŁĄD")</f>
        <v>OK</v>
      </c>
      <c r="H53" s="40"/>
      <c r="I53" s="77"/>
      <c r="J53" s="77"/>
      <c r="K53" s="77"/>
      <c r="L53" s="77"/>
      <c r="M53" s="77"/>
      <c r="N53" s="77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2026-10-07T15:08:34Z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