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odsumowanie" sheetId="1" state="visible" r:id="rId3"/>
    <sheet name="Kontrola" sheetId="2" state="visible" r:id="rId4"/>
    <sheet name="Uwagi" sheetId="3" state="visible" r:id="rId5"/>
    <sheet name="nowy format" sheetId="4" state="visible" r:id="rId6"/>
  </sheets>
  <definedNames>
    <definedName function="false" hidden="true" localSheetId="3" name="_xlnm._FilterDatabase" vbProcedure="false">'nowy format'!$A$2:$G$43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<sst xmlns="http://schemas.openxmlformats.org/spreadsheetml/2006/main" count="548" uniqueCount="113">
  <si>
    <t xml:space="preserve">Wniosek o płatność – PODSUMOWANIE (PDF str. 27–34)</t>
  </si>
  <si>
    <t xml:space="preserve">Dochód (str. 26): kwota pomniejszająca wydatki kwalifikowalne = 0,00; kwota pomniejszająca dofinansowanie = 0,00. Dane wpisane z PDF (niebieski); kolumny G–H to formuły.</t>
  </si>
  <si>
    <t xml:space="preserve">Pozycja budżetowa</t>
  </si>
  <si>
    <t xml:space="preserve">Rodzaj</t>
  </si>
  <si>
    <t xml:space="preserve">Wydatki bieżące</t>
  </si>
  <si>
    <t xml:space="preserve">Wydatki narastająco</t>
  </si>
  <si>
    <t xml:space="preserve">Wydatki w projekcie</t>
  </si>
  <si>
    <t xml:space="preserve">% realizacji (PDF)</t>
  </si>
  <si>
    <t xml:space="preserve">% realizacji (wyliczone)</t>
  </si>
  <si>
    <t xml:space="preserve">Różnica %</t>
  </si>
  <si>
    <t xml:space="preserve">Zadanie 1. Opracowanie narzędzi i przeprowadzenie badań w celu parametryzacji obrazów - B + R</t>
  </si>
  <si>
    <t xml:space="preserve">Ogółem</t>
  </si>
  <si>
    <t xml:space="preserve">Kwalifikowalne</t>
  </si>
  <si>
    <t xml:space="preserve">Dofinansowanie</t>
  </si>
  <si>
    <t xml:space="preserve">1.1 Personel projektu - Ekspert AI</t>
  </si>
  <si>
    <t xml:space="preserve">1.2 Personel projektu - Big Data Engineer</t>
  </si>
  <si>
    <t xml:space="preserve">1.3 Personel projektu - Ekspert ds. psychometrii</t>
  </si>
  <si>
    <t xml:space="preserve">1.4 Personel projektu - Senior Developer</t>
  </si>
  <si>
    <t xml:space="preserve">1.5 Personel projektu - Automation QA Engineer</t>
  </si>
  <si>
    <t xml:space="preserve">1.6 Personel projektu - Grafik-Ilustrator</t>
  </si>
  <si>
    <t xml:space="preserve">1.7 Personel projektu - Analityk danych</t>
  </si>
  <si>
    <t xml:space="preserve">1.8 Amortyzacja - Laptopy dla inżynierów AI</t>
  </si>
  <si>
    <t xml:space="preserve">1.9 Personel projektu - Architekt rozwiązań chmurowych</t>
  </si>
  <si>
    <t xml:space="preserve">Zadanie 2. Opracowanie i przebadanie prototypowej wersji metody - B + R</t>
  </si>
  <si>
    <t xml:space="preserve">2.1 Personel projektu - Ekspert AI</t>
  </si>
  <si>
    <t xml:space="preserve">2.2 Personel projektu - Big Data Engineer</t>
  </si>
  <si>
    <t xml:space="preserve">2.3 Personel projektu - Ekspert ds. psychometrii</t>
  </si>
  <si>
    <t xml:space="preserve">2.4 Personel projektu - Senior Developer</t>
  </si>
  <si>
    <t xml:space="preserve">2.5 Personel projektu - Automation QA Engineer</t>
  </si>
  <si>
    <t xml:space="preserve">2.6 Personel projektu - Analityk danych</t>
  </si>
  <si>
    <t xml:space="preserve">2.7 Personel projektu - Grafik-Ilustrator</t>
  </si>
  <si>
    <t xml:space="preserve">2.8 Wartości niematerialne i prawne - Licencje psychometrycznego narzędzia referencyjnego</t>
  </si>
  <si>
    <t xml:space="preserve">2.9 Amortyzacja - Laptopy dla inżynierów AI</t>
  </si>
  <si>
    <t xml:space="preserve">2.10 Personel projektu - Architekt rozwiązań chmurowych</t>
  </si>
  <si>
    <t xml:space="preserve">Zadanie 3. Opracowanie i weryfikacja reprezentatywnego modelu systemu - B + R</t>
  </si>
  <si>
    <t xml:space="preserve">3.1 Personel projektu - Ekspert AI</t>
  </si>
  <si>
    <t xml:space="preserve">3.2 Personel projektu - Big Data Engineer</t>
  </si>
  <si>
    <t xml:space="preserve">3.3 Personel projektu - Ekspert ds. psychometrii</t>
  </si>
  <si>
    <t xml:space="preserve">3.4 Personel projektu - Senior Developer</t>
  </si>
  <si>
    <t xml:space="preserve">3.5 Personel projektu - Automation QA Engineer</t>
  </si>
  <si>
    <t xml:space="preserve">3.6 Personel projektu - Analityk danych</t>
  </si>
  <si>
    <t xml:space="preserve">3.7 Personel projektu - Grafik-Ilustrator</t>
  </si>
  <si>
    <t xml:space="preserve">3.8 Amortyzacja - Laptopy dla inżynierów AI</t>
  </si>
  <si>
    <t xml:space="preserve">3.9 Personel projektu - Architekt rozwiązań chmurowych</t>
  </si>
  <si>
    <t xml:space="preserve">Zadanie 4. Opracowanie i walidacja docelowej wersji systemu - B + R</t>
  </si>
  <si>
    <t xml:space="preserve">4.1 Personel projektu - AI Engineer</t>
  </si>
  <si>
    <t xml:space="preserve">4.2 Personel projektu - Big Data Engineer</t>
  </si>
  <si>
    <t xml:space="preserve">4.3 Personel projektu - Ekspert ds. psychometrii</t>
  </si>
  <si>
    <t xml:space="preserve">4.4 Personel projektu - Senior Developer</t>
  </si>
  <si>
    <t xml:space="preserve">4.5 Personel projektu - Automation QA Engineer</t>
  </si>
  <si>
    <t xml:space="preserve">4.6 Personel projektu - Analityk danych</t>
  </si>
  <si>
    <t xml:space="preserve">4.7 Amortyzacja - Laptopy dla inżynierów AI</t>
  </si>
  <si>
    <t xml:space="preserve">4.8 Personel projektu - Architekt rozwiązań chmurowych</t>
  </si>
  <si>
    <t xml:space="preserve">4.9 Personel projektu - Grafik-Ilustrator</t>
  </si>
  <si>
    <t xml:space="preserve">Zestawienie zbiorcze</t>
  </si>
  <si>
    <t xml:space="preserve">Koszty pośrednie</t>
  </si>
  <si>
    <t xml:space="preserve">Stawka ryczałtowa - Koszty pośrednie - 25% od kwalifikowalnych kosztów bezpośrednich</t>
  </si>
  <si>
    <t xml:space="preserve">Razem w projekcie</t>
  </si>
  <si>
    <t xml:space="preserve">Wydatki rzeczywiście poniesione</t>
  </si>
  <si>
    <t xml:space="preserve">Uproszczona metoda rozliczania</t>
  </si>
  <si>
    <t xml:space="preserve">Koszty bezpośrednie</t>
  </si>
  <si>
    <t xml:space="preserve">Koszty pośrednie (podsumowanie)</t>
  </si>
  <si>
    <t xml:space="preserve">Kategoria: Amortyzacja</t>
  </si>
  <si>
    <t xml:space="preserve">Kategoria: Personel projektu</t>
  </si>
  <si>
    <t xml:space="preserve">Kategoria: Wartości niematerialne i prawne</t>
  </si>
  <si>
    <t xml:space="preserve">Limit: pomoc publiczna</t>
  </si>
  <si>
    <t xml:space="preserve">Kontrola arytmetyczna (formuły) – tolerancja 0,02 zł</t>
  </si>
  <si>
    <t xml:space="preserve">Kontrola</t>
  </si>
  <si>
    <t xml:space="preserve">Kolumna</t>
  </si>
  <si>
    <t xml:space="preserve">Wartość z PDF</t>
  </si>
  <si>
    <t xml:space="preserve">Wyliczone z pozycji</t>
  </si>
  <si>
    <t xml:space="preserve">Różnica</t>
  </si>
  <si>
    <t xml:space="preserve">Status</t>
  </si>
  <si>
    <t xml:space="preserve">Zadanie 1 = suma pozycji 1.x</t>
  </si>
  <si>
    <t xml:space="preserve">bieżące</t>
  </si>
  <si>
    <t xml:space="preserve">narastająco</t>
  </si>
  <si>
    <t xml:space="preserve">w projekcie</t>
  </si>
  <si>
    <t xml:space="preserve">Zadanie 2 = suma pozycji 2.x</t>
  </si>
  <si>
    <t xml:space="preserve">Zadanie 3 = suma pozycji 3.x</t>
  </si>
  <si>
    <t xml:space="preserve">Zadanie 4 = suma pozycji 4.x</t>
  </si>
  <si>
    <t xml:space="preserve">Koszty bezpośrednie = suma zadań</t>
  </si>
  <si>
    <t xml:space="preserve">Razem = bezpośrednie + pośrednie</t>
  </si>
  <si>
    <t xml:space="preserve">Kategoria Amortyzacja = suma pozycji</t>
  </si>
  <si>
    <t xml:space="preserve">Kategoria Personel = suma pozycji</t>
  </si>
  <si>
    <t xml:space="preserve">Kategoria WNiP = suma pozycji</t>
  </si>
  <si>
    <t xml:space="preserve">Koszty pośrednie (kwal.) = 25% bezp. kwal. – narast. liczone od bezp. bez bieżącego wniosku</t>
  </si>
  <si>
    <t xml:space="preserve">Koszty pośrednie (kwal.) = 25% bezp. kwal.</t>
  </si>
  <si>
    <t xml:space="preserve">Uwaga</t>
  </si>
  <si>
    <t xml:space="preserve">Opis</t>
  </si>
  <si>
    <t xml:space="preserve">Wynik kontroli</t>
  </si>
  <si>
    <t xml:space="preserve">Wszystkie sumy (zadania, koszty bezpośrednie, razem, kategorie) zgadzają się co do grosza – patrz arkusz Kontrola.</t>
  </si>
  <si>
    <t xml:space="preserve">Zadanie 4 – intensywność dofinansowania</t>
  </si>
  <si>
    <t xml:space="preserve">W Zadaniu 4 (poz. 4.1–4.9) dofinansowanie wynosi 60% kwoty kwalifikowalnej w projekcie (np. 4.1: 132 960 / 221 600), w Zadaniach 1–3 jest to 80%. Zweryfikować, czy to zamierzone (np. inna intensywność pomocy) – wpływa na łączne dofinansowanie 3 699 933,17.</t>
  </si>
  <si>
    <t xml:space="preserve">Poz. 2.2 – przekroczenie</t>
  </si>
  <si>
    <t xml:space="preserve">Narastająco 113 168,16 &gt; w projekcie 113 160,00 (100,01%); dofinansowanie 90 534,53 &gt; 90 528,00. Przekroczenie o 8,16 zł (6,53 zł dofin.). Do wyjaśnienia / korekty.</t>
  </si>
  <si>
    <t xml:space="preserve">Poz. 2.1 – kwalifikowalne narastająco</t>
  </si>
  <si>
    <t xml:space="preserve">Ogółem narastająco 332 400,00, kwalifikowalne tylko 166 200,00 (50%), podczas gdy w projekcie kwalifikowalne = ogółem (332 400,00). Sprawdzić, czy część wydatków nie została celowo uznana za niekwalifikowalną.</t>
  </si>
  <si>
    <t xml:space="preserve">Poz. 1.8 vs 2.9 – zaokrąglenie</t>
  </si>
  <si>
    <t xml:space="preserve">Ta sama kwota kwalifikowalna 2 276,08, dofinansowanie 1 820,86 (1.8) vs 1 820,88 (2.9) – różnica 0,02 zł, zaokrąglenia. Suma 3 641,74 zgodna z kategorią Amortyzacja.</t>
  </si>
  <si>
    <t xml:space="preserve">Ryczałt 25%: w projekcie 968 623,12 = 25% × 3 874 492,49 (OK). Narastająco 328 522,30 = 25% × (1 649 994,16 – 335 904,98), tj. liczone bez wydatków bieżącego wniosku – spójne, wydatki pośrednie za bieżący okres = 0,00.</t>
  </si>
  <si>
    <t xml:space="preserve">Str. 26 – polityki wspólnotowe</t>
  </si>
  <si>
    <t xml:space="preserve">Oświadczenie: 'Projekt jest realizowany zgodnie z zasadami polityk wspólnotowych: Nie', a opis nieprawidłowości/działań naprawczych: 'Brak danych'. Wygląda na niewypełnione/błędne pole – jeśli projekt jest zgodny, powinno być 'Tak'; jeśli nie, wymagany jest opis.</t>
  </si>
  <si>
    <t xml:space="preserve">Str. 26 – dokument roboczy</t>
  </si>
  <si>
    <t xml:space="preserve">Dokument ma znak wodny 'WERSJA ROBOCZA'; pole 'Numer wniosku' puste.</t>
  </si>
  <si>
    <t xml:space="preserve">Zadania 3–4</t>
  </si>
  <si>
    <t xml:space="preserve">Wydatki bieżące i narastająco = 0,00 (jeszcze niezrealizowane) – prawidłowo.</t>
  </si>
  <si>
    <t xml:space="preserve">Nazwy</t>
  </si>
  <si>
    <t xml:space="preserve">W nazwach zadań usunięto zdublowaną numerację (PDF: 'Zadanie 1. 1. …').</t>
  </si>
  <si>
    <t xml:space="preserve">wydatki narastająco</t>
  </si>
  <si>
    <t xml:space="preserve">wydatki w projekcie</t>
  </si>
  <si>
    <t xml:space="preserve">wydatki ogółem</t>
  </si>
  <si>
    <t xml:space="preserve">wydatki kwalifikowane</t>
  </si>
  <si>
    <t xml:space="preserve">dofinansowanie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</si>
</sst>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1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100" activePane="bottomRight" state="frozen"/>
      <selection pane="topLeft" activeCell="A1" activeCellId="0" sqref="A1"/>
      <selection pane="topRight" activeCell="C1" activeCellId="0" sqref="C1"/>
      <selection pane="bottomLeft" activeCell="A100" activeCellId="0" sqref="A100"/>
      <selection pane="bottomRight" activeCell="A4" activeCellId="0" sqref="A4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5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7.75" hidden="false" customHeight="true" outlineLevel="0" collapsed="false">
      <c r="A5" s="4" t="s">
        <v>10</v>
      </c>
      <c r="B5" s="5" t="s">
        <v>11</v>
      </c>
      <c r="C5" s="6" t="n">
        <v>0</v>
      </c>
      <c r="D5" s="6" t="n">
        <v>807424.87</v>
      </c>
      <c r="E5" s="6" t="n">
        <v>868383.93</v>
      </c>
      <c r="F5" s="6" t="n">
        <v>92.98</v>
      </c>
      <c r="G5" s="7" t="n">
        <f aca="false">IF(E5=0,0,D5/E5*100)</f>
        <v>92.9801718002773</v>
      </c>
      <c r="H5" s="7" t="n">
        <f aca="false">ROUND(G5-F5,2)</f>
        <v>0</v>
      </c>
    </row>
    <row r="6" customFormat="false" ht="15" hidden="false" customHeight="false" outlineLevel="0" collapsed="false">
      <c r="A6" s="8"/>
      <c r="B6" s="5" t="s">
        <v>12</v>
      </c>
      <c r="C6" s="6" t="n">
        <v>0</v>
      </c>
      <c r="D6" s="6" t="n">
        <v>807424.87</v>
      </c>
      <c r="E6" s="6" t="n">
        <v>868383.93</v>
      </c>
      <c r="F6" s="6" t="n">
        <v>92.98</v>
      </c>
      <c r="G6" s="7" t="n">
        <f aca="false">IF(E6=0,0,D6/E6*100)</f>
        <v>92.9801718002773</v>
      </c>
      <c r="H6" s="7" t="n">
        <f aca="false">ROUND(G6-F6,2)</f>
        <v>0</v>
      </c>
    </row>
    <row r="7" customFormat="false" ht="15" hidden="false" customHeight="false" outlineLevel="0" collapsed="false">
      <c r="A7" s="8"/>
      <c r="B7" s="5" t="s">
        <v>13</v>
      </c>
      <c r="C7" s="6" t="n">
        <v>0</v>
      </c>
      <c r="D7" s="6" t="n">
        <v>645939.9</v>
      </c>
      <c r="E7" s="6" t="n">
        <v>694707.14</v>
      </c>
      <c r="F7" s="6" t="n">
        <v>92.98</v>
      </c>
      <c r="G7" s="7" t="n">
        <f aca="false">IF(E7=0,0,D7/E7*100)</f>
        <v>92.9801729114228</v>
      </c>
      <c r="H7" s="7" t="n">
        <f aca="false">ROUND(G7-F7,2)</f>
        <v>0</v>
      </c>
    </row>
    <row r="8" customFormat="false" ht="15" hidden="false" customHeight="false" outlineLevel="0" collapsed="false">
      <c r="A8" s="9" t="s">
        <v>14</v>
      </c>
      <c r="B8" s="10" t="s">
        <v>11</v>
      </c>
      <c r="C8" s="11" t="n">
        <v>0</v>
      </c>
      <c r="D8" s="11" t="n">
        <v>277000</v>
      </c>
      <c r="E8" s="11" t="n">
        <v>277000</v>
      </c>
      <c r="F8" s="11" t="n">
        <v>100</v>
      </c>
      <c r="G8" s="12" t="n">
        <f aca="false">IF(E8=0,0,D8/E8*100)</f>
        <v>100</v>
      </c>
      <c r="H8" s="12" t="n">
        <f aca="false">ROUND(G8-F8,2)</f>
        <v>0</v>
      </c>
    </row>
    <row r="9" customFormat="false" ht="15" hidden="false" customHeight="false" outlineLevel="0" collapsed="false">
      <c r="A9" s="13"/>
      <c r="B9" s="10" t="s">
        <v>12</v>
      </c>
      <c r="C9" s="11" t="n">
        <v>0</v>
      </c>
      <c r="D9" s="11" t="n">
        <v>277000</v>
      </c>
      <c r="E9" s="11" t="n">
        <v>277000</v>
      </c>
      <c r="F9" s="11" t="n">
        <v>100</v>
      </c>
      <c r="G9" s="12" t="n">
        <f aca="false">IF(E9=0,0,D9/E9*100)</f>
        <v>100</v>
      </c>
      <c r="H9" s="12" t="n">
        <f aca="false">ROUND(G9-F9,2)</f>
        <v>0</v>
      </c>
    </row>
    <row r="10" customFormat="false" ht="15" hidden="false" customHeight="false" outlineLevel="0" collapsed="false">
      <c r="A10" s="13"/>
      <c r="B10" s="10" t="s">
        <v>13</v>
      </c>
      <c r="C10" s="11" t="n">
        <v>0</v>
      </c>
      <c r="D10" s="11" t="n">
        <v>221600</v>
      </c>
      <c r="E10" s="11" t="n">
        <v>221600</v>
      </c>
      <c r="F10" s="11" t="n">
        <v>100</v>
      </c>
      <c r="G10" s="12" t="n">
        <f aca="false">IF(E10=0,0,D10/E10*100)</f>
        <v>100</v>
      </c>
      <c r="H10" s="12" t="n">
        <f aca="false">ROUND(G10-F10,2)</f>
        <v>0</v>
      </c>
    </row>
    <row r="11" customFormat="false" ht="15" hidden="false" customHeight="false" outlineLevel="0" collapsed="false">
      <c r="A11" s="9" t="s">
        <v>15</v>
      </c>
      <c r="B11" s="10" t="s">
        <v>11</v>
      </c>
      <c r="C11" s="11" t="n">
        <v>0</v>
      </c>
      <c r="D11" s="11" t="n">
        <v>94300</v>
      </c>
      <c r="E11" s="11" t="n">
        <v>94300</v>
      </c>
      <c r="F11" s="11" t="n">
        <v>100</v>
      </c>
      <c r="G11" s="12" t="n">
        <f aca="false">IF(E11=0,0,D11/E11*100)</f>
        <v>100</v>
      </c>
      <c r="H11" s="12" t="n">
        <f aca="false">ROUND(G11-F11,2)</f>
        <v>0</v>
      </c>
    </row>
    <row r="12" customFormat="false" ht="15" hidden="false" customHeight="false" outlineLevel="0" collapsed="false">
      <c r="A12" s="13"/>
      <c r="B12" s="10" t="s">
        <v>12</v>
      </c>
      <c r="C12" s="11" t="n">
        <v>0</v>
      </c>
      <c r="D12" s="11" t="n">
        <v>94300</v>
      </c>
      <c r="E12" s="11" t="n">
        <v>94300</v>
      </c>
      <c r="F12" s="11" t="n">
        <v>100</v>
      </c>
      <c r="G12" s="12" t="n">
        <f aca="false">IF(E12=0,0,D12/E12*100)</f>
        <v>100</v>
      </c>
      <c r="H12" s="12" t="n">
        <f aca="false">ROUND(G12-F12,2)</f>
        <v>0</v>
      </c>
    </row>
    <row r="13" customFormat="false" ht="15" hidden="false" customHeight="false" outlineLevel="0" collapsed="false">
      <c r="A13" s="13"/>
      <c r="B13" s="10" t="s">
        <v>13</v>
      </c>
      <c r="C13" s="11" t="n">
        <v>0</v>
      </c>
      <c r="D13" s="11" t="n">
        <v>75440</v>
      </c>
      <c r="E13" s="11" t="n">
        <v>75440</v>
      </c>
      <c r="F13" s="11" t="n">
        <v>100</v>
      </c>
      <c r="G13" s="12" t="n">
        <f aca="false">IF(E13=0,0,D13/E13*100)</f>
        <v>100</v>
      </c>
      <c r="H13" s="12" t="n">
        <f aca="false">ROUND(G13-F13,2)</f>
        <v>0</v>
      </c>
    </row>
    <row r="14" customFormat="false" ht="15" hidden="false" customHeight="false" outlineLevel="0" collapsed="false">
      <c r="A14" s="9" t="s">
        <v>16</v>
      </c>
      <c r="B14" s="10" t="s">
        <v>11</v>
      </c>
      <c r="C14" s="11" t="n">
        <v>0</v>
      </c>
      <c r="D14" s="11" t="n">
        <v>121994.98</v>
      </c>
      <c r="E14" s="11" t="n">
        <v>135550</v>
      </c>
      <c r="F14" s="11" t="n">
        <v>90</v>
      </c>
      <c r="G14" s="12" t="n">
        <f aca="false">IF(E14=0,0,D14/E14*100)</f>
        <v>89.9999852452969</v>
      </c>
      <c r="H14" s="12" t="n">
        <f aca="false">ROUND(G14-F14,2)</f>
        <v>-0</v>
      </c>
    </row>
    <row r="15" customFormat="false" ht="15" hidden="false" customHeight="false" outlineLevel="0" collapsed="false">
      <c r="A15" s="13"/>
      <c r="B15" s="10" t="s">
        <v>12</v>
      </c>
      <c r="C15" s="11" t="n">
        <v>0</v>
      </c>
      <c r="D15" s="11" t="n">
        <v>121994.98</v>
      </c>
      <c r="E15" s="11" t="n">
        <v>135550</v>
      </c>
      <c r="F15" s="11" t="n">
        <v>90</v>
      </c>
      <c r="G15" s="12" t="n">
        <f aca="false">IF(E15=0,0,D15/E15*100)</f>
        <v>89.9999852452969</v>
      </c>
      <c r="H15" s="12" t="n">
        <f aca="false">ROUND(G15-F15,2)</f>
        <v>-0</v>
      </c>
    </row>
    <row r="16" customFormat="false" ht="15" hidden="false" customHeight="false" outlineLevel="0" collapsed="false">
      <c r="A16" s="13"/>
      <c r="B16" s="10" t="s">
        <v>13</v>
      </c>
      <c r="C16" s="11" t="n">
        <v>0</v>
      </c>
      <c r="D16" s="11" t="n">
        <v>97595.98</v>
      </c>
      <c r="E16" s="11" t="n">
        <v>108440</v>
      </c>
      <c r="F16" s="11" t="n">
        <v>90</v>
      </c>
      <c r="G16" s="12" t="n">
        <f aca="false">IF(E16=0,0,D16/E16*100)</f>
        <v>89.9999815566212</v>
      </c>
      <c r="H16" s="12" t="n">
        <f aca="false">ROUND(G16-F16,2)</f>
        <v>-0</v>
      </c>
    </row>
    <row r="17" customFormat="false" ht="15" hidden="false" customHeight="false" outlineLevel="0" collapsed="false">
      <c r="A17" s="9" t="s">
        <v>17</v>
      </c>
      <c r="B17" s="10" t="s">
        <v>11</v>
      </c>
      <c r="C17" s="11" t="n">
        <v>0</v>
      </c>
      <c r="D17" s="11" t="n">
        <v>50828.54</v>
      </c>
      <c r="E17" s="11" t="n">
        <v>51562.5</v>
      </c>
      <c r="F17" s="11" t="n">
        <v>98.58</v>
      </c>
      <c r="G17" s="12" t="n">
        <f aca="false">IF(E17=0,0,D17/E17*100)</f>
        <v>98.5765624242424</v>
      </c>
      <c r="H17" s="12" t="n">
        <f aca="false">ROUND(G17-F17,2)</f>
        <v>-0</v>
      </c>
    </row>
    <row r="18" customFormat="false" ht="15" hidden="false" customHeight="false" outlineLevel="0" collapsed="false">
      <c r="A18" s="13"/>
      <c r="B18" s="10" t="s">
        <v>12</v>
      </c>
      <c r="C18" s="11" t="n">
        <v>0</v>
      </c>
      <c r="D18" s="11" t="n">
        <v>50828.54</v>
      </c>
      <c r="E18" s="11" t="n">
        <v>51562.5</v>
      </c>
      <c r="F18" s="11" t="n">
        <v>98.58</v>
      </c>
      <c r="G18" s="12" t="n">
        <f aca="false">IF(E18=0,0,D18/E18*100)</f>
        <v>98.5765624242424</v>
      </c>
      <c r="H18" s="12" t="n">
        <f aca="false">ROUND(G18-F18,2)</f>
        <v>-0</v>
      </c>
    </row>
    <row r="19" customFormat="false" ht="15" hidden="false" customHeight="false" outlineLevel="0" collapsed="false">
      <c r="A19" s="13"/>
      <c r="B19" s="10" t="s">
        <v>13</v>
      </c>
      <c r="C19" s="11" t="n">
        <v>0</v>
      </c>
      <c r="D19" s="11" t="n">
        <v>40662.83</v>
      </c>
      <c r="E19" s="11" t="n">
        <v>41250</v>
      </c>
      <c r="F19" s="11" t="n">
        <v>98.58</v>
      </c>
      <c r="G19" s="12" t="n">
        <f aca="false">IF(E19=0,0,D19/E19*100)</f>
        <v>98.5765575757576</v>
      </c>
      <c r="H19" s="12" t="n">
        <f aca="false">ROUND(G19-F19,2)</f>
        <v>-0</v>
      </c>
    </row>
    <row r="20" customFormat="false" ht="15" hidden="false" customHeight="false" outlineLevel="0" collapsed="false">
      <c r="A20" s="9" t="s">
        <v>18</v>
      </c>
      <c r="B20" s="10" t="s">
        <v>11</v>
      </c>
      <c r="C20" s="11" t="n">
        <v>0</v>
      </c>
      <c r="D20" s="11" t="n">
        <v>34550.27</v>
      </c>
      <c r="E20" s="11" t="n">
        <v>37200</v>
      </c>
      <c r="F20" s="11" t="n">
        <v>92.88</v>
      </c>
      <c r="G20" s="12" t="n">
        <f aca="false">IF(E20=0,0,D20/E20*100)</f>
        <v>92.8770698924731</v>
      </c>
      <c r="H20" s="12" t="n">
        <f aca="false">ROUND(G20-F20,2)</f>
        <v>-0</v>
      </c>
    </row>
    <row r="21" customFormat="false" ht="15" hidden="false" customHeight="false" outlineLevel="0" collapsed="false">
      <c r="A21" s="13"/>
      <c r="B21" s="10" t="s">
        <v>12</v>
      </c>
      <c r="C21" s="11" t="n">
        <v>0</v>
      </c>
      <c r="D21" s="11" t="n">
        <v>34550.27</v>
      </c>
      <c r="E21" s="11" t="n">
        <v>37200</v>
      </c>
      <c r="F21" s="11" t="n">
        <v>92.88</v>
      </c>
      <c r="G21" s="12" t="n">
        <f aca="false">IF(E21=0,0,D21/E21*100)</f>
        <v>92.8770698924731</v>
      </c>
      <c r="H21" s="12" t="n">
        <f aca="false">ROUND(G21-F21,2)</f>
        <v>-0</v>
      </c>
    </row>
    <row r="22" customFormat="false" ht="15" hidden="false" customHeight="false" outlineLevel="0" collapsed="false">
      <c r="A22" s="13"/>
      <c r="B22" s="10" t="s">
        <v>13</v>
      </c>
      <c r="C22" s="11" t="n">
        <v>0</v>
      </c>
      <c r="D22" s="11" t="n">
        <v>27640.23</v>
      </c>
      <c r="E22" s="11" t="n">
        <v>29760</v>
      </c>
      <c r="F22" s="11" t="n">
        <v>92.88</v>
      </c>
      <c r="G22" s="12" t="n">
        <f aca="false">IF(E22=0,0,D22/E22*100)</f>
        <v>92.8771169354839</v>
      </c>
      <c r="H22" s="12" t="n">
        <f aca="false">ROUND(G22-F22,2)</f>
        <v>-0</v>
      </c>
    </row>
    <row r="23" customFormat="false" ht="15" hidden="false" customHeight="false" outlineLevel="0" collapsed="false">
      <c r="A23" s="9" t="s">
        <v>19</v>
      </c>
      <c r="B23" s="10" t="s">
        <v>11</v>
      </c>
      <c r="C23" s="11" t="n">
        <v>0</v>
      </c>
      <c r="D23" s="11" t="n">
        <v>24600</v>
      </c>
      <c r="E23" s="11" t="n">
        <v>67325</v>
      </c>
      <c r="F23" s="11" t="n">
        <v>36.54</v>
      </c>
      <c r="G23" s="12" t="n">
        <f aca="false">IF(E23=0,0,D23/E23*100)</f>
        <v>36.5391756405496</v>
      </c>
      <c r="H23" s="12" t="n">
        <f aca="false">ROUND(G23-F23,2)</f>
        <v>-0</v>
      </c>
    </row>
    <row r="24" customFormat="false" ht="15" hidden="false" customHeight="false" outlineLevel="0" collapsed="false">
      <c r="A24" s="13"/>
      <c r="B24" s="10" t="s">
        <v>12</v>
      </c>
      <c r="C24" s="11" t="n">
        <v>0</v>
      </c>
      <c r="D24" s="11" t="n">
        <v>24600</v>
      </c>
      <c r="E24" s="11" t="n">
        <v>67325</v>
      </c>
      <c r="F24" s="11" t="n">
        <v>36.54</v>
      </c>
      <c r="G24" s="12" t="n">
        <f aca="false">IF(E24=0,0,D24/E24*100)</f>
        <v>36.5391756405496</v>
      </c>
      <c r="H24" s="12" t="n">
        <f aca="false">ROUND(G24-F24,2)</f>
        <v>-0</v>
      </c>
    </row>
    <row r="25" customFormat="false" ht="15" hidden="false" customHeight="false" outlineLevel="0" collapsed="false">
      <c r="A25" s="13"/>
      <c r="B25" s="10" t="s">
        <v>13</v>
      </c>
      <c r="C25" s="11" t="n">
        <v>0</v>
      </c>
      <c r="D25" s="11" t="n">
        <v>19680</v>
      </c>
      <c r="E25" s="11" t="n">
        <v>53860</v>
      </c>
      <c r="F25" s="11" t="n">
        <v>36.54</v>
      </c>
      <c r="G25" s="12" t="n">
        <f aca="false">IF(E25=0,0,D25/E25*100)</f>
        <v>36.5391756405496</v>
      </c>
      <c r="H25" s="12" t="n">
        <f aca="false">ROUND(G25-F25,2)</f>
        <v>-0</v>
      </c>
    </row>
    <row r="26" customFormat="false" ht="15" hidden="false" customHeight="false" outlineLevel="0" collapsed="false">
      <c r="A26" s="9" t="s">
        <v>20</v>
      </c>
      <c r="B26" s="10" t="s">
        <v>11</v>
      </c>
      <c r="C26" s="11" t="n">
        <v>0</v>
      </c>
      <c r="D26" s="11" t="n">
        <v>103125</v>
      </c>
      <c r="E26" s="11" t="n">
        <v>103125</v>
      </c>
      <c r="F26" s="11" t="n">
        <v>100</v>
      </c>
      <c r="G26" s="12" t="n">
        <f aca="false">IF(E26=0,0,D26/E26*100)</f>
        <v>100</v>
      </c>
      <c r="H26" s="12" t="n">
        <f aca="false">ROUND(G26-F26,2)</f>
        <v>0</v>
      </c>
    </row>
    <row r="27" customFormat="false" ht="15" hidden="false" customHeight="false" outlineLevel="0" collapsed="false">
      <c r="A27" s="13"/>
      <c r="B27" s="10" t="s">
        <v>12</v>
      </c>
      <c r="C27" s="11" t="n">
        <v>0</v>
      </c>
      <c r="D27" s="11" t="n">
        <v>103125</v>
      </c>
      <c r="E27" s="11" t="n">
        <v>103125</v>
      </c>
      <c r="F27" s="11" t="n">
        <v>100</v>
      </c>
      <c r="G27" s="12" t="n">
        <f aca="false">IF(E27=0,0,D27/E27*100)</f>
        <v>100</v>
      </c>
      <c r="H27" s="12" t="n">
        <f aca="false">ROUND(G27-F27,2)</f>
        <v>0</v>
      </c>
    </row>
    <row r="28" customFormat="false" ht="15" hidden="false" customHeight="false" outlineLevel="0" collapsed="false">
      <c r="A28" s="13"/>
      <c r="B28" s="10" t="s">
        <v>13</v>
      </c>
      <c r="C28" s="11" t="n">
        <v>0</v>
      </c>
      <c r="D28" s="11" t="n">
        <v>82500</v>
      </c>
      <c r="E28" s="11" t="n">
        <v>82500</v>
      </c>
      <c r="F28" s="11" t="n">
        <v>100</v>
      </c>
      <c r="G28" s="12" t="n">
        <f aca="false">IF(E28=0,0,D28/E28*100)</f>
        <v>100</v>
      </c>
      <c r="H28" s="12" t="n">
        <f aca="false">ROUND(G28-F28,2)</f>
        <v>0</v>
      </c>
    </row>
    <row r="29" customFormat="false" ht="15" hidden="false" customHeight="false" outlineLevel="0" collapsed="false">
      <c r="A29" s="9" t="s">
        <v>21</v>
      </c>
      <c r="B29" s="10" t="s">
        <v>11</v>
      </c>
      <c r="C29" s="11" t="n">
        <v>0</v>
      </c>
      <c r="D29" s="11" t="n">
        <v>2276.08</v>
      </c>
      <c r="E29" s="11" t="n">
        <v>3571.43</v>
      </c>
      <c r="F29" s="11" t="n">
        <v>63.73</v>
      </c>
      <c r="G29" s="12" t="n">
        <f aca="false">IF(E29=0,0,D29/E29*100)</f>
        <v>63.7302145079142</v>
      </c>
      <c r="H29" s="12" t="n">
        <f aca="false">ROUND(G29-F29,2)</f>
        <v>0</v>
      </c>
    </row>
    <row r="30" customFormat="false" ht="15" hidden="false" customHeight="false" outlineLevel="0" collapsed="false">
      <c r="A30" s="13"/>
      <c r="B30" s="10" t="s">
        <v>12</v>
      </c>
      <c r="C30" s="11" t="n">
        <v>0</v>
      </c>
      <c r="D30" s="11" t="n">
        <v>2276.08</v>
      </c>
      <c r="E30" s="11" t="n">
        <v>3571.43</v>
      </c>
      <c r="F30" s="11" t="n">
        <v>63.73</v>
      </c>
      <c r="G30" s="12" t="n">
        <f aca="false">IF(E30=0,0,D30/E30*100)</f>
        <v>63.7302145079142</v>
      </c>
      <c r="H30" s="12" t="n">
        <f aca="false">ROUND(G30-F30,2)</f>
        <v>0</v>
      </c>
    </row>
    <row r="31" customFormat="false" ht="15" hidden="false" customHeight="false" outlineLevel="0" collapsed="false">
      <c r="A31" s="13"/>
      <c r="B31" s="10" t="s">
        <v>13</v>
      </c>
      <c r="C31" s="11" t="n">
        <v>0</v>
      </c>
      <c r="D31" s="11" t="n">
        <v>1820.86</v>
      </c>
      <c r="E31" s="11" t="n">
        <v>2857.14</v>
      </c>
      <c r="F31" s="11" t="n">
        <v>63.73</v>
      </c>
      <c r="G31" s="12" t="n">
        <f aca="false">IF(E31=0,0,D31/E31*100)</f>
        <v>63.7301637301637</v>
      </c>
      <c r="H31" s="12" t="n">
        <f aca="false">ROUND(G31-F31,2)</f>
        <v>0</v>
      </c>
    </row>
    <row r="32" customFormat="false" ht="15" hidden="false" customHeight="false" outlineLevel="0" collapsed="false">
      <c r="A32" s="9" t="s">
        <v>22</v>
      </c>
      <c r="B32" s="10" t="s">
        <v>11</v>
      </c>
      <c r="C32" s="11" t="n">
        <v>0</v>
      </c>
      <c r="D32" s="11" t="n">
        <v>98750</v>
      </c>
      <c r="E32" s="11" t="n">
        <v>98750</v>
      </c>
      <c r="F32" s="11" t="n">
        <v>100</v>
      </c>
      <c r="G32" s="12" t="n">
        <f aca="false">IF(E32=0,0,D32/E32*100)</f>
        <v>100</v>
      </c>
      <c r="H32" s="12" t="n">
        <f aca="false">ROUND(G32-F32,2)</f>
        <v>0</v>
      </c>
    </row>
    <row r="33" customFormat="false" ht="15" hidden="false" customHeight="false" outlineLevel="0" collapsed="false">
      <c r="A33" s="13"/>
      <c r="B33" s="10" t="s">
        <v>12</v>
      </c>
      <c r="C33" s="11" t="n">
        <v>0</v>
      </c>
      <c r="D33" s="11" t="n">
        <v>98750</v>
      </c>
      <c r="E33" s="11" t="n">
        <v>98750</v>
      </c>
      <c r="F33" s="11" t="n">
        <v>100</v>
      </c>
      <c r="G33" s="12" t="n">
        <f aca="false">IF(E33=0,0,D33/E33*100)</f>
        <v>100</v>
      </c>
      <c r="H33" s="12" t="n">
        <f aca="false">ROUND(G33-F33,2)</f>
        <v>0</v>
      </c>
    </row>
    <row r="34" customFormat="false" ht="15" hidden="false" customHeight="false" outlineLevel="0" collapsed="false">
      <c r="A34" s="13"/>
      <c r="B34" s="10" t="s">
        <v>13</v>
      </c>
      <c r="C34" s="11" t="n">
        <v>0</v>
      </c>
      <c r="D34" s="11" t="n">
        <v>79000</v>
      </c>
      <c r="E34" s="11" t="n">
        <v>79000</v>
      </c>
      <c r="F34" s="11" t="n">
        <v>100</v>
      </c>
      <c r="G34" s="12" t="n">
        <f aca="false">IF(E34=0,0,D34/E34*100)</f>
        <v>100</v>
      </c>
      <c r="H34" s="12" t="n">
        <f aca="false">ROUND(G34-F34,2)</f>
        <v>0</v>
      </c>
    </row>
    <row r="35" customFormat="false" ht="27.75" hidden="false" customHeight="true" outlineLevel="0" collapsed="false">
      <c r="A35" s="4" t="s">
        <v>23</v>
      </c>
      <c r="B35" s="5" t="s">
        <v>11</v>
      </c>
      <c r="C35" s="6" t="n">
        <v>335904.98</v>
      </c>
      <c r="D35" s="6" t="n">
        <v>1008769.29</v>
      </c>
      <c r="E35" s="6" t="n">
        <v>1226935.71</v>
      </c>
      <c r="F35" s="6" t="n">
        <v>82.22</v>
      </c>
      <c r="G35" s="7" t="n">
        <f aca="false">IF(E35=0,0,D35/E35*100)</f>
        <v>82.2185939962576</v>
      </c>
      <c r="H35" s="7" t="n">
        <f aca="false">ROUND(G35-F35,2)</f>
        <v>-0</v>
      </c>
    </row>
    <row r="36" customFormat="false" ht="15" hidden="false" customHeight="false" outlineLevel="0" collapsed="false">
      <c r="A36" s="8"/>
      <c r="B36" s="5" t="s">
        <v>12</v>
      </c>
      <c r="C36" s="6" t="n">
        <v>335904.98</v>
      </c>
      <c r="D36" s="6" t="n">
        <v>842569.29</v>
      </c>
      <c r="E36" s="6" t="n">
        <v>1203935.71</v>
      </c>
      <c r="F36" s="6" t="n">
        <v>69.98</v>
      </c>
      <c r="G36" s="7" t="n">
        <f aca="false">IF(E36=0,0,D36/E36*100)</f>
        <v>69.9845750069163</v>
      </c>
      <c r="H36" s="7" t="n">
        <f aca="false">ROUND(G36-F36,2)</f>
        <v>0</v>
      </c>
    </row>
    <row r="37" customFormat="false" ht="15" hidden="false" customHeight="false" outlineLevel="0" collapsed="false">
      <c r="A37" s="8"/>
      <c r="B37" s="5" t="s">
        <v>13</v>
      </c>
      <c r="C37" s="6" t="n">
        <v>268723.98</v>
      </c>
      <c r="D37" s="6" t="n">
        <v>674055.43</v>
      </c>
      <c r="E37" s="6" t="n">
        <v>963148.56</v>
      </c>
      <c r="F37" s="6" t="n">
        <v>69.98</v>
      </c>
      <c r="G37" s="7" t="n">
        <f aca="false">IF(E37=0,0,D37/E37*100)</f>
        <v>69.9845753805623</v>
      </c>
      <c r="H37" s="7" t="n">
        <f aca="false">ROUND(G37-F37,2)</f>
        <v>0</v>
      </c>
    </row>
    <row r="38" customFormat="false" ht="15" hidden="false" customHeight="false" outlineLevel="0" collapsed="false">
      <c r="A38" s="9" t="s">
        <v>24</v>
      </c>
      <c r="B38" s="10" t="s">
        <v>11</v>
      </c>
      <c r="C38" s="11" t="n">
        <v>110800</v>
      </c>
      <c r="D38" s="11" t="n">
        <v>332400</v>
      </c>
      <c r="E38" s="11" t="n">
        <v>332400</v>
      </c>
      <c r="F38" s="11" t="n">
        <v>100</v>
      </c>
      <c r="G38" s="12" t="n">
        <f aca="false">IF(E38=0,0,D38/E38*100)</f>
        <v>100</v>
      </c>
      <c r="H38" s="12" t="n">
        <f aca="false">ROUND(G38-F38,2)</f>
        <v>0</v>
      </c>
    </row>
    <row r="39" customFormat="false" ht="15" hidden="false" customHeight="false" outlineLevel="0" collapsed="false">
      <c r="A39" s="13"/>
      <c r="B39" s="10" t="s">
        <v>12</v>
      </c>
      <c r="C39" s="11" t="n">
        <v>110800</v>
      </c>
      <c r="D39" s="11" t="n">
        <v>166200</v>
      </c>
      <c r="E39" s="11" t="n">
        <v>332400</v>
      </c>
      <c r="F39" s="11" t="n">
        <v>50</v>
      </c>
      <c r="G39" s="12" t="n">
        <f aca="false">IF(E39=0,0,D39/E39*100)</f>
        <v>50</v>
      </c>
      <c r="H39" s="12" t="n">
        <f aca="false">ROUND(G39-F39,2)</f>
        <v>0</v>
      </c>
    </row>
    <row r="40" customFormat="false" ht="15" hidden="false" customHeight="false" outlineLevel="0" collapsed="false">
      <c r="A40" s="13"/>
      <c r="B40" s="10" t="s">
        <v>13</v>
      </c>
      <c r="C40" s="11" t="n">
        <v>88640</v>
      </c>
      <c r="D40" s="11" t="n">
        <v>132960</v>
      </c>
      <c r="E40" s="11" t="n">
        <v>265920</v>
      </c>
      <c r="F40" s="11" t="n">
        <v>50</v>
      </c>
      <c r="G40" s="12" t="n">
        <f aca="false">IF(E40=0,0,D40/E40*100)</f>
        <v>50</v>
      </c>
      <c r="H40" s="12" t="n">
        <f aca="false">ROUND(G40-F40,2)</f>
        <v>0</v>
      </c>
    </row>
    <row r="41" customFormat="false" ht="15" hidden="false" customHeight="false" outlineLevel="0" collapsed="false">
      <c r="A41" s="9" t="s">
        <v>25</v>
      </c>
      <c r="B41" s="10" t="s">
        <v>11</v>
      </c>
      <c r="C41" s="11" t="n">
        <v>37720</v>
      </c>
      <c r="D41" s="11" t="n">
        <v>113168.16</v>
      </c>
      <c r="E41" s="11" t="n">
        <v>113160</v>
      </c>
      <c r="F41" s="11" t="n">
        <v>100.01</v>
      </c>
      <c r="G41" s="12" t="n">
        <f aca="false">IF(E41=0,0,D41/E41*100)</f>
        <v>100.007211028632</v>
      </c>
      <c r="H41" s="12" t="n">
        <f aca="false">ROUND(G41-F41,2)</f>
        <v>-0</v>
      </c>
    </row>
    <row r="42" customFormat="false" ht="15" hidden="false" customHeight="false" outlineLevel="0" collapsed="false">
      <c r="A42" s="13"/>
      <c r="B42" s="10" t="s">
        <v>12</v>
      </c>
      <c r="C42" s="11" t="n">
        <v>37720</v>
      </c>
      <c r="D42" s="11" t="n">
        <v>113168.16</v>
      </c>
      <c r="E42" s="11" t="n">
        <v>113160</v>
      </c>
      <c r="F42" s="11" t="n">
        <v>100.01</v>
      </c>
      <c r="G42" s="12" t="n">
        <f aca="false">IF(E42=0,0,D42/E42*100)</f>
        <v>100.007211028632</v>
      </c>
      <c r="H42" s="12" t="n">
        <f aca="false">ROUND(G42-F42,2)</f>
        <v>-0</v>
      </c>
    </row>
    <row r="43" customFormat="false" ht="15" hidden="false" customHeight="false" outlineLevel="0" collapsed="false">
      <c r="A43" s="13"/>
      <c r="B43" s="10" t="s">
        <v>13</v>
      </c>
      <c r="C43" s="11" t="n">
        <v>30176</v>
      </c>
      <c r="D43" s="11" t="n">
        <v>90534.53</v>
      </c>
      <c r="E43" s="11" t="n">
        <v>90528</v>
      </c>
      <c r="F43" s="11" t="n">
        <v>100.01</v>
      </c>
      <c r="G43" s="12" t="n">
        <f aca="false">IF(E43=0,0,D43/E43*100)</f>
        <v>100.007213237893</v>
      </c>
      <c r="H43" s="12" t="n">
        <f aca="false">ROUND(G43-F43,2)</f>
        <v>-0</v>
      </c>
    </row>
    <row r="44" customFormat="false" ht="15" hidden="false" customHeight="false" outlineLevel="0" collapsed="false">
      <c r="A44" s="9" t="s">
        <v>26</v>
      </c>
      <c r="B44" s="10" t="s">
        <v>11</v>
      </c>
      <c r="C44" s="11" t="n">
        <v>40664.98</v>
      </c>
      <c r="D44" s="11" t="n">
        <v>121024.78</v>
      </c>
      <c r="E44" s="11" t="n">
        <v>162660</v>
      </c>
      <c r="F44" s="11" t="n">
        <v>74.4</v>
      </c>
      <c r="G44" s="12" t="n">
        <f aca="false">IF(E44=0,0,D44/E44*100)</f>
        <v>74.4035288331489</v>
      </c>
      <c r="H44" s="12" t="n">
        <f aca="false">ROUND(G44-F44,2)</f>
        <v>0</v>
      </c>
    </row>
    <row r="45" customFormat="false" ht="15" hidden="false" customHeight="false" outlineLevel="0" collapsed="false">
      <c r="A45" s="13"/>
      <c r="B45" s="10" t="s">
        <v>12</v>
      </c>
      <c r="C45" s="11" t="n">
        <v>40664.98</v>
      </c>
      <c r="D45" s="11" t="n">
        <v>121024.78</v>
      </c>
      <c r="E45" s="11" t="n">
        <v>162660</v>
      </c>
      <c r="F45" s="11" t="n">
        <v>74.4</v>
      </c>
      <c r="G45" s="12" t="n">
        <f aca="false">IF(E45=0,0,D45/E45*100)</f>
        <v>74.4035288331489</v>
      </c>
      <c r="H45" s="12" t="n">
        <f aca="false">ROUND(G45-F45,2)</f>
        <v>0</v>
      </c>
    </row>
    <row r="46" customFormat="false" ht="15" hidden="false" customHeight="false" outlineLevel="0" collapsed="false">
      <c r="A46" s="13"/>
      <c r="B46" s="10" t="s">
        <v>13</v>
      </c>
      <c r="C46" s="11" t="n">
        <v>32531.98</v>
      </c>
      <c r="D46" s="11" t="n">
        <v>96819.8</v>
      </c>
      <c r="E46" s="11" t="n">
        <v>130128</v>
      </c>
      <c r="F46" s="11" t="n">
        <v>74.4</v>
      </c>
      <c r="G46" s="12" t="n">
        <f aca="false">IF(E46=0,0,D46/E46*100)</f>
        <v>74.4035103897701</v>
      </c>
      <c r="H46" s="12" t="n">
        <f aca="false">ROUND(G46-F46,2)</f>
        <v>0</v>
      </c>
    </row>
    <row r="47" customFormat="false" ht="15" hidden="false" customHeight="false" outlineLevel="0" collapsed="false">
      <c r="A47" s="9" t="s">
        <v>27</v>
      </c>
      <c r="B47" s="10" t="s">
        <v>11</v>
      </c>
      <c r="C47" s="11" t="n">
        <v>41250</v>
      </c>
      <c r="D47" s="11" t="n">
        <v>123750</v>
      </c>
      <c r="E47" s="11" t="n">
        <v>123750</v>
      </c>
      <c r="F47" s="11" t="n">
        <v>100</v>
      </c>
      <c r="G47" s="12" t="n">
        <f aca="false">IF(E47=0,0,D47/E47*100)</f>
        <v>100</v>
      </c>
      <c r="H47" s="12" t="n">
        <f aca="false">ROUND(G47-F47,2)</f>
        <v>0</v>
      </c>
    </row>
    <row r="48" customFormat="false" ht="15" hidden="false" customHeight="false" outlineLevel="0" collapsed="false">
      <c r="A48" s="13"/>
      <c r="B48" s="10" t="s">
        <v>12</v>
      </c>
      <c r="C48" s="11" t="n">
        <v>41250</v>
      </c>
      <c r="D48" s="11" t="n">
        <v>123750</v>
      </c>
      <c r="E48" s="11" t="n">
        <v>123750</v>
      </c>
      <c r="F48" s="11" t="n">
        <v>100</v>
      </c>
      <c r="G48" s="12" t="n">
        <f aca="false">IF(E48=0,0,D48/E48*100)</f>
        <v>100</v>
      </c>
      <c r="H48" s="12" t="n">
        <f aca="false">ROUND(G48-F48,2)</f>
        <v>0</v>
      </c>
    </row>
    <row r="49" customFormat="false" ht="15" hidden="false" customHeight="false" outlineLevel="0" collapsed="false">
      <c r="A49" s="13"/>
      <c r="B49" s="10" t="s">
        <v>13</v>
      </c>
      <c r="C49" s="11" t="n">
        <v>33000</v>
      </c>
      <c r="D49" s="11" t="n">
        <v>99000</v>
      </c>
      <c r="E49" s="11" t="n">
        <v>99000</v>
      </c>
      <c r="F49" s="11" t="n">
        <v>100</v>
      </c>
      <c r="G49" s="12" t="n">
        <f aca="false">IF(E49=0,0,D49/E49*100)</f>
        <v>100</v>
      </c>
      <c r="H49" s="12" t="n">
        <f aca="false">ROUND(G49-F49,2)</f>
        <v>0</v>
      </c>
    </row>
    <row r="50" customFormat="false" ht="15" hidden="false" customHeight="false" outlineLevel="0" collapsed="false">
      <c r="A50" s="9" t="s">
        <v>28</v>
      </c>
      <c r="B50" s="10" t="s">
        <v>11</v>
      </c>
      <c r="C50" s="11" t="n">
        <v>14880</v>
      </c>
      <c r="D50" s="11" t="n">
        <v>44388.77</v>
      </c>
      <c r="E50" s="11" t="n">
        <v>44640</v>
      </c>
      <c r="F50" s="11" t="n">
        <v>99.44</v>
      </c>
      <c r="G50" s="12" t="n">
        <f aca="false">IF(E50=0,0,D50/E50*100)</f>
        <v>99.437208781362</v>
      </c>
      <c r="H50" s="12" t="n">
        <f aca="false">ROUND(G50-F50,2)</f>
        <v>-0</v>
      </c>
    </row>
    <row r="51" customFormat="false" ht="15" hidden="false" customHeight="false" outlineLevel="0" collapsed="false">
      <c r="A51" s="13"/>
      <c r="B51" s="10" t="s">
        <v>12</v>
      </c>
      <c r="C51" s="11" t="n">
        <v>14880</v>
      </c>
      <c r="D51" s="11" t="n">
        <v>44388.77</v>
      </c>
      <c r="E51" s="11" t="n">
        <v>44640</v>
      </c>
      <c r="F51" s="11" t="n">
        <v>99.44</v>
      </c>
      <c r="G51" s="12" t="n">
        <f aca="false">IF(E51=0,0,D51/E51*100)</f>
        <v>99.437208781362</v>
      </c>
      <c r="H51" s="12" t="n">
        <f aca="false">ROUND(G51-F51,2)</f>
        <v>-0</v>
      </c>
    </row>
    <row r="52" customFormat="false" ht="15" hidden="false" customHeight="false" outlineLevel="0" collapsed="false">
      <c r="A52" s="13"/>
      <c r="B52" s="10" t="s">
        <v>13</v>
      </c>
      <c r="C52" s="11" t="n">
        <v>11904</v>
      </c>
      <c r="D52" s="11" t="n">
        <v>35511.02</v>
      </c>
      <c r="E52" s="11" t="n">
        <v>35712</v>
      </c>
      <c r="F52" s="11" t="n">
        <v>99.44</v>
      </c>
      <c r="G52" s="12" t="n">
        <f aca="false">IF(E52=0,0,D52/E52*100)</f>
        <v>99.4372199820788</v>
      </c>
      <c r="H52" s="12" t="n">
        <f aca="false">ROUND(G52-F52,2)</f>
        <v>-0</v>
      </c>
    </row>
    <row r="53" customFormat="false" ht="15" hidden="false" customHeight="false" outlineLevel="0" collapsed="false">
      <c r="A53" s="9" t="s">
        <v>29</v>
      </c>
      <c r="B53" s="10" t="s">
        <v>11</v>
      </c>
      <c r="C53" s="11" t="n">
        <v>41250</v>
      </c>
      <c r="D53" s="11" t="n">
        <v>123750</v>
      </c>
      <c r="E53" s="11" t="n">
        <v>123750</v>
      </c>
      <c r="F53" s="11" t="n">
        <v>100</v>
      </c>
      <c r="G53" s="12" t="n">
        <f aca="false">IF(E53=0,0,D53/E53*100)</f>
        <v>100</v>
      </c>
      <c r="H53" s="12" t="n">
        <f aca="false">ROUND(G53-F53,2)</f>
        <v>0</v>
      </c>
    </row>
    <row r="54" customFormat="false" ht="15" hidden="false" customHeight="false" outlineLevel="0" collapsed="false">
      <c r="A54" s="13"/>
      <c r="B54" s="10" t="s">
        <v>12</v>
      </c>
      <c r="C54" s="11" t="n">
        <v>41250</v>
      </c>
      <c r="D54" s="11" t="n">
        <v>123750</v>
      </c>
      <c r="E54" s="11" t="n">
        <v>123750</v>
      </c>
      <c r="F54" s="11" t="n">
        <v>100</v>
      </c>
      <c r="G54" s="12" t="n">
        <f aca="false">IF(E54=0,0,D54/E54*100)</f>
        <v>100</v>
      </c>
      <c r="H54" s="12" t="n">
        <f aca="false">ROUND(G54-F54,2)</f>
        <v>0</v>
      </c>
    </row>
    <row r="55" customFormat="false" ht="15" hidden="false" customHeight="false" outlineLevel="0" collapsed="false">
      <c r="A55" s="13"/>
      <c r="B55" s="10" t="s">
        <v>13</v>
      </c>
      <c r="C55" s="11" t="n">
        <v>33000</v>
      </c>
      <c r="D55" s="11" t="n">
        <v>99000</v>
      </c>
      <c r="E55" s="11" t="n">
        <v>99000</v>
      </c>
      <c r="F55" s="11" t="n">
        <v>100</v>
      </c>
      <c r="G55" s="12" t="n">
        <f aca="false">IF(E55=0,0,D55/E55*100)</f>
        <v>100</v>
      </c>
      <c r="H55" s="12" t="n">
        <f aca="false">ROUND(G55-F55,2)</f>
        <v>0</v>
      </c>
    </row>
    <row r="56" customFormat="false" ht="15" hidden="false" customHeight="false" outlineLevel="0" collapsed="false">
      <c r="A56" s="9" t="s">
        <v>30</v>
      </c>
      <c r="B56" s="10" t="s">
        <v>11</v>
      </c>
      <c r="C56" s="11" t="n">
        <v>9840</v>
      </c>
      <c r="D56" s="11" t="n">
        <v>29517.79</v>
      </c>
      <c r="E56" s="11" t="n">
        <v>80790</v>
      </c>
      <c r="F56" s="11" t="n">
        <v>36.54</v>
      </c>
      <c r="G56" s="12" t="n">
        <f aca="false">IF(E56=0,0,D56/E56*100)</f>
        <v>36.5364401534843</v>
      </c>
      <c r="H56" s="12" t="n">
        <f aca="false">ROUND(G56-F56,2)</f>
        <v>-0</v>
      </c>
    </row>
    <row r="57" customFormat="false" ht="15" hidden="false" customHeight="false" outlineLevel="0" collapsed="false">
      <c r="A57" s="13"/>
      <c r="B57" s="10" t="s">
        <v>12</v>
      </c>
      <c r="C57" s="11" t="n">
        <v>9840</v>
      </c>
      <c r="D57" s="11" t="n">
        <v>29517.79</v>
      </c>
      <c r="E57" s="11" t="n">
        <v>80790</v>
      </c>
      <c r="F57" s="11" t="n">
        <v>36.54</v>
      </c>
      <c r="G57" s="12" t="n">
        <f aca="false">IF(E57=0,0,D57/E57*100)</f>
        <v>36.5364401534843</v>
      </c>
      <c r="H57" s="12" t="n">
        <f aca="false">ROUND(G57-F57,2)</f>
        <v>-0</v>
      </c>
    </row>
    <row r="58" customFormat="false" ht="15" hidden="false" customHeight="false" outlineLevel="0" collapsed="false">
      <c r="A58" s="13"/>
      <c r="B58" s="10" t="s">
        <v>13</v>
      </c>
      <c r="C58" s="11" t="n">
        <v>7872</v>
      </c>
      <c r="D58" s="11" t="n">
        <v>23614.23</v>
      </c>
      <c r="E58" s="11" t="n">
        <v>64632</v>
      </c>
      <c r="F58" s="11" t="n">
        <v>36.54</v>
      </c>
      <c r="G58" s="12" t="n">
        <f aca="false">IF(E58=0,0,D58/E58*100)</f>
        <v>36.536437059042</v>
      </c>
      <c r="H58" s="12" t="n">
        <f aca="false">ROUND(G58-F58,2)</f>
        <v>-0</v>
      </c>
    </row>
    <row r="59" customFormat="false" ht="27.75" hidden="false" customHeight="true" outlineLevel="0" collapsed="false">
      <c r="A59" s="9" t="s">
        <v>31</v>
      </c>
      <c r="B59" s="10" t="s">
        <v>11</v>
      </c>
      <c r="C59" s="11" t="n">
        <v>0</v>
      </c>
      <c r="D59" s="11" t="n">
        <v>0</v>
      </c>
      <c r="E59" s="11" t="n">
        <v>123000</v>
      </c>
      <c r="F59" s="11" t="n">
        <v>0</v>
      </c>
      <c r="G59" s="12" t="n">
        <f aca="false">IF(E59=0,0,D59/E59*100)</f>
        <v>0</v>
      </c>
      <c r="H59" s="12" t="n">
        <f aca="false">ROUND(G59-F59,2)</f>
        <v>0</v>
      </c>
    </row>
    <row r="60" customFormat="false" ht="15" hidden="false" customHeight="false" outlineLevel="0" collapsed="false">
      <c r="A60" s="13"/>
      <c r="B60" s="10" t="s">
        <v>12</v>
      </c>
      <c r="C60" s="11" t="n">
        <v>0</v>
      </c>
      <c r="D60" s="11" t="n">
        <v>0</v>
      </c>
      <c r="E60" s="11" t="n">
        <v>100000</v>
      </c>
      <c r="F60" s="11" t="n">
        <v>0</v>
      </c>
      <c r="G60" s="12" t="n">
        <f aca="false">IF(E60=0,0,D60/E60*100)</f>
        <v>0</v>
      </c>
      <c r="H60" s="12" t="n">
        <f aca="false">ROUND(G60-F60,2)</f>
        <v>0</v>
      </c>
    </row>
    <row r="61" customFormat="false" ht="15" hidden="false" customHeight="false" outlineLevel="0" collapsed="false">
      <c r="A61" s="13"/>
      <c r="B61" s="10" t="s">
        <v>13</v>
      </c>
      <c r="C61" s="11" t="n">
        <v>0</v>
      </c>
      <c r="D61" s="11" t="n">
        <v>0</v>
      </c>
      <c r="E61" s="11" t="n">
        <v>80000</v>
      </c>
      <c r="F61" s="11" t="n">
        <v>0</v>
      </c>
      <c r="G61" s="12" t="n">
        <f aca="false">IF(E61=0,0,D61/E61*100)</f>
        <v>0</v>
      </c>
      <c r="H61" s="12" t="n">
        <f aca="false">ROUND(G61-F61,2)</f>
        <v>0</v>
      </c>
    </row>
    <row r="62" customFormat="false" ht="15" hidden="false" customHeight="false" outlineLevel="0" collapsed="false">
      <c r="A62" s="9" t="s">
        <v>32</v>
      </c>
      <c r="B62" s="10" t="s">
        <v>11</v>
      </c>
      <c r="C62" s="11" t="n">
        <v>0</v>
      </c>
      <c r="D62" s="11" t="n">
        <v>2276.08</v>
      </c>
      <c r="E62" s="11" t="n">
        <v>4285.71</v>
      </c>
      <c r="F62" s="11" t="n">
        <v>53.11</v>
      </c>
      <c r="G62" s="12" t="n">
        <f aca="false">IF(E62=0,0,D62/E62*100)</f>
        <v>53.1085864419198</v>
      </c>
      <c r="H62" s="12" t="n">
        <f aca="false">ROUND(G62-F62,2)</f>
        <v>-0</v>
      </c>
    </row>
    <row r="63" customFormat="false" ht="15" hidden="false" customHeight="false" outlineLevel="0" collapsed="false">
      <c r="A63" s="13"/>
      <c r="B63" s="10" t="s">
        <v>12</v>
      </c>
      <c r="C63" s="11" t="n">
        <v>0</v>
      </c>
      <c r="D63" s="11" t="n">
        <v>2276.08</v>
      </c>
      <c r="E63" s="11" t="n">
        <v>4285.71</v>
      </c>
      <c r="F63" s="11" t="n">
        <v>53.11</v>
      </c>
      <c r="G63" s="12" t="n">
        <f aca="false">IF(E63=0,0,D63/E63*100)</f>
        <v>53.1085864419198</v>
      </c>
      <c r="H63" s="12" t="n">
        <f aca="false">ROUND(G63-F63,2)</f>
        <v>-0</v>
      </c>
    </row>
    <row r="64" customFormat="false" ht="15" hidden="false" customHeight="false" outlineLevel="0" collapsed="false">
      <c r="A64" s="13"/>
      <c r="B64" s="10" t="s">
        <v>13</v>
      </c>
      <c r="C64" s="11" t="n">
        <v>0</v>
      </c>
      <c r="D64" s="11" t="n">
        <v>1820.88</v>
      </c>
      <c r="E64" s="11" t="n">
        <v>3428.56</v>
      </c>
      <c r="F64" s="11" t="n">
        <v>53.11</v>
      </c>
      <c r="G64" s="12" t="n">
        <f aca="false">IF(E64=0,0,D64/E64*100)</f>
        <v>53.1091770305901</v>
      </c>
      <c r="H64" s="12" t="n">
        <f aca="false">ROUND(G64-F64,2)</f>
        <v>-0</v>
      </c>
    </row>
    <row r="65" customFormat="false" ht="15" hidden="false" customHeight="false" outlineLevel="0" collapsed="false">
      <c r="A65" s="9" t="s">
        <v>33</v>
      </c>
      <c r="B65" s="10" t="s">
        <v>11</v>
      </c>
      <c r="C65" s="11" t="n">
        <v>39500</v>
      </c>
      <c r="D65" s="11" t="n">
        <v>118493.71</v>
      </c>
      <c r="E65" s="11" t="n">
        <v>118500</v>
      </c>
      <c r="F65" s="11" t="n">
        <v>99.99</v>
      </c>
      <c r="G65" s="12" t="n">
        <f aca="false">IF(E65=0,0,D65/E65*100)</f>
        <v>99.9946919831224</v>
      </c>
      <c r="H65" s="12" t="n">
        <f aca="false">ROUND(G65-F65,2)</f>
        <v>0</v>
      </c>
    </row>
    <row r="66" customFormat="false" ht="15" hidden="false" customHeight="false" outlineLevel="0" collapsed="false">
      <c r="A66" s="13"/>
      <c r="B66" s="10" t="s">
        <v>12</v>
      </c>
      <c r="C66" s="11" t="n">
        <v>39500</v>
      </c>
      <c r="D66" s="11" t="n">
        <v>118493.71</v>
      </c>
      <c r="E66" s="11" t="n">
        <v>118500</v>
      </c>
      <c r="F66" s="11" t="n">
        <v>99.99</v>
      </c>
      <c r="G66" s="12" t="n">
        <f aca="false">IF(E66=0,0,D66/E66*100)</f>
        <v>99.9946919831224</v>
      </c>
      <c r="H66" s="12" t="n">
        <f aca="false">ROUND(G66-F66,2)</f>
        <v>0</v>
      </c>
    </row>
    <row r="67" customFormat="false" ht="15" hidden="false" customHeight="false" outlineLevel="0" collapsed="false">
      <c r="A67" s="13"/>
      <c r="B67" s="10" t="s">
        <v>13</v>
      </c>
      <c r="C67" s="11" t="n">
        <v>31600</v>
      </c>
      <c r="D67" s="11" t="n">
        <v>94794.97</v>
      </c>
      <c r="E67" s="11" t="n">
        <v>94800</v>
      </c>
      <c r="F67" s="11" t="n">
        <v>99.99</v>
      </c>
      <c r="G67" s="12" t="n">
        <f aca="false">IF(E67=0,0,D67/E67*100)</f>
        <v>99.994694092827</v>
      </c>
      <c r="H67" s="12" t="n">
        <f aca="false">ROUND(G67-F67,2)</f>
        <v>0</v>
      </c>
    </row>
    <row r="68" customFormat="false" ht="27.75" hidden="false" customHeight="true" outlineLevel="0" collapsed="false">
      <c r="A68" s="4" t="s">
        <v>34</v>
      </c>
      <c r="B68" s="5" t="s">
        <v>11</v>
      </c>
      <c r="C68" s="6" t="n">
        <v>0</v>
      </c>
      <c r="D68" s="6" t="n">
        <v>0</v>
      </c>
      <c r="E68" s="6" t="n">
        <v>1103935.71</v>
      </c>
      <c r="F68" s="6" t="n">
        <v>0</v>
      </c>
      <c r="G68" s="7" t="n">
        <f aca="false">IF(E68=0,0,D68/E68*100)</f>
        <v>0</v>
      </c>
      <c r="H68" s="7" t="n">
        <f aca="false">ROUND(G68-F68,2)</f>
        <v>0</v>
      </c>
    </row>
    <row r="69" customFormat="false" ht="15" hidden="false" customHeight="false" outlineLevel="0" collapsed="false">
      <c r="A69" s="8"/>
      <c r="B69" s="5" t="s">
        <v>12</v>
      </c>
      <c r="C69" s="6" t="n">
        <v>0</v>
      </c>
      <c r="D69" s="6" t="n">
        <v>0</v>
      </c>
      <c r="E69" s="6" t="n">
        <v>1103935.71</v>
      </c>
      <c r="F69" s="6" t="n">
        <v>0</v>
      </c>
      <c r="G69" s="7" t="n">
        <f aca="false">IF(E69=0,0,D69/E69*100)</f>
        <v>0</v>
      </c>
      <c r="H69" s="7" t="n">
        <f aca="false">ROUND(G69-F69,2)</f>
        <v>0</v>
      </c>
    </row>
    <row r="70" customFormat="false" ht="15" hidden="false" customHeight="false" outlineLevel="0" collapsed="false">
      <c r="A70" s="8"/>
      <c r="B70" s="5" t="s">
        <v>13</v>
      </c>
      <c r="C70" s="6" t="n">
        <v>0</v>
      </c>
      <c r="D70" s="6" t="n">
        <v>0</v>
      </c>
      <c r="E70" s="6" t="n">
        <v>883148.56</v>
      </c>
      <c r="F70" s="6" t="n">
        <v>0</v>
      </c>
      <c r="G70" s="7" t="n">
        <f aca="false">IF(E70=0,0,D70/E70*100)</f>
        <v>0</v>
      </c>
      <c r="H70" s="7" t="n">
        <f aca="false">ROUND(G70-F70,2)</f>
        <v>0</v>
      </c>
    </row>
    <row r="71" customFormat="false" ht="15" hidden="false" customHeight="false" outlineLevel="0" collapsed="false">
      <c r="A71" s="9" t="s">
        <v>35</v>
      </c>
      <c r="B71" s="10" t="s">
        <v>11</v>
      </c>
      <c r="C71" s="11" t="n">
        <v>0</v>
      </c>
      <c r="D71" s="11" t="n">
        <v>0</v>
      </c>
      <c r="E71" s="11" t="n">
        <v>332400</v>
      </c>
      <c r="F71" s="11" t="n">
        <v>0</v>
      </c>
      <c r="G71" s="12" t="n">
        <f aca="false">IF(E71=0,0,D71/E71*100)</f>
        <v>0</v>
      </c>
      <c r="H71" s="12" t="n">
        <f aca="false">ROUND(G71-F71,2)</f>
        <v>0</v>
      </c>
    </row>
    <row r="72" customFormat="false" ht="15" hidden="false" customHeight="false" outlineLevel="0" collapsed="false">
      <c r="A72" s="13"/>
      <c r="B72" s="10" t="s">
        <v>12</v>
      </c>
      <c r="C72" s="11" t="n">
        <v>0</v>
      </c>
      <c r="D72" s="11" t="n">
        <v>0</v>
      </c>
      <c r="E72" s="11" t="n">
        <v>332400</v>
      </c>
      <c r="F72" s="11" t="n">
        <v>0</v>
      </c>
      <c r="G72" s="12" t="n">
        <f aca="false">IF(E72=0,0,D72/E72*100)</f>
        <v>0</v>
      </c>
      <c r="H72" s="12" t="n">
        <f aca="false">ROUND(G72-F72,2)</f>
        <v>0</v>
      </c>
    </row>
    <row r="73" customFormat="false" ht="15" hidden="false" customHeight="false" outlineLevel="0" collapsed="false">
      <c r="A73" s="13"/>
      <c r="B73" s="10" t="s">
        <v>13</v>
      </c>
      <c r="C73" s="11" t="n">
        <v>0</v>
      </c>
      <c r="D73" s="11" t="n">
        <v>0</v>
      </c>
      <c r="E73" s="11" t="n">
        <v>265920</v>
      </c>
      <c r="F73" s="11" t="n">
        <v>0</v>
      </c>
      <c r="G73" s="12" t="n">
        <f aca="false">IF(E73=0,0,D73/E73*100)</f>
        <v>0</v>
      </c>
      <c r="H73" s="12" t="n">
        <f aca="false">ROUND(G73-F73,2)</f>
        <v>0</v>
      </c>
    </row>
    <row r="74" customFormat="false" ht="15" hidden="false" customHeight="false" outlineLevel="0" collapsed="false">
      <c r="A74" s="9" t="s">
        <v>36</v>
      </c>
      <c r="B74" s="10" t="s">
        <v>11</v>
      </c>
      <c r="C74" s="11" t="n">
        <v>0</v>
      </c>
      <c r="D74" s="11" t="n">
        <v>0</v>
      </c>
      <c r="E74" s="11" t="n">
        <v>113160</v>
      </c>
      <c r="F74" s="11" t="n">
        <v>0</v>
      </c>
      <c r="G74" s="12" t="n">
        <f aca="false">IF(E74=0,0,D74/E74*100)</f>
        <v>0</v>
      </c>
      <c r="H74" s="12" t="n">
        <f aca="false">ROUND(G74-F74,2)</f>
        <v>0</v>
      </c>
    </row>
    <row r="75" customFormat="false" ht="15" hidden="false" customHeight="false" outlineLevel="0" collapsed="false">
      <c r="A75" s="13"/>
      <c r="B75" s="10" t="s">
        <v>12</v>
      </c>
      <c r="C75" s="11" t="n">
        <v>0</v>
      </c>
      <c r="D75" s="11" t="n">
        <v>0</v>
      </c>
      <c r="E75" s="11" t="n">
        <v>113160</v>
      </c>
      <c r="F75" s="11" t="n">
        <v>0</v>
      </c>
      <c r="G75" s="12" t="n">
        <f aca="false">IF(E75=0,0,D75/E75*100)</f>
        <v>0</v>
      </c>
      <c r="H75" s="12" t="n">
        <f aca="false">ROUND(G75-F75,2)</f>
        <v>0</v>
      </c>
    </row>
    <row r="76" customFormat="false" ht="15" hidden="false" customHeight="false" outlineLevel="0" collapsed="false">
      <c r="A76" s="13"/>
      <c r="B76" s="10" t="s">
        <v>13</v>
      </c>
      <c r="C76" s="11" t="n">
        <v>0</v>
      </c>
      <c r="D76" s="11" t="n">
        <v>0</v>
      </c>
      <c r="E76" s="11" t="n">
        <v>90528</v>
      </c>
      <c r="F76" s="11" t="n">
        <v>0</v>
      </c>
      <c r="G76" s="12" t="n">
        <f aca="false">IF(E76=0,0,D76/E76*100)</f>
        <v>0</v>
      </c>
      <c r="H76" s="12" t="n">
        <f aca="false">ROUND(G76-F76,2)</f>
        <v>0</v>
      </c>
    </row>
    <row r="77" customFormat="false" ht="15" hidden="false" customHeight="false" outlineLevel="0" collapsed="false">
      <c r="A77" s="9" t="s">
        <v>37</v>
      </c>
      <c r="B77" s="10" t="s">
        <v>11</v>
      </c>
      <c r="C77" s="11" t="n">
        <v>0</v>
      </c>
      <c r="D77" s="11" t="n">
        <v>0</v>
      </c>
      <c r="E77" s="11" t="n">
        <v>162660</v>
      </c>
      <c r="F77" s="11" t="n">
        <v>0</v>
      </c>
      <c r="G77" s="12" t="n">
        <f aca="false">IF(E77=0,0,D77/E77*100)</f>
        <v>0</v>
      </c>
      <c r="H77" s="12" t="n">
        <f aca="false">ROUND(G77-F77,2)</f>
        <v>0</v>
      </c>
    </row>
    <row r="78" customFormat="false" ht="15" hidden="false" customHeight="false" outlineLevel="0" collapsed="false">
      <c r="A78" s="13"/>
      <c r="B78" s="10" t="s">
        <v>12</v>
      </c>
      <c r="C78" s="11" t="n">
        <v>0</v>
      </c>
      <c r="D78" s="11" t="n">
        <v>0</v>
      </c>
      <c r="E78" s="11" t="n">
        <v>162660</v>
      </c>
      <c r="F78" s="11" t="n">
        <v>0</v>
      </c>
      <c r="G78" s="12" t="n">
        <f aca="false">IF(E78=0,0,D78/E78*100)</f>
        <v>0</v>
      </c>
      <c r="H78" s="12" t="n">
        <f aca="false">ROUND(G78-F78,2)</f>
        <v>0</v>
      </c>
    </row>
    <row r="79" customFormat="false" ht="15" hidden="false" customHeight="false" outlineLevel="0" collapsed="false">
      <c r="A79" s="13"/>
      <c r="B79" s="10" t="s">
        <v>13</v>
      </c>
      <c r="C79" s="11" t="n">
        <v>0</v>
      </c>
      <c r="D79" s="11" t="n">
        <v>0</v>
      </c>
      <c r="E79" s="11" t="n">
        <v>130128</v>
      </c>
      <c r="F79" s="11" t="n">
        <v>0</v>
      </c>
      <c r="G79" s="12" t="n">
        <f aca="false">IF(E79=0,0,D79/E79*100)</f>
        <v>0</v>
      </c>
      <c r="H79" s="12" t="n">
        <f aca="false">ROUND(G79-F79,2)</f>
        <v>0</v>
      </c>
    </row>
    <row r="80" customFormat="false" ht="15" hidden="false" customHeight="false" outlineLevel="0" collapsed="false">
      <c r="A80" s="9" t="s">
        <v>38</v>
      </c>
      <c r="B80" s="10" t="s">
        <v>11</v>
      </c>
      <c r="C80" s="11" t="n">
        <v>0</v>
      </c>
      <c r="D80" s="11" t="n">
        <v>0</v>
      </c>
      <c r="E80" s="11" t="n">
        <v>123750</v>
      </c>
      <c r="F80" s="11" t="n">
        <v>0</v>
      </c>
      <c r="G80" s="12" t="n">
        <f aca="false">IF(E80=0,0,D80/E80*100)</f>
        <v>0</v>
      </c>
      <c r="H80" s="12" t="n">
        <f aca="false">ROUND(G80-F80,2)</f>
        <v>0</v>
      </c>
    </row>
    <row r="81" customFormat="false" ht="15" hidden="false" customHeight="false" outlineLevel="0" collapsed="false">
      <c r="A81" s="13"/>
      <c r="B81" s="10" t="s">
        <v>12</v>
      </c>
      <c r="C81" s="11" t="n">
        <v>0</v>
      </c>
      <c r="D81" s="11" t="n">
        <v>0</v>
      </c>
      <c r="E81" s="11" t="n">
        <v>123750</v>
      </c>
      <c r="F81" s="11" t="n">
        <v>0</v>
      </c>
      <c r="G81" s="12" t="n">
        <f aca="false">IF(E81=0,0,D81/E81*100)</f>
        <v>0</v>
      </c>
      <c r="H81" s="12" t="n">
        <f aca="false">ROUND(G81-F81,2)</f>
        <v>0</v>
      </c>
    </row>
    <row r="82" customFormat="false" ht="15" hidden="false" customHeight="false" outlineLevel="0" collapsed="false">
      <c r="A82" s="13"/>
      <c r="B82" s="10" t="s">
        <v>13</v>
      </c>
      <c r="C82" s="11" t="n">
        <v>0</v>
      </c>
      <c r="D82" s="11" t="n">
        <v>0</v>
      </c>
      <c r="E82" s="11" t="n">
        <v>99000</v>
      </c>
      <c r="F82" s="11" t="n">
        <v>0</v>
      </c>
      <c r="G82" s="12" t="n">
        <f aca="false">IF(E82=0,0,D82/E82*100)</f>
        <v>0</v>
      </c>
      <c r="H82" s="12" t="n">
        <f aca="false">ROUND(G82-F82,2)</f>
        <v>0</v>
      </c>
    </row>
    <row r="83" customFormat="false" ht="15" hidden="false" customHeight="false" outlineLevel="0" collapsed="false">
      <c r="A83" s="9" t="s">
        <v>39</v>
      </c>
      <c r="B83" s="10" t="s">
        <v>11</v>
      </c>
      <c r="C83" s="11" t="n">
        <v>0</v>
      </c>
      <c r="D83" s="11" t="n">
        <v>0</v>
      </c>
      <c r="E83" s="11" t="n">
        <v>44640</v>
      </c>
      <c r="F83" s="11" t="n">
        <v>0</v>
      </c>
      <c r="G83" s="12" t="n">
        <f aca="false">IF(E83=0,0,D83/E83*100)</f>
        <v>0</v>
      </c>
      <c r="H83" s="12" t="n">
        <f aca="false">ROUND(G83-F83,2)</f>
        <v>0</v>
      </c>
    </row>
    <row r="84" customFormat="false" ht="15" hidden="false" customHeight="false" outlineLevel="0" collapsed="false">
      <c r="A84" s="13"/>
      <c r="B84" s="10" t="s">
        <v>12</v>
      </c>
      <c r="C84" s="11" t="n">
        <v>0</v>
      </c>
      <c r="D84" s="11" t="n">
        <v>0</v>
      </c>
      <c r="E84" s="11" t="n">
        <v>44640</v>
      </c>
      <c r="F84" s="11" t="n">
        <v>0</v>
      </c>
      <c r="G84" s="12" t="n">
        <f aca="false">IF(E84=0,0,D84/E84*100)</f>
        <v>0</v>
      </c>
      <c r="H84" s="12" t="n">
        <f aca="false">ROUND(G84-F84,2)</f>
        <v>0</v>
      </c>
    </row>
    <row r="85" customFormat="false" ht="15" hidden="false" customHeight="false" outlineLevel="0" collapsed="false">
      <c r="A85" s="13"/>
      <c r="B85" s="10" t="s">
        <v>13</v>
      </c>
      <c r="C85" s="11" t="n">
        <v>0</v>
      </c>
      <c r="D85" s="11" t="n">
        <v>0</v>
      </c>
      <c r="E85" s="11" t="n">
        <v>35712</v>
      </c>
      <c r="F85" s="11" t="n">
        <v>0</v>
      </c>
      <c r="G85" s="12" t="n">
        <f aca="false">IF(E85=0,0,D85/E85*100)</f>
        <v>0</v>
      </c>
      <c r="H85" s="12" t="n">
        <f aca="false">ROUND(G85-F85,2)</f>
        <v>0</v>
      </c>
    </row>
    <row r="86" customFormat="false" ht="15" hidden="false" customHeight="false" outlineLevel="0" collapsed="false">
      <c r="A86" s="9" t="s">
        <v>40</v>
      </c>
      <c r="B86" s="10" t="s">
        <v>11</v>
      </c>
      <c r="C86" s="11" t="n">
        <v>0</v>
      </c>
      <c r="D86" s="11" t="n">
        <v>0</v>
      </c>
      <c r="E86" s="11" t="n">
        <v>123750</v>
      </c>
      <c r="F86" s="11" t="n">
        <v>0</v>
      </c>
      <c r="G86" s="12" t="n">
        <f aca="false">IF(E86=0,0,D86/E86*100)</f>
        <v>0</v>
      </c>
      <c r="H86" s="12" t="n">
        <f aca="false">ROUND(G86-F86,2)</f>
        <v>0</v>
      </c>
    </row>
    <row r="87" customFormat="false" ht="15" hidden="false" customHeight="false" outlineLevel="0" collapsed="false">
      <c r="A87" s="13"/>
      <c r="B87" s="10" t="s">
        <v>12</v>
      </c>
      <c r="C87" s="11" t="n">
        <v>0</v>
      </c>
      <c r="D87" s="11" t="n">
        <v>0</v>
      </c>
      <c r="E87" s="11" t="n">
        <v>123750</v>
      </c>
      <c r="F87" s="11" t="n">
        <v>0</v>
      </c>
      <c r="G87" s="12" t="n">
        <f aca="false">IF(E87=0,0,D87/E87*100)</f>
        <v>0</v>
      </c>
      <c r="H87" s="12" t="n">
        <f aca="false">ROUND(G87-F87,2)</f>
        <v>0</v>
      </c>
    </row>
    <row r="88" customFormat="false" ht="15" hidden="false" customHeight="false" outlineLevel="0" collapsed="false">
      <c r="A88" s="13"/>
      <c r="B88" s="10" t="s">
        <v>13</v>
      </c>
      <c r="C88" s="11" t="n">
        <v>0</v>
      </c>
      <c r="D88" s="11" t="n">
        <v>0</v>
      </c>
      <c r="E88" s="11" t="n">
        <v>99000</v>
      </c>
      <c r="F88" s="11" t="n">
        <v>0</v>
      </c>
      <c r="G88" s="12" t="n">
        <f aca="false">IF(E88=0,0,D88/E88*100)</f>
        <v>0</v>
      </c>
      <c r="H88" s="12" t="n">
        <f aca="false">ROUND(G88-F88,2)</f>
        <v>0</v>
      </c>
    </row>
    <row r="89" customFormat="false" ht="15" hidden="false" customHeight="false" outlineLevel="0" collapsed="false">
      <c r="A89" s="9" t="s">
        <v>41</v>
      </c>
      <c r="B89" s="10" t="s">
        <v>11</v>
      </c>
      <c r="C89" s="11" t="n">
        <v>0</v>
      </c>
      <c r="D89" s="11" t="n">
        <v>0</v>
      </c>
      <c r="E89" s="11" t="n">
        <v>80790</v>
      </c>
      <c r="F89" s="11" t="n">
        <v>0</v>
      </c>
      <c r="G89" s="12" t="n">
        <f aca="false">IF(E89=0,0,D89/E89*100)</f>
        <v>0</v>
      </c>
      <c r="H89" s="12" t="n">
        <f aca="false">ROUND(G89-F89,2)</f>
        <v>0</v>
      </c>
    </row>
    <row r="90" customFormat="false" ht="15" hidden="false" customHeight="false" outlineLevel="0" collapsed="false">
      <c r="A90" s="13"/>
      <c r="B90" s="10" t="s">
        <v>12</v>
      </c>
      <c r="C90" s="11" t="n">
        <v>0</v>
      </c>
      <c r="D90" s="11" t="n">
        <v>0</v>
      </c>
      <c r="E90" s="11" t="n">
        <v>80790</v>
      </c>
      <c r="F90" s="11" t="n">
        <v>0</v>
      </c>
      <c r="G90" s="12" t="n">
        <f aca="false">IF(E90=0,0,D90/E90*100)</f>
        <v>0</v>
      </c>
      <c r="H90" s="12" t="n">
        <f aca="false">ROUND(G90-F90,2)</f>
        <v>0</v>
      </c>
    </row>
    <row r="91" customFormat="false" ht="15" hidden="false" customHeight="false" outlineLevel="0" collapsed="false">
      <c r="A91" s="13"/>
      <c r="B91" s="10" t="s">
        <v>13</v>
      </c>
      <c r="C91" s="11" t="n">
        <v>0</v>
      </c>
      <c r="D91" s="11" t="n">
        <v>0</v>
      </c>
      <c r="E91" s="11" t="n">
        <v>64632</v>
      </c>
      <c r="F91" s="11" t="n">
        <v>0</v>
      </c>
      <c r="G91" s="12" t="n">
        <f aca="false">IF(E91=0,0,D91/E91*100)</f>
        <v>0</v>
      </c>
      <c r="H91" s="12" t="n">
        <f aca="false">ROUND(G91-F91,2)</f>
        <v>0</v>
      </c>
    </row>
    <row r="92" customFormat="false" ht="15" hidden="false" customHeight="false" outlineLevel="0" collapsed="false">
      <c r="A92" s="9" t="s">
        <v>42</v>
      </c>
      <c r="B92" s="10" t="s">
        <v>11</v>
      </c>
      <c r="C92" s="11" t="n">
        <v>0</v>
      </c>
      <c r="D92" s="11" t="n">
        <v>0</v>
      </c>
      <c r="E92" s="11" t="n">
        <v>4285.71</v>
      </c>
      <c r="F92" s="11" t="n">
        <v>0</v>
      </c>
      <c r="G92" s="12" t="n">
        <f aca="false">IF(E92=0,0,D92/E92*100)</f>
        <v>0</v>
      </c>
      <c r="H92" s="12" t="n">
        <f aca="false">ROUND(G92-F92,2)</f>
        <v>0</v>
      </c>
    </row>
    <row r="93" customFormat="false" ht="15" hidden="false" customHeight="false" outlineLevel="0" collapsed="false">
      <c r="A93" s="13"/>
      <c r="B93" s="10" t="s">
        <v>12</v>
      </c>
      <c r="C93" s="11" t="n">
        <v>0</v>
      </c>
      <c r="D93" s="11" t="n">
        <v>0</v>
      </c>
      <c r="E93" s="11" t="n">
        <v>4285.71</v>
      </c>
      <c r="F93" s="11" t="n">
        <v>0</v>
      </c>
      <c r="G93" s="12" t="n">
        <f aca="false">IF(E93=0,0,D93/E93*100)</f>
        <v>0</v>
      </c>
      <c r="H93" s="12" t="n">
        <f aca="false">ROUND(G93-F93,2)</f>
        <v>0</v>
      </c>
    </row>
    <row r="94" customFormat="false" ht="15" hidden="false" customHeight="false" outlineLevel="0" collapsed="false">
      <c r="A94" s="13"/>
      <c r="B94" s="10" t="s">
        <v>13</v>
      </c>
      <c r="C94" s="11" t="n">
        <v>0</v>
      </c>
      <c r="D94" s="11" t="n">
        <v>0</v>
      </c>
      <c r="E94" s="11" t="n">
        <v>3428.56</v>
      </c>
      <c r="F94" s="11" t="n">
        <v>0</v>
      </c>
      <c r="G94" s="12" t="n">
        <f aca="false">IF(E94=0,0,D94/E94*100)</f>
        <v>0</v>
      </c>
      <c r="H94" s="12" t="n">
        <f aca="false">ROUND(G94-F94,2)</f>
        <v>0</v>
      </c>
    </row>
    <row r="95" customFormat="false" ht="15" hidden="false" customHeight="false" outlineLevel="0" collapsed="false">
      <c r="A95" s="9" t="s">
        <v>43</v>
      </c>
      <c r="B95" s="10" t="s">
        <v>11</v>
      </c>
      <c r="C95" s="11" t="n">
        <v>0</v>
      </c>
      <c r="D95" s="11" t="n">
        <v>0</v>
      </c>
      <c r="E95" s="11" t="n">
        <v>118500</v>
      </c>
      <c r="F95" s="11" t="n">
        <v>0</v>
      </c>
      <c r="G95" s="12" t="n">
        <f aca="false">IF(E95=0,0,D95/E95*100)</f>
        <v>0</v>
      </c>
      <c r="H95" s="12" t="n">
        <f aca="false">ROUND(G95-F95,2)</f>
        <v>0</v>
      </c>
    </row>
    <row r="96" customFormat="false" ht="15" hidden="false" customHeight="false" outlineLevel="0" collapsed="false">
      <c r="A96" s="13"/>
      <c r="B96" s="10" t="s">
        <v>12</v>
      </c>
      <c r="C96" s="11" t="n">
        <v>0</v>
      </c>
      <c r="D96" s="11" t="n">
        <v>0</v>
      </c>
      <c r="E96" s="11" t="n">
        <v>118500</v>
      </c>
      <c r="F96" s="11" t="n">
        <v>0</v>
      </c>
      <c r="G96" s="12" t="n">
        <f aca="false">IF(E96=0,0,D96/E96*100)</f>
        <v>0</v>
      </c>
      <c r="H96" s="12" t="n">
        <f aca="false">ROUND(G96-F96,2)</f>
        <v>0</v>
      </c>
    </row>
    <row r="97" customFormat="false" ht="15" hidden="false" customHeight="false" outlineLevel="0" collapsed="false">
      <c r="A97" s="13"/>
      <c r="B97" s="10" t="s">
        <v>13</v>
      </c>
      <c r="C97" s="11" t="n">
        <v>0</v>
      </c>
      <c r="D97" s="11" t="n">
        <v>0</v>
      </c>
      <c r="E97" s="11" t="n">
        <v>94800</v>
      </c>
      <c r="F97" s="11" t="n">
        <v>0</v>
      </c>
      <c r="G97" s="12" t="n">
        <f aca="false">IF(E97=0,0,D97/E97*100)</f>
        <v>0</v>
      </c>
      <c r="H97" s="12" t="n">
        <f aca="false">ROUND(G97-F97,2)</f>
        <v>0</v>
      </c>
    </row>
    <row r="98" customFormat="false" ht="15" hidden="false" customHeight="false" outlineLevel="0" collapsed="false">
      <c r="A98" s="4" t="s">
        <v>44</v>
      </c>
      <c r="B98" s="5" t="s">
        <v>11</v>
      </c>
      <c r="C98" s="6" t="n">
        <v>0</v>
      </c>
      <c r="D98" s="6" t="n">
        <v>0</v>
      </c>
      <c r="E98" s="6" t="n">
        <v>698237.14</v>
      </c>
      <c r="F98" s="6" t="n">
        <v>0</v>
      </c>
      <c r="G98" s="7" t="n">
        <f aca="false">IF(E98=0,0,D98/E98*100)</f>
        <v>0</v>
      </c>
      <c r="H98" s="7" t="n">
        <f aca="false">ROUND(G98-F98,2)</f>
        <v>0</v>
      </c>
    </row>
    <row r="99" customFormat="false" ht="15" hidden="false" customHeight="false" outlineLevel="0" collapsed="false">
      <c r="A99" s="8"/>
      <c r="B99" s="5" t="s">
        <v>12</v>
      </c>
      <c r="C99" s="6" t="n">
        <v>0</v>
      </c>
      <c r="D99" s="6" t="n">
        <v>0</v>
      </c>
      <c r="E99" s="6" t="n">
        <v>698237.14</v>
      </c>
      <c r="F99" s="6" t="n">
        <v>0</v>
      </c>
      <c r="G99" s="7" t="n">
        <f aca="false">IF(E99=0,0,D99/E99*100)</f>
        <v>0</v>
      </c>
      <c r="H99" s="7" t="n">
        <f aca="false">ROUND(G99-F99,2)</f>
        <v>0</v>
      </c>
    </row>
    <row r="100" customFormat="false" ht="15" hidden="false" customHeight="false" outlineLevel="0" collapsed="false">
      <c r="A100" s="8"/>
      <c r="B100" s="5" t="s">
        <v>13</v>
      </c>
      <c r="C100" s="6" t="n">
        <v>0</v>
      </c>
      <c r="D100" s="6" t="n">
        <v>0</v>
      </c>
      <c r="E100" s="6" t="n">
        <v>418942.28</v>
      </c>
      <c r="F100" s="6" t="n">
        <v>0</v>
      </c>
      <c r="G100" s="7" t="n">
        <f aca="false">IF(E100=0,0,D100/E100*100)</f>
        <v>0</v>
      </c>
      <c r="H100" s="7" t="n">
        <f aca="false">ROUND(G100-F100,2)</f>
        <v>0</v>
      </c>
    </row>
    <row r="101" customFormat="false" ht="15" hidden="false" customHeight="false" outlineLevel="0" collapsed="false">
      <c r="A101" s="9" t="s">
        <v>45</v>
      </c>
      <c r="B101" s="10" t="s">
        <v>11</v>
      </c>
      <c r="C101" s="11" t="n">
        <v>0</v>
      </c>
      <c r="D101" s="11" t="n">
        <v>0</v>
      </c>
      <c r="E101" s="11" t="n">
        <v>221600</v>
      </c>
      <c r="F101" s="11" t="n">
        <v>0</v>
      </c>
      <c r="G101" s="12" t="n">
        <f aca="false">IF(E101=0,0,D101/E101*100)</f>
        <v>0</v>
      </c>
      <c r="H101" s="12" t="n">
        <f aca="false">ROUND(G101-F101,2)</f>
        <v>0</v>
      </c>
    </row>
    <row r="102" customFormat="false" ht="15" hidden="false" customHeight="false" outlineLevel="0" collapsed="false">
      <c r="A102" s="13"/>
      <c r="B102" s="10" t="s">
        <v>12</v>
      </c>
      <c r="C102" s="11" t="n">
        <v>0</v>
      </c>
      <c r="D102" s="11" t="n">
        <v>0</v>
      </c>
      <c r="E102" s="11" t="n">
        <v>221600</v>
      </c>
      <c r="F102" s="11" t="n">
        <v>0</v>
      </c>
      <c r="G102" s="12" t="n">
        <f aca="false">IF(E102=0,0,D102/E102*100)</f>
        <v>0</v>
      </c>
      <c r="H102" s="12" t="n">
        <f aca="false">ROUND(G102-F102,2)</f>
        <v>0</v>
      </c>
    </row>
    <row r="103" customFormat="false" ht="15" hidden="false" customHeight="false" outlineLevel="0" collapsed="false">
      <c r="A103" s="13"/>
      <c r="B103" s="10" t="s">
        <v>13</v>
      </c>
      <c r="C103" s="11" t="n">
        <v>0</v>
      </c>
      <c r="D103" s="11" t="n">
        <v>0</v>
      </c>
      <c r="E103" s="11" t="n">
        <v>132960</v>
      </c>
      <c r="F103" s="11" t="n">
        <v>0</v>
      </c>
      <c r="G103" s="12" t="n">
        <f aca="false">IF(E103=0,0,D103/E103*100)</f>
        <v>0</v>
      </c>
      <c r="H103" s="12" t="n">
        <f aca="false">ROUND(G103-F103,2)</f>
        <v>0</v>
      </c>
    </row>
    <row r="104" customFormat="false" ht="15" hidden="false" customHeight="false" outlineLevel="0" collapsed="false">
      <c r="A104" s="9" t="s">
        <v>46</v>
      </c>
      <c r="B104" s="10" t="s">
        <v>11</v>
      </c>
      <c r="C104" s="11" t="n">
        <v>0</v>
      </c>
      <c r="D104" s="11" t="n">
        <v>0</v>
      </c>
      <c r="E104" s="11" t="n">
        <v>37720</v>
      </c>
      <c r="F104" s="11" t="n">
        <v>0</v>
      </c>
      <c r="G104" s="12" t="n">
        <f aca="false">IF(E104=0,0,D104/E104*100)</f>
        <v>0</v>
      </c>
      <c r="H104" s="12" t="n">
        <f aca="false">ROUND(G104-F104,2)</f>
        <v>0</v>
      </c>
    </row>
    <row r="105" customFormat="false" ht="15" hidden="false" customHeight="false" outlineLevel="0" collapsed="false">
      <c r="A105" s="13"/>
      <c r="B105" s="10" t="s">
        <v>12</v>
      </c>
      <c r="C105" s="11" t="n">
        <v>0</v>
      </c>
      <c r="D105" s="11" t="n">
        <v>0</v>
      </c>
      <c r="E105" s="11" t="n">
        <v>37720</v>
      </c>
      <c r="F105" s="11" t="n">
        <v>0</v>
      </c>
      <c r="G105" s="12" t="n">
        <f aca="false">IF(E105=0,0,D105/E105*100)</f>
        <v>0</v>
      </c>
      <c r="H105" s="12" t="n">
        <f aca="false">ROUND(G105-F105,2)</f>
        <v>0</v>
      </c>
    </row>
    <row r="106" customFormat="false" ht="15" hidden="false" customHeight="false" outlineLevel="0" collapsed="false">
      <c r="A106" s="13"/>
      <c r="B106" s="10" t="s">
        <v>13</v>
      </c>
      <c r="C106" s="11" t="n">
        <v>0</v>
      </c>
      <c r="D106" s="11" t="n">
        <v>0</v>
      </c>
      <c r="E106" s="11" t="n">
        <v>22632</v>
      </c>
      <c r="F106" s="11" t="n">
        <v>0</v>
      </c>
      <c r="G106" s="12" t="n">
        <f aca="false">IF(E106=0,0,D106/E106*100)</f>
        <v>0</v>
      </c>
      <c r="H106" s="12" t="n">
        <f aca="false">ROUND(G106-F106,2)</f>
        <v>0</v>
      </c>
    </row>
    <row r="107" customFormat="false" ht="15" hidden="false" customHeight="false" outlineLevel="0" collapsed="false">
      <c r="A107" s="9" t="s">
        <v>47</v>
      </c>
      <c r="B107" s="10" t="s">
        <v>11</v>
      </c>
      <c r="C107" s="11" t="n">
        <v>0</v>
      </c>
      <c r="D107" s="11" t="n">
        <v>0</v>
      </c>
      <c r="E107" s="11" t="n">
        <v>108440</v>
      </c>
      <c r="F107" s="11" t="n">
        <v>0</v>
      </c>
      <c r="G107" s="12" t="n">
        <f aca="false">IF(E107=0,0,D107/E107*100)</f>
        <v>0</v>
      </c>
      <c r="H107" s="12" t="n">
        <f aca="false">ROUND(G107-F107,2)</f>
        <v>0</v>
      </c>
    </row>
    <row r="108" customFormat="false" ht="15" hidden="false" customHeight="false" outlineLevel="0" collapsed="false">
      <c r="A108" s="13"/>
      <c r="B108" s="10" t="s">
        <v>12</v>
      </c>
      <c r="C108" s="11" t="n">
        <v>0</v>
      </c>
      <c r="D108" s="11" t="n">
        <v>0</v>
      </c>
      <c r="E108" s="11" t="n">
        <v>108440</v>
      </c>
      <c r="F108" s="11" t="n">
        <v>0</v>
      </c>
      <c r="G108" s="12" t="n">
        <f aca="false">IF(E108=0,0,D108/E108*100)</f>
        <v>0</v>
      </c>
      <c r="H108" s="12" t="n">
        <f aca="false">ROUND(G108-F108,2)</f>
        <v>0</v>
      </c>
    </row>
    <row r="109" customFormat="false" ht="15" hidden="false" customHeight="false" outlineLevel="0" collapsed="false">
      <c r="A109" s="13"/>
      <c r="B109" s="10" t="s">
        <v>13</v>
      </c>
      <c r="C109" s="11" t="n">
        <v>0</v>
      </c>
      <c r="D109" s="11" t="n">
        <v>0</v>
      </c>
      <c r="E109" s="11" t="n">
        <v>65064</v>
      </c>
      <c r="F109" s="11" t="n">
        <v>0</v>
      </c>
      <c r="G109" s="12" t="n">
        <f aca="false">IF(E109=0,0,D109/E109*100)</f>
        <v>0</v>
      </c>
      <c r="H109" s="12" t="n">
        <f aca="false">ROUND(G109-F109,2)</f>
        <v>0</v>
      </c>
    </row>
    <row r="110" customFormat="false" ht="15" hidden="false" customHeight="false" outlineLevel="0" collapsed="false">
      <c r="A110" s="9" t="s">
        <v>48</v>
      </c>
      <c r="B110" s="10" t="s">
        <v>11</v>
      </c>
      <c r="C110" s="11" t="n">
        <v>0</v>
      </c>
      <c r="D110" s="11" t="n">
        <v>0</v>
      </c>
      <c r="E110" s="11" t="n">
        <v>82500</v>
      </c>
      <c r="F110" s="11" t="n">
        <v>0</v>
      </c>
      <c r="G110" s="12" t="n">
        <f aca="false">IF(E110=0,0,D110/E110*100)</f>
        <v>0</v>
      </c>
      <c r="H110" s="12" t="n">
        <f aca="false">ROUND(G110-F110,2)</f>
        <v>0</v>
      </c>
    </row>
    <row r="111" customFormat="false" ht="15" hidden="false" customHeight="false" outlineLevel="0" collapsed="false">
      <c r="A111" s="13"/>
      <c r="B111" s="10" t="s">
        <v>12</v>
      </c>
      <c r="C111" s="11" t="n">
        <v>0</v>
      </c>
      <c r="D111" s="11" t="n">
        <v>0</v>
      </c>
      <c r="E111" s="11" t="n">
        <v>82500</v>
      </c>
      <c r="F111" s="11" t="n">
        <v>0</v>
      </c>
      <c r="G111" s="12" t="n">
        <f aca="false">IF(E111=0,0,D111/E111*100)</f>
        <v>0</v>
      </c>
      <c r="H111" s="12" t="n">
        <f aca="false">ROUND(G111-F111,2)</f>
        <v>0</v>
      </c>
    </row>
    <row r="112" customFormat="false" ht="15" hidden="false" customHeight="false" outlineLevel="0" collapsed="false">
      <c r="A112" s="13"/>
      <c r="B112" s="10" t="s">
        <v>13</v>
      </c>
      <c r="C112" s="11" t="n">
        <v>0</v>
      </c>
      <c r="D112" s="11" t="n">
        <v>0</v>
      </c>
      <c r="E112" s="11" t="n">
        <v>49500</v>
      </c>
      <c r="F112" s="11" t="n">
        <v>0</v>
      </c>
      <c r="G112" s="12" t="n">
        <f aca="false">IF(E112=0,0,D112/E112*100)</f>
        <v>0</v>
      </c>
      <c r="H112" s="12" t="n">
        <f aca="false">ROUND(G112-F112,2)</f>
        <v>0</v>
      </c>
    </row>
    <row r="113" customFormat="false" ht="15" hidden="false" customHeight="false" outlineLevel="0" collapsed="false">
      <c r="A113" s="9" t="s">
        <v>49</v>
      </c>
      <c r="B113" s="10" t="s">
        <v>11</v>
      </c>
      <c r="C113" s="11" t="n">
        <v>0</v>
      </c>
      <c r="D113" s="11" t="n">
        <v>0</v>
      </c>
      <c r="E113" s="11" t="n">
        <v>29760</v>
      </c>
      <c r="F113" s="11" t="n">
        <v>0</v>
      </c>
      <c r="G113" s="12" t="n">
        <f aca="false">IF(E113=0,0,D113/E113*100)</f>
        <v>0</v>
      </c>
      <c r="H113" s="12" t="n">
        <f aca="false">ROUND(G113-F113,2)</f>
        <v>0</v>
      </c>
    </row>
    <row r="114" customFormat="false" ht="15" hidden="false" customHeight="false" outlineLevel="0" collapsed="false">
      <c r="A114" s="13"/>
      <c r="B114" s="10" t="s">
        <v>12</v>
      </c>
      <c r="C114" s="11" t="n">
        <v>0</v>
      </c>
      <c r="D114" s="11" t="n">
        <v>0</v>
      </c>
      <c r="E114" s="11" t="n">
        <v>29760</v>
      </c>
      <c r="F114" s="11" t="n">
        <v>0</v>
      </c>
      <c r="G114" s="12" t="n">
        <f aca="false">IF(E114=0,0,D114/E114*100)</f>
        <v>0</v>
      </c>
      <c r="H114" s="12" t="n">
        <f aca="false">ROUND(G114-F114,2)</f>
        <v>0</v>
      </c>
    </row>
    <row r="115" customFormat="false" ht="15" hidden="false" customHeight="false" outlineLevel="0" collapsed="false">
      <c r="A115" s="13"/>
      <c r="B115" s="10" t="s">
        <v>13</v>
      </c>
      <c r="C115" s="11" t="n">
        <v>0</v>
      </c>
      <c r="D115" s="11" t="n">
        <v>0</v>
      </c>
      <c r="E115" s="11" t="n">
        <v>17856</v>
      </c>
      <c r="F115" s="11" t="n">
        <v>0</v>
      </c>
      <c r="G115" s="12" t="n">
        <f aca="false">IF(E115=0,0,D115/E115*100)</f>
        <v>0</v>
      </c>
      <c r="H115" s="12" t="n">
        <f aca="false">ROUND(G115-F115,2)</f>
        <v>0</v>
      </c>
    </row>
    <row r="116" customFormat="false" ht="15" hidden="false" customHeight="false" outlineLevel="0" collapsed="false">
      <c r="A116" s="9" t="s">
        <v>50</v>
      </c>
      <c r="B116" s="10" t="s">
        <v>11</v>
      </c>
      <c r="C116" s="11" t="n">
        <v>0</v>
      </c>
      <c r="D116" s="11" t="n">
        <v>0</v>
      </c>
      <c r="E116" s="11" t="n">
        <v>82500</v>
      </c>
      <c r="F116" s="11" t="n">
        <v>0</v>
      </c>
      <c r="G116" s="12" t="n">
        <f aca="false">IF(E116=0,0,D116/E116*100)</f>
        <v>0</v>
      </c>
      <c r="H116" s="12" t="n">
        <f aca="false">ROUND(G116-F116,2)</f>
        <v>0</v>
      </c>
    </row>
    <row r="117" customFormat="false" ht="15" hidden="false" customHeight="false" outlineLevel="0" collapsed="false">
      <c r="A117" s="13"/>
      <c r="B117" s="10" t="s">
        <v>12</v>
      </c>
      <c r="C117" s="11" t="n">
        <v>0</v>
      </c>
      <c r="D117" s="11" t="n">
        <v>0</v>
      </c>
      <c r="E117" s="11" t="n">
        <v>82500</v>
      </c>
      <c r="F117" s="11" t="n">
        <v>0</v>
      </c>
      <c r="G117" s="12" t="n">
        <f aca="false">IF(E117=0,0,D117/E117*100)</f>
        <v>0</v>
      </c>
      <c r="H117" s="12" t="n">
        <f aca="false">ROUND(G117-F117,2)</f>
        <v>0</v>
      </c>
    </row>
    <row r="118" customFormat="false" ht="15" hidden="false" customHeight="false" outlineLevel="0" collapsed="false">
      <c r="A118" s="13"/>
      <c r="B118" s="10" t="s">
        <v>13</v>
      </c>
      <c r="C118" s="11" t="n">
        <v>0</v>
      </c>
      <c r="D118" s="11" t="n">
        <v>0</v>
      </c>
      <c r="E118" s="11" t="n">
        <v>49500</v>
      </c>
      <c r="F118" s="11" t="n">
        <v>0</v>
      </c>
      <c r="G118" s="12" t="n">
        <f aca="false">IF(E118=0,0,D118/E118*100)</f>
        <v>0</v>
      </c>
      <c r="H118" s="12" t="n">
        <f aca="false">ROUND(G118-F118,2)</f>
        <v>0</v>
      </c>
    </row>
    <row r="119" customFormat="false" ht="15" hidden="false" customHeight="false" outlineLevel="0" collapsed="false">
      <c r="A119" s="9" t="s">
        <v>51</v>
      </c>
      <c r="B119" s="10" t="s">
        <v>11</v>
      </c>
      <c r="C119" s="11" t="n">
        <v>0</v>
      </c>
      <c r="D119" s="11" t="n">
        <v>0</v>
      </c>
      <c r="E119" s="11" t="n">
        <v>2857.14</v>
      </c>
      <c r="F119" s="11" t="n">
        <v>0</v>
      </c>
      <c r="G119" s="12" t="n">
        <f aca="false">IF(E119=0,0,D119/E119*100)</f>
        <v>0</v>
      </c>
      <c r="H119" s="12" t="n">
        <f aca="false">ROUND(G119-F119,2)</f>
        <v>0</v>
      </c>
    </row>
    <row r="120" customFormat="false" ht="15" hidden="false" customHeight="false" outlineLevel="0" collapsed="false">
      <c r="A120" s="13"/>
      <c r="B120" s="10" t="s">
        <v>12</v>
      </c>
      <c r="C120" s="11" t="n">
        <v>0</v>
      </c>
      <c r="D120" s="11" t="n">
        <v>0</v>
      </c>
      <c r="E120" s="11" t="n">
        <v>2857.14</v>
      </c>
      <c r="F120" s="11" t="n">
        <v>0</v>
      </c>
      <c r="G120" s="12" t="n">
        <f aca="false">IF(E120=0,0,D120/E120*100)</f>
        <v>0</v>
      </c>
      <c r="H120" s="12" t="n">
        <f aca="false">ROUND(G120-F120,2)</f>
        <v>0</v>
      </c>
    </row>
    <row r="121" customFormat="false" ht="15" hidden="false" customHeight="false" outlineLevel="0" collapsed="false">
      <c r="A121" s="13"/>
      <c r="B121" s="10" t="s">
        <v>13</v>
      </c>
      <c r="C121" s="11" t="n">
        <v>0</v>
      </c>
      <c r="D121" s="11" t="n">
        <v>0</v>
      </c>
      <c r="E121" s="11" t="n">
        <v>1714.28</v>
      </c>
      <c r="F121" s="11" t="n">
        <v>0</v>
      </c>
      <c r="G121" s="12" t="n">
        <f aca="false">IF(E121=0,0,D121/E121*100)</f>
        <v>0</v>
      </c>
      <c r="H121" s="12" t="n">
        <f aca="false">ROUND(G121-F121,2)</f>
        <v>0</v>
      </c>
    </row>
    <row r="122" customFormat="false" ht="15" hidden="false" customHeight="false" outlineLevel="0" collapsed="false">
      <c r="A122" s="9" t="s">
        <v>52</v>
      </c>
      <c r="B122" s="10" t="s">
        <v>11</v>
      </c>
      <c r="C122" s="11" t="n">
        <v>0</v>
      </c>
      <c r="D122" s="11" t="n">
        <v>0</v>
      </c>
      <c r="E122" s="11" t="n">
        <v>79000</v>
      </c>
      <c r="F122" s="11" t="n">
        <v>0</v>
      </c>
      <c r="G122" s="12" t="n">
        <f aca="false">IF(E122=0,0,D122/E122*100)</f>
        <v>0</v>
      </c>
      <c r="H122" s="12" t="n">
        <f aca="false">ROUND(G122-F122,2)</f>
        <v>0</v>
      </c>
    </row>
    <row r="123" customFormat="false" ht="15" hidden="false" customHeight="false" outlineLevel="0" collapsed="false">
      <c r="A123" s="13"/>
      <c r="B123" s="10" t="s">
        <v>12</v>
      </c>
      <c r="C123" s="11" t="n">
        <v>0</v>
      </c>
      <c r="D123" s="11" t="n">
        <v>0</v>
      </c>
      <c r="E123" s="11" t="n">
        <v>79000</v>
      </c>
      <c r="F123" s="11" t="n">
        <v>0</v>
      </c>
      <c r="G123" s="12" t="n">
        <f aca="false">IF(E123=0,0,D123/E123*100)</f>
        <v>0</v>
      </c>
      <c r="H123" s="12" t="n">
        <f aca="false">ROUND(G123-F123,2)</f>
        <v>0</v>
      </c>
    </row>
    <row r="124" customFormat="false" ht="15" hidden="false" customHeight="false" outlineLevel="0" collapsed="false">
      <c r="A124" s="13"/>
      <c r="B124" s="10" t="s">
        <v>13</v>
      </c>
      <c r="C124" s="11" t="n">
        <v>0</v>
      </c>
      <c r="D124" s="11" t="n">
        <v>0</v>
      </c>
      <c r="E124" s="11" t="n">
        <v>47400</v>
      </c>
      <c r="F124" s="11" t="n">
        <v>0</v>
      </c>
      <c r="G124" s="12" t="n">
        <f aca="false">IF(E124=0,0,D124/E124*100)</f>
        <v>0</v>
      </c>
      <c r="H124" s="12" t="n">
        <f aca="false">ROUND(G124-F124,2)</f>
        <v>0</v>
      </c>
    </row>
    <row r="125" customFormat="false" ht="15" hidden="false" customHeight="false" outlineLevel="0" collapsed="false">
      <c r="A125" s="9" t="s">
        <v>53</v>
      </c>
      <c r="B125" s="10" t="s">
        <v>11</v>
      </c>
      <c r="C125" s="11" t="n">
        <v>0</v>
      </c>
      <c r="D125" s="11" t="n">
        <v>0</v>
      </c>
      <c r="E125" s="11" t="n">
        <v>53860</v>
      </c>
      <c r="F125" s="11" t="n">
        <v>0</v>
      </c>
      <c r="G125" s="12" t="n">
        <f aca="false">IF(E125=0,0,D125/E125*100)</f>
        <v>0</v>
      </c>
      <c r="H125" s="12" t="n">
        <f aca="false">ROUND(G125-F125,2)</f>
        <v>0</v>
      </c>
    </row>
    <row r="126" customFormat="false" ht="15" hidden="false" customHeight="false" outlineLevel="0" collapsed="false">
      <c r="A126" s="13"/>
      <c r="B126" s="10" t="s">
        <v>12</v>
      </c>
      <c r="C126" s="11" t="n">
        <v>0</v>
      </c>
      <c r="D126" s="11" t="n">
        <v>0</v>
      </c>
      <c r="E126" s="11" t="n">
        <v>53860</v>
      </c>
      <c r="F126" s="11" t="n">
        <v>0</v>
      </c>
      <c r="G126" s="12" t="n">
        <f aca="false">IF(E126=0,0,D126/E126*100)</f>
        <v>0</v>
      </c>
      <c r="H126" s="12" t="n">
        <f aca="false">ROUND(G126-F126,2)</f>
        <v>0</v>
      </c>
    </row>
    <row r="127" customFormat="false" ht="15" hidden="false" customHeight="false" outlineLevel="0" collapsed="false">
      <c r="A127" s="13"/>
      <c r="B127" s="10" t="s">
        <v>13</v>
      </c>
      <c r="C127" s="11" t="n">
        <v>0</v>
      </c>
      <c r="D127" s="11" t="n">
        <v>0</v>
      </c>
      <c r="E127" s="11" t="n">
        <v>32316</v>
      </c>
      <c r="F127" s="11" t="n">
        <v>0</v>
      </c>
      <c r="G127" s="12" t="n">
        <f aca="false">IF(E127=0,0,D127/E127*100)</f>
        <v>0</v>
      </c>
      <c r="H127" s="12" t="n">
        <f aca="false">ROUND(G127-F127,2)</f>
        <v>0</v>
      </c>
    </row>
    <row r="128" customFormat="false" ht="15" hidden="false" customHeight="false" outlineLevel="0" collapsed="false">
      <c r="A128" s="14"/>
    </row>
    <row r="129" customFormat="false" ht="15" hidden="false" customHeight="false" outlineLevel="0" collapsed="false">
      <c r="A129" s="15" t="s">
        <v>54</v>
      </c>
    </row>
    <row r="130" customFormat="false" ht="15" hidden="false" customHeight="false" outlineLevel="0" collapsed="false">
      <c r="A130" s="9" t="s">
        <v>55</v>
      </c>
      <c r="B130" s="10" t="s">
        <v>11</v>
      </c>
      <c r="C130" s="11" t="n">
        <v>0</v>
      </c>
      <c r="D130" s="11" t="n">
        <v>370072.3</v>
      </c>
      <c r="E130" s="11" t="n">
        <v>968623.12</v>
      </c>
      <c r="F130" s="11" t="n">
        <v>38.21</v>
      </c>
      <c r="G130" s="12" t="n">
        <f aca="false">IF(E130=0,0,D130/E130*100)</f>
        <v>38.2060155656826</v>
      </c>
      <c r="H130" s="12" t="n">
        <f aca="false">ROUND(G130-F130,2)</f>
        <v>-0</v>
      </c>
    </row>
    <row r="131" customFormat="false" ht="15" hidden="false" customHeight="false" outlineLevel="0" collapsed="false">
      <c r="A131" s="13"/>
      <c r="B131" s="10" t="s">
        <v>12</v>
      </c>
      <c r="C131" s="11" t="n">
        <v>0</v>
      </c>
      <c r="D131" s="11" t="n">
        <v>328522.3</v>
      </c>
      <c r="E131" s="11" t="n">
        <v>968623.12</v>
      </c>
      <c r="F131" s="11" t="n">
        <v>33.92</v>
      </c>
      <c r="G131" s="12" t="n">
        <f aca="false">IF(E131=0,0,D131/E131*100)</f>
        <v>33.9164214870279</v>
      </c>
      <c r="H131" s="12" t="n">
        <f aca="false">ROUND(G131-F131,2)</f>
        <v>-0</v>
      </c>
    </row>
    <row r="132" customFormat="false" ht="15" hidden="false" customHeight="false" outlineLevel="0" collapsed="false">
      <c r="A132" s="13"/>
      <c r="B132" s="10" t="s">
        <v>13</v>
      </c>
      <c r="C132" s="11" t="n">
        <v>0</v>
      </c>
      <c r="D132" s="11" t="n">
        <v>262817.83</v>
      </c>
      <c r="E132" s="11" t="n">
        <v>739986.63</v>
      </c>
      <c r="F132" s="11" t="n">
        <v>35.52</v>
      </c>
      <c r="G132" s="12" t="n">
        <f aca="false">IF(E132=0,0,D132/E132*100)</f>
        <v>35.5165646709049</v>
      </c>
      <c r="H132" s="12" t="n">
        <f aca="false">ROUND(G132-F132,2)</f>
        <v>-0</v>
      </c>
    </row>
    <row r="133" customFormat="false" ht="27.75" hidden="false" customHeight="true" outlineLevel="0" collapsed="false">
      <c r="A133" s="9" t="s">
        <v>56</v>
      </c>
      <c r="B133" s="10" t="s">
        <v>11</v>
      </c>
      <c r="C133" s="11" t="n">
        <v>0</v>
      </c>
      <c r="D133" s="11" t="n">
        <v>370072.3</v>
      </c>
      <c r="E133" s="11" t="n">
        <v>968623.12</v>
      </c>
      <c r="F133" s="11" t="n">
        <v>38.21</v>
      </c>
      <c r="G133" s="12" t="n">
        <f aca="false">IF(E133=0,0,D133/E133*100)</f>
        <v>38.2060155656826</v>
      </c>
      <c r="H133" s="12" t="n">
        <f aca="false">ROUND(G133-F133,2)</f>
        <v>-0</v>
      </c>
    </row>
    <row r="134" customFormat="false" ht="15" hidden="false" customHeight="false" outlineLevel="0" collapsed="false">
      <c r="A134" s="13"/>
      <c r="B134" s="10" t="s">
        <v>12</v>
      </c>
      <c r="C134" s="11" t="n">
        <v>0</v>
      </c>
      <c r="D134" s="11" t="n">
        <v>328522.3</v>
      </c>
      <c r="E134" s="11" t="n">
        <v>968623.12</v>
      </c>
      <c r="F134" s="11" t="n">
        <v>33.92</v>
      </c>
      <c r="G134" s="12" t="n">
        <f aca="false">IF(E134=0,0,D134/E134*100)</f>
        <v>33.9164214870279</v>
      </c>
      <c r="H134" s="12" t="n">
        <f aca="false">ROUND(G134-F134,2)</f>
        <v>-0</v>
      </c>
    </row>
    <row r="135" customFormat="false" ht="15" hidden="false" customHeight="false" outlineLevel="0" collapsed="false">
      <c r="A135" s="13"/>
      <c r="B135" s="10" t="s">
        <v>13</v>
      </c>
      <c r="C135" s="11" t="n">
        <v>0</v>
      </c>
      <c r="D135" s="11" t="n">
        <v>262817.83</v>
      </c>
      <c r="E135" s="11" t="n">
        <v>739986.63</v>
      </c>
      <c r="F135" s="11" t="n">
        <v>35.52</v>
      </c>
      <c r="G135" s="12" t="n">
        <f aca="false">IF(E135=0,0,D135/E135*100)</f>
        <v>35.5165646709049</v>
      </c>
      <c r="H135" s="12" t="n">
        <f aca="false">ROUND(G135-F135,2)</f>
        <v>-0</v>
      </c>
    </row>
    <row r="136" customFormat="false" ht="15" hidden="false" customHeight="false" outlineLevel="0" collapsed="false">
      <c r="A136" s="9" t="s">
        <v>57</v>
      </c>
      <c r="B136" s="10" t="s">
        <v>11</v>
      </c>
      <c r="C136" s="11" t="n">
        <v>335904.98</v>
      </c>
      <c r="D136" s="11" t="n">
        <v>2186266.46</v>
      </c>
      <c r="E136" s="11" t="n">
        <v>4866115.61</v>
      </c>
      <c r="F136" s="11" t="n">
        <v>44.93</v>
      </c>
      <c r="G136" s="12" t="n">
        <f aca="false">IF(E136=0,0,D136/E136*100)</f>
        <v>44.9283707009994</v>
      </c>
      <c r="H136" s="12" t="n">
        <f aca="false">ROUND(G136-F136,2)</f>
        <v>-0</v>
      </c>
    </row>
    <row r="137" customFormat="false" ht="15" hidden="false" customHeight="false" outlineLevel="0" collapsed="false">
      <c r="A137" s="13"/>
      <c r="B137" s="10" t="s">
        <v>12</v>
      </c>
      <c r="C137" s="11" t="n">
        <v>335904.98</v>
      </c>
      <c r="D137" s="11" t="n">
        <v>1978516.46</v>
      </c>
      <c r="E137" s="11" t="n">
        <v>4843115.61</v>
      </c>
      <c r="F137" s="11" t="n">
        <v>40.85</v>
      </c>
      <c r="G137" s="12" t="n">
        <f aca="false">IF(E137=0,0,D137/E137*100)</f>
        <v>40.8521418715421</v>
      </c>
      <c r="H137" s="12" t="n">
        <f aca="false">ROUND(G137-F137,2)</f>
        <v>0</v>
      </c>
    </row>
    <row r="138" customFormat="false" ht="15" hidden="false" customHeight="false" outlineLevel="0" collapsed="false">
      <c r="A138" s="13"/>
      <c r="B138" s="10" t="s">
        <v>13</v>
      </c>
      <c r="C138" s="11" t="n">
        <v>268723.98</v>
      </c>
      <c r="D138" s="11" t="n">
        <v>1582813.16</v>
      </c>
      <c r="E138" s="11" t="n">
        <v>3699933.17</v>
      </c>
      <c r="F138" s="11" t="n">
        <v>42.78</v>
      </c>
      <c r="G138" s="12" t="n">
        <f aca="false">IF(E138=0,0,D138/E138*100)</f>
        <v>42.7795067444421</v>
      </c>
      <c r="H138" s="12" t="n">
        <f aca="false">ROUND(G138-F138,2)</f>
        <v>-0</v>
      </c>
    </row>
    <row r="139" customFormat="false" ht="15" hidden="false" customHeight="false" outlineLevel="0" collapsed="false">
      <c r="A139" s="9" t="s">
        <v>58</v>
      </c>
      <c r="B139" s="10" t="s">
        <v>11</v>
      </c>
      <c r="C139" s="11" t="n">
        <v>335904.98</v>
      </c>
      <c r="D139" s="11" t="n">
        <v>1816194.16</v>
      </c>
      <c r="E139" s="11" t="n">
        <v>3897492.49</v>
      </c>
      <c r="F139" s="11" t="n">
        <v>46.6</v>
      </c>
      <c r="G139" s="12" t="n">
        <f aca="false">IF(E139=0,0,D139/E139*100)</f>
        <v>46.5990419393983</v>
      </c>
      <c r="H139" s="12" t="n">
        <f aca="false">ROUND(G139-F139,2)</f>
        <v>-0</v>
      </c>
    </row>
    <row r="140" customFormat="false" ht="15" hidden="false" customHeight="false" outlineLevel="0" collapsed="false">
      <c r="A140" s="13"/>
      <c r="B140" s="10" t="s">
        <v>12</v>
      </c>
      <c r="C140" s="11" t="n">
        <v>335904.98</v>
      </c>
      <c r="D140" s="11" t="n">
        <v>1649994.16</v>
      </c>
      <c r="E140" s="11" t="n">
        <v>3874492.49</v>
      </c>
      <c r="F140" s="11" t="n">
        <v>42.59</v>
      </c>
      <c r="G140" s="12" t="n">
        <f aca="false">IF(E140=0,0,D140/E140*100)</f>
        <v>42.5860719631954</v>
      </c>
      <c r="H140" s="12" t="n">
        <f aca="false">ROUND(G140-F140,2)</f>
        <v>-0</v>
      </c>
    </row>
    <row r="141" customFormat="false" ht="15" hidden="false" customHeight="false" outlineLevel="0" collapsed="false">
      <c r="A141" s="13"/>
      <c r="B141" s="10" t="s">
        <v>13</v>
      </c>
      <c r="C141" s="11" t="n">
        <v>268723.98</v>
      </c>
      <c r="D141" s="11" t="n">
        <v>1319995.33</v>
      </c>
      <c r="E141" s="11" t="n">
        <v>2959946.54</v>
      </c>
      <c r="F141" s="11" t="n">
        <v>44.6</v>
      </c>
      <c r="G141" s="12" t="n">
        <f aca="false">IF(E141=0,0,D141/E141*100)</f>
        <v>44.5952422505577</v>
      </c>
      <c r="H141" s="12" t="n">
        <f aca="false">ROUND(G141-F141,2)</f>
        <v>-0</v>
      </c>
    </row>
    <row r="142" customFormat="false" ht="15" hidden="false" customHeight="false" outlineLevel="0" collapsed="false">
      <c r="A142" s="9" t="s">
        <v>59</v>
      </c>
      <c r="B142" s="10" t="s">
        <v>11</v>
      </c>
      <c r="C142" s="11" t="n">
        <v>0</v>
      </c>
      <c r="D142" s="11" t="n">
        <v>370072.3</v>
      </c>
      <c r="E142" s="11" t="n">
        <v>968623.12</v>
      </c>
      <c r="F142" s="11" t="n">
        <v>38.21</v>
      </c>
      <c r="G142" s="12" t="n">
        <f aca="false">IF(E142=0,0,D142/E142*100)</f>
        <v>38.2060155656826</v>
      </c>
      <c r="H142" s="12" t="n">
        <f aca="false">ROUND(G142-F142,2)</f>
        <v>-0</v>
      </c>
    </row>
    <row r="143" customFormat="false" ht="15" hidden="false" customHeight="false" outlineLevel="0" collapsed="false">
      <c r="A143" s="13"/>
      <c r="B143" s="10" t="s">
        <v>12</v>
      </c>
      <c r="C143" s="11" t="n">
        <v>0</v>
      </c>
      <c r="D143" s="11" t="n">
        <v>328522.3</v>
      </c>
      <c r="E143" s="11" t="n">
        <v>968623.12</v>
      </c>
      <c r="F143" s="11" t="n">
        <v>33.92</v>
      </c>
      <c r="G143" s="12" t="n">
        <f aca="false">IF(E143=0,0,D143/E143*100)</f>
        <v>33.9164214870279</v>
      </c>
      <c r="H143" s="12" t="n">
        <f aca="false">ROUND(G143-F143,2)</f>
        <v>-0</v>
      </c>
    </row>
    <row r="144" customFormat="false" ht="15" hidden="false" customHeight="false" outlineLevel="0" collapsed="false">
      <c r="A144" s="13"/>
      <c r="B144" s="10" t="s">
        <v>13</v>
      </c>
      <c r="C144" s="11" t="n">
        <v>0</v>
      </c>
      <c r="D144" s="11" t="n">
        <v>262817.83</v>
      </c>
      <c r="E144" s="11" t="n">
        <v>739986.63</v>
      </c>
      <c r="F144" s="11" t="n">
        <v>35.52</v>
      </c>
      <c r="G144" s="12" t="n">
        <f aca="false">IF(E144=0,0,D144/E144*100)</f>
        <v>35.5165646709049</v>
      </c>
      <c r="H144" s="12" t="n">
        <f aca="false">ROUND(G144-F144,2)</f>
        <v>-0</v>
      </c>
    </row>
    <row r="145" customFormat="false" ht="15" hidden="false" customHeight="false" outlineLevel="0" collapsed="false">
      <c r="A145" s="9" t="s">
        <v>60</v>
      </c>
      <c r="B145" s="10" t="s">
        <v>11</v>
      </c>
      <c r="C145" s="11" t="n">
        <v>335904.98</v>
      </c>
      <c r="D145" s="11" t="n">
        <v>1816194.16</v>
      </c>
      <c r="E145" s="11" t="n">
        <v>3897492.49</v>
      </c>
      <c r="F145" s="11" t="n">
        <v>46.6</v>
      </c>
      <c r="G145" s="12" t="n">
        <f aca="false">IF(E145=0,0,D145/E145*100)</f>
        <v>46.5990419393983</v>
      </c>
      <c r="H145" s="12" t="n">
        <f aca="false">ROUND(G145-F145,2)</f>
        <v>-0</v>
      </c>
    </row>
    <row r="146" customFormat="false" ht="15" hidden="false" customHeight="false" outlineLevel="0" collapsed="false">
      <c r="A146" s="13"/>
      <c r="B146" s="10" t="s">
        <v>12</v>
      </c>
      <c r="C146" s="11" t="n">
        <v>335904.98</v>
      </c>
      <c r="D146" s="11" t="n">
        <v>1649994.16</v>
      </c>
      <c r="E146" s="11" t="n">
        <v>3874492.49</v>
      </c>
      <c r="F146" s="11" t="n">
        <v>42.59</v>
      </c>
      <c r="G146" s="12" t="n">
        <f aca="false">IF(E146=0,0,D146/E146*100)</f>
        <v>42.5860719631954</v>
      </c>
      <c r="H146" s="12" t="n">
        <f aca="false">ROUND(G146-F146,2)</f>
        <v>-0</v>
      </c>
    </row>
    <row r="147" customFormat="false" ht="15" hidden="false" customHeight="false" outlineLevel="0" collapsed="false">
      <c r="A147" s="13"/>
      <c r="B147" s="10" t="s">
        <v>13</v>
      </c>
      <c r="C147" s="11" t="n">
        <v>268723.98</v>
      </c>
      <c r="D147" s="11" t="n">
        <v>1319995.33</v>
      </c>
      <c r="E147" s="11" t="n">
        <v>2959946.54</v>
      </c>
      <c r="F147" s="11" t="n">
        <v>44.6</v>
      </c>
      <c r="G147" s="12" t="n">
        <f aca="false">IF(E147=0,0,D147/E147*100)</f>
        <v>44.5952422505577</v>
      </c>
      <c r="H147" s="12" t="n">
        <f aca="false">ROUND(G147-F147,2)</f>
        <v>-0</v>
      </c>
    </row>
    <row r="148" customFormat="false" ht="15" hidden="false" customHeight="false" outlineLevel="0" collapsed="false">
      <c r="A148" s="9" t="s">
        <v>61</v>
      </c>
      <c r="B148" s="10" t="s">
        <v>11</v>
      </c>
      <c r="C148" s="11" t="n">
        <v>0</v>
      </c>
      <c r="D148" s="11" t="n">
        <v>370072.3</v>
      </c>
      <c r="E148" s="11" t="n">
        <v>968623.12</v>
      </c>
      <c r="F148" s="11" t="n">
        <v>38.21</v>
      </c>
      <c r="G148" s="12" t="n">
        <f aca="false">IF(E148=0,0,D148/E148*100)</f>
        <v>38.2060155656826</v>
      </c>
      <c r="H148" s="12" t="n">
        <f aca="false">ROUND(G148-F148,2)</f>
        <v>-0</v>
      </c>
    </row>
    <row r="149" customFormat="false" ht="15" hidden="false" customHeight="false" outlineLevel="0" collapsed="false">
      <c r="A149" s="13"/>
      <c r="B149" s="10" t="s">
        <v>12</v>
      </c>
      <c r="C149" s="11" t="n">
        <v>0</v>
      </c>
      <c r="D149" s="11" t="n">
        <v>328522.3</v>
      </c>
      <c r="E149" s="11" t="n">
        <v>968623.12</v>
      </c>
      <c r="F149" s="11" t="n">
        <v>33.92</v>
      </c>
      <c r="G149" s="12" t="n">
        <f aca="false">IF(E149=0,0,D149/E149*100)</f>
        <v>33.9164214870279</v>
      </c>
      <c r="H149" s="12" t="n">
        <f aca="false">ROUND(G149-F149,2)</f>
        <v>-0</v>
      </c>
    </row>
    <row r="150" customFormat="false" ht="15" hidden="false" customHeight="false" outlineLevel="0" collapsed="false">
      <c r="A150" s="13"/>
      <c r="B150" s="10" t="s">
        <v>13</v>
      </c>
      <c r="C150" s="11" t="n">
        <v>0</v>
      </c>
      <c r="D150" s="11" t="n">
        <v>262817.83</v>
      </c>
      <c r="E150" s="11" t="n">
        <v>739986.63</v>
      </c>
      <c r="F150" s="11" t="n">
        <v>35.52</v>
      </c>
      <c r="G150" s="12" t="n">
        <f aca="false">IF(E150=0,0,D150/E150*100)</f>
        <v>35.5165646709049</v>
      </c>
      <c r="H150" s="12" t="n">
        <f aca="false">ROUND(G150-F150,2)</f>
        <v>-0</v>
      </c>
    </row>
    <row r="151" customFormat="false" ht="15" hidden="false" customHeight="false" outlineLevel="0" collapsed="false">
      <c r="A151" s="9" t="s">
        <v>62</v>
      </c>
      <c r="B151" s="10" t="s">
        <v>11</v>
      </c>
      <c r="C151" s="11" t="n">
        <v>0</v>
      </c>
      <c r="D151" s="11" t="n">
        <v>4552.16</v>
      </c>
      <c r="E151" s="11" t="n">
        <v>14999.99</v>
      </c>
      <c r="F151" s="11" t="n">
        <v>30.35</v>
      </c>
      <c r="G151" s="12" t="n">
        <f aca="false">IF(E151=0,0,D151/E151*100)</f>
        <v>30.347753565169</v>
      </c>
      <c r="H151" s="12" t="n">
        <f aca="false">ROUND(G151-F151,2)</f>
        <v>-0</v>
      </c>
    </row>
    <row r="152" customFormat="false" ht="15" hidden="false" customHeight="false" outlineLevel="0" collapsed="false">
      <c r="A152" s="13"/>
      <c r="B152" s="10" t="s">
        <v>12</v>
      </c>
      <c r="C152" s="11" t="n">
        <v>0</v>
      </c>
      <c r="D152" s="11" t="n">
        <v>4552.16</v>
      </c>
      <c r="E152" s="11" t="n">
        <v>14999.99</v>
      </c>
      <c r="F152" s="11" t="n">
        <v>30.35</v>
      </c>
      <c r="G152" s="12" t="n">
        <f aca="false">IF(E152=0,0,D152/E152*100)</f>
        <v>30.347753565169</v>
      </c>
      <c r="H152" s="12" t="n">
        <f aca="false">ROUND(G152-F152,2)</f>
        <v>-0</v>
      </c>
    </row>
    <row r="153" customFormat="false" ht="15" hidden="false" customHeight="false" outlineLevel="0" collapsed="false">
      <c r="A153" s="13"/>
      <c r="B153" s="10" t="s">
        <v>13</v>
      </c>
      <c r="C153" s="11" t="n">
        <v>0</v>
      </c>
      <c r="D153" s="11" t="n">
        <v>3641.74</v>
      </c>
      <c r="E153" s="11" t="n">
        <v>11428.54</v>
      </c>
      <c r="F153" s="11" t="n">
        <v>31.87</v>
      </c>
      <c r="G153" s="12" t="n">
        <f aca="false">IF(E153=0,0,D153/E153*100)</f>
        <v>31.8653126296097</v>
      </c>
      <c r="H153" s="12" t="n">
        <f aca="false">ROUND(G153-F153,2)</f>
        <v>-0</v>
      </c>
    </row>
    <row r="154" customFormat="false" ht="15" hidden="false" customHeight="false" outlineLevel="0" collapsed="false">
      <c r="A154" s="9" t="s">
        <v>63</v>
      </c>
      <c r="B154" s="10" t="s">
        <v>11</v>
      </c>
      <c r="C154" s="11" t="n">
        <v>335904.98</v>
      </c>
      <c r="D154" s="11" t="n">
        <v>1811642</v>
      </c>
      <c r="E154" s="11" t="n">
        <v>3759492.5</v>
      </c>
      <c r="F154" s="11" t="n">
        <v>48.19</v>
      </c>
      <c r="G154" s="12" t="n">
        <f aca="false">IF(E154=0,0,D154/E154*100)</f>
        <v>48.1884722472515</v>
      </c>
      <c r="H154" s="12" t="n">
        <f aca="false">ROUND(G154-F154,2)</f>
        <v>-0</v>
      </c>
    </row>
    <row r="155" customFormat="false" ht="15" hidden="false" customHeight="false" outlineLevel="0" collapsed="false">
      <c r="A155" s="13"/>
      <c r="B155" s="10" t="s">
        <v>12</v>
      </c>
      <c r="C155" s="11" t="n">
        <v>335904.98</v>
      </c>
      <c r="D155" s="11" t="n">
        <v>1645442</v>
      </c>
      <c r="E155" s="11" t="n">
        <v>3759492.5</v>
      </c>
      <c r="F155" s="11" t="n">
        <v>43.77</v>
      </c>
      <c r="G155" s="12" t="n">
        <f aca="false">IF(E155=0,0,D155/E155*100)</f>
        <v>43.767662789592</v>
      </c>
      <c r="H155" s="12" t="n">
        <f aca="false">ROUND(G155-F155,2)</f>
        <v>-0</v>
      </c>
    </row>
    <row r="156" customFormat="false" ht="15" hidden="false" customHeight="false" outlineLevel="0" collapsed="false">
      <c r="A156" s="13"/>
      <c r="B156" s="10" t="s">
        <v>13</v>
      </c>
      <c r="C156" s="11" t="n">
        <v>268723.98</v>
      </c>
      <c r="D156" s="11" t="n">
        <v>1316353.59</v>
      </c>
      <c r="E156" s="11" t="n">
        <v>2868518</v>
      </c>
      <c r="F156" s="11" t="n">
        <v>45.89</v>
      </c>
      <c r="G156" s="12" t="n">
        <f aca="false">IF(E156=0,0,D156/E156*100)</f>
        <v>45.8896750865778</v>
      </c>
      <c r="H156" s="12" t="n">
        <f aca="false">ROUND(G156-F156,2)</f>
        <v>-0</v>
      </c>
    </row>
    <row r="157" customFormat="false" ht="15" hidden="false" customHeight="false" outlineLevel="0" collapsed="false">
      <c r="A157" s="9" t="s">
        <v>64</v>
      </c>
      <c r="B157" s="10" t="s">
        <v>11</v>
      </c>
      <c r="C157" s="11" t="n">
        <v>0</v>
      </c>
      <c r="D157" s="11" t="n">
        <v>0</v>
      </c>
      <c r="E157" s="11" t="n">
        <v>123000</v>
      </c>
      <c r="F157" s="11" t="n">
        <v>0</v>
      </c>
      <c r="G157" s="12" t="n">
        <f aca="false">IF(E157=0,0,D157/E157*100)</f>
        <v>0</v>
      </c>
      <c r="H157" s="12" t="n">
        <f aca="false">ROUND(G157-F157,2)</f>
        <v>0</v>
      </c>
    </row>
    <row r="158" customFormat="false" ht="15" hidden="false" customHeight="false" outlineLevel="0" collapsed="false">
      <c r="A158" s="13"/>
      <c r="B158" s="10" t="s">
        <v>12</v>
      </c>
      <c r="C158" s="11" t="n">
        <v>0</v>
      </c>
      <c r="D158" s="11" t="n">
        <v>0</v>
      </c>
      <c r="E158" s="11" t="n">
        <v>100000</v>
      </c>
      <c r="F158" s="11" t="n">
        <v>0</v>
      </c>
      <c r="G158" s="12" t="n">
        <f aca="false">IF(E158=0,0,D158/E158*100)</f>
        <v>0</v>
      </c>
      <c r="H158" s="12" t="n">
        <f aca="false">ROUND(G158-F158,2)</f>
        <v>0</v>
      </c>
    </row>
    <row r="159" customFormat="false" ht="15" hidden="false" customHeight="false" outlineLevel="0" collapsed="false">
      <c r="A159" s="13"/>
      <c r="B159" s="10" t="s">
        <v>13</v>
      </c>
      <c r="C159" s="11" t="n">
        <v>0</v>
      </c>
      <c r="D159" s="11" t="n">
        <v>0</v>
      </c>
      <c r="E159" s="11" t="n">
        <v>80000</v>
      </c>
      <c r="F159" s="11" t="n">
        <v>0</v>
      </c>
      <c r="G159" s="12" t="n">
        <f aca="false">IF(E159=0,0,D159/E159*100)</f>
        <v>0</v>
      </c>
      <c r="H159" s="12" t="n">
        <f aca="false">ROUND(G159-F159,2)</f>
        <v>0</v>
      </c>
    </row>
    <row r="160" customFormat="false" ht="15" hidden="false" customHeight="false" outlineLevel="0" collapsed="false">
      <c r="A160" s="9" t="s">
        <v>65</v>
      </c>
      <c r="B160" s="10" t="s">
        <v>11</v>
      </c>
      <c r="C160" s="11" t="n">
        <v>335904.98</v>
      </c>
      <c r="D160" s="11" t="n">
        <v>2186266.46</v>
      </c>
      <c r="E160" s="11" t="n">
        <v>4866115.61</v>
      </c>
      <c r="F160" s="11" t="n">
        <v>44.93</v>
      </c>
      <c r="G160" s="12" t="n">
        <f aca="false">IF(E160=0,0,D160/E160*100)</f>
        <v>44.9283707009994</v>
      </c>
      <c r="H160" s="12" t="n">
        <f aca="false">ROUND(G160-F160,2)</f>
        <v>-0</v>
      </c>
    </row>
    <row r="161" customFormat="false" ht="15" hidden="false" customHeight="false" outlineLevel="0" collapsed="false">
      <c r="A161" s="13"/>
      <c r="B161" s="10" t="s">
        <v>12</v>
      </c>
      <c r="C161" s="11" t="n">
        <v>335904.98</v>
      </c>
      <c r="D161" s="11" t="n">
        <v>1978516.46</v>
      </c>
      <c r="E161" s="11" t="n">
        <v>4843115.61</v>
      </c>
      <c r="F161" s="11" t="n">
        <v>40.85</v>
      </c>
      <c r="G161" s="12" t="n">
        <f aca="false">IF(E161=0,0,D161/E161*100)</f>
        <v>40.8521418715421</v>
      </c>
      <c r="H161" s="12" t="n">
        <f aca="false">ROUND(G161-F161,2)</f>
        <v>0</v>
      </c>
    </row>
    <row r="162" customFormat="false" ht="15" hidden="false" customHeight="false" outlineLevel="0" collapsed="false">
      <c r="A162" s="13"/>
      <c r="B162" s="10" t="s">
        <v>13</v>
      </c>
      <c r="C162" s="11" t="n">
        <v>268723.98</v>
      </c>
      <c r="D162" s="11" t="n">
        <v>1582813.16</v>
      </c>
      <c r="E162" s="11" t="n">
        <v>3699933.17</v>
      </c>
      <c r="F162" s="11" t="n">
        <v>42.78</v>
      </c>
      <c r="G162" s="12" t="n">
        <f aca="false">IF(E162=0,0,D162/E162*100)</f>
        <v>42.7795067444421</v>
      </c>
      <c r="H162" s="12" t="n">
        <f aca="false">ROUND(G162-F162,2)</f>
        <v>-0</v>
      </c>
    </row>
  </sheetData>
  <conditionalFormatting sqref="H5:H162">
    <cfRule type="cellIs" priority="2" operator="notBetween" aboveAverage="0" equalAverage="0" bottom="0" percent="0" rank="0" text="" dxfId="0">
      <formula>-0.01</formula>
      <formula>0.01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5.75" hidden="false" customHeight="true" outlineLevel="0" collapsed="false">
      <c r="A1" s="1" t="s">
        <v>66</v>
      </c>
    </row>
    <row r="2" customFormat="false" ht="15" hidden="false" customHeight="false" outlineLevel="0" collapsed="false">
      <c r="A2" s="16" t="s">
        <v>67</v>
      </c>
      <c r="B2" s="16" t="s">
        <v>3</v>
      </c>
      <c r="C2" s="16" t="s">
        <v>68</v>
      </c>
      <c r="D2" s="16" t="s">
        <v>69</v>
      </c>
      <c r="E2" s="16" t="s">
        <v>70</v>
      </c>
      <c r="F2" s="16" t="s">
        <v>71</v>
      </c>
      <c r="G2" s="16" t="s">
        <v>72</v>
      </c>
    </row>
    <row r="3" customFormat="false" ht="15" hidden="false" customHeight="false" outlineLevel="0" collapsed="false">
      <c r="A3" s="17" t="s">
        <v>73</v>
      </c>
      <c r="B3" s="17" t="s">
        <v>11</v>
      </c>
      <c r="C3" s="17" t="s">
        <v>74</v>
      </c>
      <c r="D3" s="18" t="n">
        <f aca="false">Podsumowanie!C5</f>
        <v>0</v>
      </c>
      <c r="E3" s="18" t="n">
        <f aca="false">Podsumowanie!C8+Podsumowanie!C11+Podsumowanie!C14+Podsumowanie!C17+Podsumowanie!C20+Podsumowanie!C23+Podsumowanie!C26+Podsumowanie!C29+Podsumowanie!C32</f>
        <v>0</v>
      </c>
      <c r="F3" s="18" t="n">
        <f aca="false">ROUND(D3-E3,2)</f>
        <v>0</v>
      </c>
      <c r="G3" s="17" t="str">
        <f aca="false">IF(ABS(F3)&lt;=0.02,"OK","BŁĄD")</f>
        <v>OK</v>
      </c>
    </row>
    <row r="4" customFormat="false" ht="15" hidden="false" customHeight="false" outlineLevel="0" collapsed="false">
      <c r="A4" s="17" t="s">
        <v>73</v>
      </c>
      <c r="B4" s="17" t="s">
        <v>11</v>
      </c>
      <c r="C4" s="17" t="s">
        <v>75</v>
      </c>
      <c r="D4" s="18" t="n">
        <f aca="false">Podsumowanie!D5</f>
        <v>807424.87</v>
      </c>
      <c r="E4" s="18" t="n">
        <f aca="false">Podsumowanie!D8+Podsumowanie!D11+Podsumowanie!D14+Podsumowanie!D17+Podsumowanie!D20+Podsumowanie!D23+Podsumowanie!D26+Podsumowanie!D29+Podsumowanie!D32</f>
        <v>807424.87</v>
      </c>
      <c r="F4" s="18" t="n">
        <f aca="false">ROUND(D4-E4,2)</f>
        <v>0</v>
      </c>
      <c r="G4" s="17" t="str">
        <f aca="false">IF(ABS(F4)&lt;=0.02,"OK","BŁĄD")</f>
        <v>OK</v>
      </c>
    </row>
    <row r="5" customFormat="false" ht="15" hidden="false" customHeight="false" outlineLevel="0" collapsed="false">
      <c r="A5" s="17" t="s">
        <v>73</v>
      </c>
      <c r="B5" s="17" t="s">
        <v>11</v>
      </c>
      <c r="C5" s="17" t="s">
        <v>76</v>
      </c>
      <c r="D5" s="18" t="n">
        <f aca="false">Podsumowanie!E5</f>
        <v>868383.93</v>
      </c>
      <c r="E5" s="18" t="n">
        <f aca="false">Podsumowanie!E8+Podsumowanie!E11+Podsumowanie!E14+Podsumowanie!E17+Podsumowanie!E20+Podsumowanie!E23+Podsumowanie!E26+Podsumowanie!E29+Podsumowanie!E32</f>
        <v>868383.93</v>
      </c>
      <c r="F5" s="18" t="n">
        <f aca="false">ROUND(D5-E5,2)</f>
        <v>0</v>
      </c>
      <c r="G5" s="17" t="str">
        <f aca="false">IF(ABS(F5)&lt;=0.02,"OK","BŁĄD")</f>
        <v>OK</v>
      </c>
    </row>
    <row r="6" customFormat="false" ht="15" hidden="false" customHeight="false" outlineLevel="0" collapsed="false">
      <c r="A6" s="17" t="s">
        <v>73</v>
      </c>
      <c r="B6" s="17" t="s">
        <v>12</v>
      </c>
      <c r="C6" s="17" t="s">
        <v>74</v>
      </c>
      <c r="D6" s="18" t="n">
        <f aca="false">Podsumowanie!C6</f>
        <v>0</v>
      </c>
      <c r="E6" s="18" t="n">
        <f aca="false">Podsumowanie!C9+Podsumowanie!C12+Podsumowanie!C15+Podsumowanie!C18+Podsumowanie!C21+Podsumowanie!C24+Podsumowanie!C27+Podsumowanie!C30+Podsumowanie!C33</f>
        <v>0</v>
      </c>
      <c r="F6" s="18" t="n">
        <f aca="false">ROUND(D6-E6,2)</f>
        <v>0</v>
      </c>
      <c r="G6" s="17" t="str">
        <f aca="false">IF(ABS(F6)&lt;=0.02,"OK","BŁĄD")</f>
        <v>OK</v>
      </c>
    </row>
    <row r="7" customFormat="false" ht="15" hidden="false" customHeight="false" outlineLevel="0" collapsed="false">
      <c r="A7" s="17" t="s">
        <v>73</v>
      </c>
      <c r="B7" s="17" t="s">
        <v>12</v>
      </c>
      <c r="C7" s="17" t="s">
        <v>75</v>
      </c>
      <c r="D7" s="18" t="n">
        <f aca="false">Podsumowanie!D6</f>
        <v>807424.87</v>
      </c>
      <c r="E7" s="18" t="n">
        <f aca="false">Podsumowanie!D9+Podsumowanie!D12+Podsumowanie!D15+Podsumowanie!D18+Podsumowanie!D21+Podsumowanie!D24+Podsumowanie!D27+Podsumowanie!D30+Podsumowanie!D33</f>
        <v>807424.87</v>
      </c>
      <c r="F7" s="18" t="n">
        <f aca="false">ROUND(D7-E7,2)</f>
        <v>0</v>
      </c>
      <c r="G7" s="17" t="str">
        <f aca="false">IF(ABS(F7)&lt;=0.02,"OK","BŁĄD")</f>
        <v>OK</v>
      </c>
    </row>
    <row r="8" customFormat="false" ht="15" hidden="false" customHeight="false" outlineLevel="0" collapsed="false">
      <c r="A8" s="17" t="s">
        <v>73</v>
      </c>
      <c r="B8" s="17" t="s">
        <v>12</v>
      </c>
      <c r="C8" s="17" t="s">
        <v>76</v>
      </c>
      <c r="D8" s="18" t="n">
        <f aca="false">Podsumowanie!E6</f>
        <v>868383.93</v>
      </c>
      <c r="E8" s="18" t="n">
        <f aca="false">Podsumowanie!E9+Podsumowanie!E12+Podsumowanie!E15+Podsumowanie!E18+Podsumowanie!E21+Podsumowanie!E24+Podsumowanie!E27+Podsumowanie!E30+Podsumowanie!E33</f>
        <v>868383.93</v>
      </c>
      <c r="F8" s="18" t="n">
        <f aca="false">ROUND(D8-E8,2)</f>
        <v>0</v>
      </c>
      <c r="G8" s="17" t="str">
        <f aca="false">IF(ABS(F8)&lt;=0.02,"OK","BŁĄD")</f>
        <v>OK</v>
      </c>
    </row>
    <row r="9" customFormat="false" ht="15" hidden="false" customHeight="false" outlineLevel="0" collapsed="false">
      <c r="A9" s="17" t="s">
        <v>73</v>
      </c>
      <c r="B9" s="17" t="s">
        <v>13</v>
      </c>
      <c r="C9" s="17" t="s">
        <v>74</v>
      </c>
      <c r="D9" s="18" t="n">
        <f aca="false">Podsumowanie!C7</f>
        <v>0</v>
      </c>
      <c r="E9" s="18" t="n">
        <f aca="false">Podsumowanie!C10+Podsumowanie!C13+Podsumowanie!C16+Podsumowanie!C19+Podsumowanie!C22+Podsumowanie!C25+Podsumowanie!C28+Podsumowanie!C31+Podsumowanie!C34</f>
        <v>0</v>
      </c>
      <c r="F9" s="18" t="n">
        <f aca="false">ROUND(D9-E9,2)</f>
        <v>0</v>
      </c>
      <c r="G9" s="17" t="str">
        <f aca="false">IF(ABS(F9)&lt;=0.02,"OK","BŁĄD")</f>
        <v>OK</v>
      </c>
    </row>
    <row r="10" customFormat="false" ht="15" hidden="false" customHeight="false" outlineLevel="0" collapsed="false">
      <c r="A10" s="17" t="s">
        <v>73</v>
      </c>
      <c r="B10" s="17" t="s">
        <v>13</v>
      </c>
      <c r="C10" s="17" t="s">
        <v>75</v>
      </c>
      <c r="D10" s="18" t="n">
        <f aca="false">Podsumowanie!D7</f>
        <v>645939.9</v>
      </c>
      <c r="E10" s="18" t="n">
        <f aca="false">Podsumowanie!D10+Podsumowanie!D13+Podsumowanie!D16+Podsumowanie!D19+Podsumowanie!D22+Podsumowanie!D25+Podsumowanie!D28+Podsumowanie!D31+Podsumowanie!D34</f>
        <v>645939.9</v>
      </c>
      <c r="F10" s="18" t="n">
        <f aca="false">ROUND(D10-E10,2)</f>
        <v>0</v>
      </c>
      <c r="G10" s="17" t="str">
        <f aca="false">IF(ABS(F10)&lt;=0.02,"OK","BŁĄD")</f>
        <v>OK</v>
      </c>
    </row>
    <row r="11" customFormat="false" ht="15" hidden="false" customHeight="false" outlineLevel="0" collapsed="false">
      <c r="A11" s="17" t="s">
        <v>73</v>
      </c>
      <c r="B11" s="17" t="s">
        <v>13</v>
      </c>
      <c r="C11" s="17" t="s">
        <v>76</v>
      </c>
      <c r="D11" s="18" t="n">
        <f aca="false">Podsumowanie!E7</f>
        <v>694707.14</v>
      </c>
      <c r="E11" s="18" t="n">
        <f aca="false">Podsumowanie!E10+Podsumowanie!E13+Podsumowanie!E16+Podsumowanie!E19+Podsumowanie!E22+Podsumowanie!E25+Podsumowanie!E28+Podsumowanie!E31+Podsumowanie!E34</f>
        <v>694707.14</v>
      </c>
      <c r="F11" s="18" t="n">
        <f aca="false">ROUND(D11-E11,2)</f>
        <v>0</v>
      </c>
      <c r="G11" s="17" t="str">
        <f aca="false">IF(ABS(F11)&lt;=0.02,"OK","BŁĄD")</f>
        <v>OK</v>
      </c>
    </row>
    <row r="12" customFormat="false" ht="15" hidden="false" customHeight="false" outlineLevel="0" collapsed="false">
      <c r="A12" s="17" t="s">
        <v>77</v>
      </c>
      <c r="B12" s="17" t="s">
        <v>11</v>
      </c>
      <c r="C12" s="17" t="s">
        <v>74</v>
      </c>
      <c r="D12" s="18" t="n">
        <f aca="false">Podsumowanie!C35</f>
        <v>335904.98</v>
      </c>
      <c r="E12" s="18" t="n">
        <f aca="false">Podsumowanie!C38+Podsumowanie!C41+Podsumowanie!C44+Podsumowanie!C47+Podsumowanie!C50+Podsumowanie!C53+Podsumowanie!C56+Podsumowanie!C59+Podsumowanie!C62+Podsumowanie!C65</f>
        <v>335904.98</v>
      </c>
      <c r="F12" s="18" t="n">
        <f aca="false">ROUND(D12-E12,2)</f>
        <v>0</v>
      </c>
      <c r="G12" s="17" t="str">
        <f aca="false">IF(ABS(F12)&lt;=0.02,"OK","BŁĄD")</f>
        <v>OK</v>
      </c>
    </row>
    <row r="13" customFormat="false" ht="15" hidden="false" customHeight="false" outlineLevel="0" collapsed="false">
      <c r="A13" s="17" t="s">
        <v>77</v>
      </c>
      <c r="B13" s="17" t="s">
        <v>11</v>
      </c>
      <c r="C13" s="17" t="s">
        <v>75</v>
      </c>
      <c r="D13" s="18" t="n">
        <f aca="false">Podsumowanie!D35</f>
        <v>1008769.29</v>
      </c>
      <c r="E13" s="18" t="n">
        <f aca="false">Podsumowanie!D38+Podsumowanie!D41+Podsumowanie!D44+Podsumowanie!D47+Podsumowanie!D50+Podsumowanie!D53+Podsumowanie!D56+Podsumowanie!D59+Podsumowanie!D62+Podsumowanie!D65</f>
        <v>1008769.29</v>
      </c>
      <c r="F13" s="18" t="n">
        <f aca="false">ROUND(D13-E13,2)</f>
        <v>0</v>
      </c>
      <c r="G13" s="17" t="str">
        <f aca="false">IF(ABS(F13)&lt;=0.02,"OK","BŁĄD")</f>
        <v>OK</v>
      </c>
    </row>
    <row r="14" customFormat="false" ht="15" hidden="false" customHeight="false" outlineLevel="0" collapsed="false">
      <c r="A14" s="17" t="s">
        <v>77</v>
      </c>
      <c r="B14" s="17" t="s">
        <v>11</v>
      </c>
      <c r="C14" s="17" t="s">
        <v>76</v>
      </c>
      <c r="D14" s="18" t="n">
        <f aca="false">Podsumowanie!E35</f>
        <v>1226935.71</v>
      </c>
      <c r="E14" s="18" t="n">
        <f aca="false">Podsumowanie!E38+Podsumowanie!E41+Podsumowanie!E44+Podsumowanie!E47+Podsumowanie!E50+Podsumowanie!E53+Podsumowanie!E56+Podsumowanie!E59+Podsumowanie!E62+Podsumowanie!E65</f>
        <v>1226935.71</v>
      </c>
      <c r="F14" s="18" t="n">
        <f aca="false">ROUND(D14-E14,2)</f>
        <v>0</v>
      </c>
      <c r="G14" s="17" t="str">
        <f aca="false">IF(ABS(F14)&lt;=0.02,"OK","BŁĄD")</f>
        <v>OK</v>
      </c>
    </row>
    <row r="15" customFormat="false" ht="15" hidden="false" customHeight="false" outlineLevel="0" collapsed="false">
      <c r="A15" s="17" t="s">
        <v>77</v>
      </c>
      <c r="B15" s="17" t="s">
        <v>12</v>
      </c>
      <c r="C15" s="17" t="s">
        <v>74</v>
      </c>
      <c r="D15" s="18" t="n">
        <f aca="false">Podsumowanie!C36</f>
        <v>335904.98</v>
      </c>
      <c r="E15" s="18" t="n">
        <f aca="false">Podsumowanie!C39+Podsumowanie!C42+Podsumowanie!C45+Podsumowanie!C48+Podsumowanie!C51+Podsumowanie!C54+Podsumowanie!C57+Podsumowanie!C60+Podsumowanie!C63+Podsumowanie!C66</f>
        <v>335904.98</v>
      </c>
      <c r="F15" s="18" t="n">
        <f aca="false">ROUND(D15-E15,2)</f>
        <v>0</v>
      </c>
      <c r="G15" s="17" t="str">
        <f aca="false">IF(ABS(F15)&lt;=0.02,"OK","BŁĄD")</f>
        <v>OK</v>
      </c>
    </row>
    <row r="16" customFormat="false" ht="15" hidden="false" customHeight="false" outlineLevel="0" collapsed="false">
      <c r="A16" s="17" t="s">
        <v>77</v>
      </c>
      <c r="B16" s="17" t="s">
        <v>12</v>
      </c>
      <c r="C16" s="17" t="s">
        <v>75</v>
      </c>
      <c r="D16" s="18" t="n">
        <f aca="false">Podsumowanie!D36</f>
        <v>842569.29</v>
      </c>
      <c r="E16" s="18" t="n">
        <f aca="false">Podsumowanie!D39+Podsumowanie!D42+Podsumowanie!D45+Podsumowanie!D48+Podsumowanie!D51+Podsumowanie!D54+Podsumowanie!D57+Podsumowanie!D60+Podsumowanie!D63+Podsumowanie!D66</f>
        <v>842569.29</v>
      </c>
      <c r="F16" s="18" t="n">
        <f aca="false">ROUND(D16-E16,2)</f>
        <v>0</v>
      </c>
      <c r="G16" s="17" t="str">
        <f aca="false">IF(ABS(F16)&lt;=0.02,"OK","BŁĄD")</f>
        <v>OK</v>
      </c>
    </row>
    <row r="17" customFormat="false" ht="15" hidden="false" customHeight="false" outlineLevel="0" collapsed="false">
      <c r="A17" s="17" t="s">
        <v>77</v>
      </c>
      <c r="B17" s="17" t="s">
        <v>12</v>
      </c>
      <c r="C17" s="17" t="s">
        <v>76</v>
      </c>
      <c r="D17" s="18" t="n">
        <f aca="false">Podsumowanie!E36</f>
        <v>1203935.71</v>
      </c>
      <c r="E17" s="18" t="n">
        <f aca="false">Podsumowanie!E39+Podsumowanie!E42+Podsumowanie!E45+Podsumowanie!E48+Podsumowanie!E51+Podsumowanie!E54+Podsumowanie!E57+Podsumowanie!E60+Podsumowanie!E63+Podsumowanie!E66</f>
        <v>1203935.71</v>
      </c>
      <c r="F17" s="18" t="n">
        <f aca="false">ROUND(D17-E17,2)</f>
        <v>0</v>
      </c>
      <c r="G17" s="17" t="str">
        <f aca="false">IF(ABS(F17)&lt;=0.02,"OK","BŁĄD")</f>
        <v>OK</v>
      </c>
    </row>
    <row r="18" customFormat="false" ht="15" hidden="false" customHeight="false" outlineLevel="0" collapsed="false">
      <c r="A18" s="17" t="s">
        <v>77</v>
      </c>
      <c r="B18" s="17" t="s">
        <v>13</v>
      </c>
      <c r="C18" s="17" t="s">
        <v>74</v>
      </c>
      <c r="D18" s="18" t="n">
        <f aca="false">Podsumowanie!C37</f>
        <v>268723.98</v>
      </c>
      <c r="E18" s="18" t="n">
        <f aca="false">Podsumowanie!C40+Podsumowanie!C43+Podsumowanie!C46+Podsumowanie!C49+Podsumowanie!C52+Podsumowanie!C55+Podsumowanie!C58+Podsumowanie!C61+Podsumowanie!C64+Podsumowanie!C67</f>
        <v>268723.98</v>
      </c>
      <c r="F18" s="18" t="n">
        <f aca="false">ROUND(D18-E18,2)</f>
        <v>0</v>
      </c>
      <c r="G18" s="17" t="str">
        <f aca="false">IF(ABS(F18)&lt;=0.02,"OK","BŁĄD")</f>
        <v>OK</v>
      </c>
    </row>
    <row r="19" customFormat="false" ht="15" hidden="false" customHeight="false" outlineLevel="0" collapsed="false">
      <c r="A19" s="17" t="s">
        <v>77</v>
      </c>
      <c r="B19" s="17" t="s">
        <v>13</v>
      </c>
      <c r="C19" s="17" t="s">
        <v>75</v>
      </c>
      <c r="D19" s="18" t="n">
        <f aca="false">Podsumowanie!D37</f>
        <v>674055.43</v>
      </c>
      <c r="E19" s="18" t="n">
        <f aca="false">Podsumowanie!D40+Podsumowanie!D43+Podsumowanie!D46+Podsumowanie!D49+Podsumowanie!D52+Podsumowanie!D55+Podsumowanie!D58+Podsumowanie!D61+Podsumowanie!D64+Podsumowanie!D67</f>
        <v>674055.43</v>
      </c>
      <c r="F19" s="18" t="n">
        <f aca="false">ROUND(D19-E19,2)</f>
        <v>0</v>
      </c>
      <c r="G19" s="17" t="str">
        <f aca="false">IF(ABS(F19)&lt;=0.02,"OK","BŁĄD")</f>
        <v>OK</v>
      </c>
    </row>
    <row r="20" customFormat="false" ht="15" hidden="false" customHeight="false" outlineLevel="0" collapsed="false">
      <c r="A20" s="17" t="s">
        <v>77</v>
      </c>
      <c r="B20" s="17" t="s">
        <v>13</v>
      </c>
      <c r="C20" s="17" t="s">
        <v>76</v>
      </c>
      <c r="D20" s="18" t="n">
        <f aca="false">Podsumowanie!E37</f>
        <v>963148.56</v>
      </c>
      <c r="E20" s="18" t="n">
        <f aca="false">Podsumowanie!E40+Podsumowanie!E43+Podsumowanie!E46+Podsumowanie!E49+Podsumowanie!E52+Podsumowanie!E55+Podsumowanie!E58+Podsumowanie!E61+Podsumowanie!E64+Podsumowanie!E67</f>
        <v>963148.56</v>
      </c>
      <c r="F20" s="18" t="n">
        <f aca="false">ROUND(D20-E20,2)</f>
        <v>0</v>
      </c>
      <c r="G20" s="17" t="str">
        <f aca="false">IF(ABS(F20)&lt;=0.02,"OK","BŁĄD")</f>
        <v>OK</v>
      </c>
    </row>
    <row r="21" customFormat="false" ht="15" hidden="false" customHeight="false" outlineLevel="0" collapsed="false">
      <c r="A21" s="17" t="s">
        <v>78</v>
      </c>
      <c r="B21" s="17" t="s">
        <v>11</v>
      </c>
      <c r="C21" s="17" t="s">
        <v>74</v>
      </c>
      <c r="D21" s="18" t="n">
        <f aca="false">Podsumowanie!C68</f>
        <v>0</v>
      </c>
      <c r="E21" s="18" t="n">
        <f aca="false">Podsumowanie!C71+Podsumowanie!C74+Podsumowanie!C77+Podsumowanie!C80+Podsumowanie!C83+Podsumowanie!C86+Podsumowanie!C89+Podsumowanie!C92+Podsumowanie!C95</f>
        <v>0</v>
      </c>
      <c r="F21" s="18" t="n">
        <f aca="false">ROUND(D21-E21,2)</f>
        <v>0</v>
      </c>
      <c r="G21" s="17" t="str">
        <f aca="false">IF(ABS(F21)&lt;=0.02,"OK","BŁĄD")</f>
        <v>OK</v>
      </c>
    </row>
    <row r="22" customFormat="false" ht="15" hidden="false" customHeight="false" outlineLevel="0" collapsed="false">
      <c r="A22" s="17" t="s">
        <v>78</v>
      </c>
      <c r="B22" s="17" t="s">
        <v>11</v>
      </c>
      <c r="C22" s="17" t="s">
        <v>75</v>
      </c>
      <c r="D22" s="18" t="n">
        <f aca="false">Podsumowanie!D68</f>
        <v>0</v>
      </c>
      <c r="E22" s="18" t="n">
        <f aca="false">Podsumowanie!D71+Podsumowanie!D74+Podsumowanie!D77+Podsumowanie!D80+Podsumowanie!D83+Podsumowanie!D86+Podsumowanie!D89+Podsumowanie!D92+Podsumowanie!D95</f>
        <v>0</v>
      </c>
      <c r="F22" s="18" t="n">
        <f aca="false">ROUND(D22-E22,2)</f>
        <v>0</v>
      </c>
      <c r="G22" s="17" t="str">
        <f aca="false">IF(ABS(F22)&lt;=0.02,"OK","BŁĄD")</f>
        <v>OK</v>
      </c>
    </row>
    <row r="23" customFormat="false" ht="15" hidden="false" customHeight="false" outlineLevel="0" collapsed="false">
      <c r="A23" s="17" t="s">
        <v>78</v>
      </c>
      <c r="B23" s="17" t="s">
        <v>11</v>
      </c>
      <c r="C23" s="17" t="s">
        <v>76</v>
      </c>
      <c r="D23" s="18" t="n">
        <f aca="false">Podsumowanie!E68</f>
        <v>1103935.71</v>
      </c>
      <c r="E23" s="18" t="n">
        <f aca="false">Podsumowanie!E71+Podsumowanie!E74+Podsumowanie!E77+Podsumowanie!E80+Podsumowanie!E83+Podsumowanie!E86+Podsumowanie!E89+Podsumowanie!E92+Podsumowanie!E95</f>
        <v>1103935.71</v>
      </c>
      <c r="F23" s="18" t="n">
        <f aca="false">ROUND(D23-E23,2)</f>
        <v>0</v>
      </c>
      <c r="G23" s="17" t="str">
        <f aca="false">IF(ABS(F23)&lt;=0.02,"OK","BŁĄD")</f>
        <v>OK</v>
      </c>
    </row>
    <row r="24" customFormat="false" ht="15" hidden="false" customHeight="false" outlineLevel="0" collapsed="false">
      <c r="A24" s="17" t="s">
        <v>78</v>
      </c>
      <c r="B24" s="17" t="s">
        <v>12</v>
      </c>
      <c r="C24" s="17" t="s">
        <v>74</v>
      </c>
      <c r="D24" s="18" t="n">
        <f aca="false">Podsumowanie!C69</f>
        <v>0</v>
      </c>
      <c r="E24" s="18" t="n">
        <f aca="false">Podsumowanie!C72+Podsumowanie!C75+Podsumowanie!C78+Podsumowanie!C81+Podsumowanie!C84+Podsumowanie!C87+Podsumowanie!C90+Podsumowanie!C93+Podsumowanie!C96</f>
        <v>0</v>
      </c>
      <c r="F24" s="18" t="n">
        <f aca="false">ROUND(D24-E24,2)</f>
        <v>0</v>
      </c>
      <c r="G24" s="17" t="str">
        <f aca="false">IF(ABS(F24)&lt;=0.02,"OK","BŁĄD")</f>
        <v>OK</v>
      </c>
    </row>
    <row r="25" customFormat="false" ht="15" hidden="false" customHeight="false" outlineLevel="0" collapsed="false">
      <c r="A25" s="17" t="s">
        <v>78</v>
      </c>
      <c r="B25" s="17" t="s">
        <v>12</v>
      </c>
      <c r="C25" s="17" t="s">
        <v>75</v>
      </c>
      <c r="D25" s="18" t="n">
        <f aca="false">Podsumowanie!D69</f>
        <v>0</v>
      </c>
      <c r="E25" s="18" t="n">
        <f aca="false">Podsumowanie!D72+Podsumowanie!D75+Podsumowanie!D78+Podsumowanie!D81+Podsumowanie!D84+Podsumowanie!D87+Podsumowanie!D90+Podsumowanie!D93+Podsumowanie!D96</f>
        <v>0</v>
      </c>
      <c r="F25" s="18" t="n">
        <f aca="false">ROUND(D25-E25,2)</f>
        <v>0</v>
      </c>
      <c r="G25" s="17" t="str">
        <f aca="false">IF(ABS(F25)&lt;=0.02,"OK","BŁĄD")</f>
        <v>OK</v>
      </c>
    </row>
    <row r="26" customFormat="false" ht="15" hidden="false" customHeight="false" outlineLevel="0" collapsed="false">
      <c r="A26" s="17" t="s">
        <v>78</v>
      </c>
      <c r="B26" s="17" t="s">
        <v>12</v>
      </c>
      <c r="C26" s="17" t="s">
        <v>76</v>
      </c>
      <c r="D26" s="18" t="n">
        <f aca="false">Podsumowanie!E69</f>
        <v>1103935.71</v>
      </c>
      <c r="E26" s="18" t="n">
        <f aca="false">Podsumowanie!E72+Podsumowanie!E75+Podsumowanie!E78+Podsumowanie!E81+Podsumowanie!E84+Podsumowanie!E87+Podsumowanie!E90+Podsumowanie!E93+Podsumowanie!E96</f>
        <v>1103935.71</v>
      </c>
      <c r="F26" s="18" t="n">
        <f aca="false">ROUND(D26-E26,2)</f>
        <v>0</v>
      </c>
      <c r="G26" s="17" t="str">
        <f aca="false">IF(ABS(F26)&lt;=0.02,"OK","BŁĄD")</f>
        <v>OK</v>
      </c>
    </row>
    <row r="27" customFormat="false" ht="15" hidden="false" customHeight="false" outlineLevel="0" collapsed="false">
      <c r="A27" s="17" t="s">
        <v>78</v>
      </c>
      <c r="B27" s="17" t="s">
        <v>13</v>
      </c>
      <c r="C27" s="17" t="s">
        <v>74</v>
      </c>
      <c r="D27" s="18" t="n">
        <f aca="false">Podsumowanie!C70</f>
        <v>0</v>
      </c>
      <c r="E27" s="18" t="n">
        <f aca="false">Podsumowanie!C73+Podsumowanie!C76+Podsumowanie!C79+Podsumowanie!C82+Podsumowanie!C85+Podsumowanie!C88+Podsumowanie!C91+Podsumowanie!C94+Podsumowanie!C97</f>
        <v>0</v>
      </c>
      <c r="F27" s="18" t="n">
        <f aca="false">ROUND(D27-E27,2)</f>
        <v>0</v>
      </c>
      <c r="G27" s="17" t="str">
        <f aca="false">IF(ABS(F27)&lt;=0.02,"OK","BŁĄD")</f>
        <v>OK</v>
      </c>
    </row>
    <row r="28" customFormat="false" ht="15" hidden="false" customHeight="false" outlineLevel="0" collapsed="false">
      <c r="A28" s="17" t="s">
        <v>78</v>
      </c>
      <c r="B28" s="17" t="s">
        <v>13</v>
      </c>
      <c r="C28" s="17" t="s">
        <v>75</v>
      </c>
      <c r="D28" s="18" t="n">
        <f aca="false">Podsumowanie!D70</f>
        <v>0</v>
      </c>
      <c r="E28" s="18" t="n">
        <f aca="false">Podsumowanie!D73+Podsumowanie!D76+Podsumowanie!D79+Podsumowanie!D82+Podsumowanie!D85+Podsumowanie!D88+Podsumowanie!D91+Podsumowanie!D94+Podsumowanie!D97</f>
        <v>0</v>
      </c>
      <c r="F28" s="18" t="n">
        <f aca="false">ROUND(D28-E28,2)</f>
        <v>0</v>
      </c>
      <c r="G28" s="17" t="str">
        <f aca="false">IF(ABS(F28)&lt;=0.02,"OK","BŁĄD")</f>
        <v>OK</v>
      </c>
    </row>
    <row r="29" customFormat="false" ht="15" hidden="false" customHeight="false" outlineLevel="0" collapsed="false">
      <c r="A29" s="17" t="s">
        <v>78</v>
      </c>
      <c r="B29" s="17" t="s">
        <v>13</v>
      </c>
      <c r="C29" s="17" t="s">
        <v>76</v>
      </c>
      <c r="D29" s="18" t="n">
        <f aca="false">Podsumowanie!E70</f>
        <v>883148.56</v>
      </c>
      <c r="E29" s="18" t="n">
        <f aca="false">Podsumowanie!E73+Podsumowanie!E76+Podsumowanie!E79+Podsumowanie!E82+Podsumowanie!E85+Podsumowanie!E88+Podsumowanie!E91+Podsumowanie!E94+Podsumowanie!E97</f>
        <v>883148.56</v>
      </c>
      <c r="F29" s="18" t="n">
        <f aca="false">ROUND(D29-E29,2)</f>
        <v>0</v>
      </c>
      <c r="G29" s="17" t="str">
        <f aca="false">IF(ABS(F29)&lt;=0.02,"OK","BŁĄD")</f>
        <v>OK</v>
      </c>
    </row>
    <row r="30" customFormat="false" ht="15" hidden="false" customHeight="false" outlineLevel="0" collapsed="false">
      <c r="A30" s="17" t="s">
        <v>79</v>
      </c>
      <c r="B30" s="17" t="s">
        <v>11</v>
      </c>
      <c r="C30" s="17" t="s">
        <v>74</v>
      </c>
      <c r="D30" s="18" t="n">
        <f aca="false">Podsumowanie!C98</f>
        <v>0</v>
      </c>
      <c r="E30" s="18" t="n">
        <f aca="false">Podsumowanie!C101+Podsumowanie!C104+Podsumowanie!C107+Podsumowanie!C110+Podsumowanie!C113+Podsumowanie!C116+Podsumowanie!C119+Podsumowanie!C122+Podsumowanie!C125</f>
        <v>0</v>
      </c>
      <c r="F30" s="18" t="n">
        <f aca="false">ROUND(D30-E30,2)</f>
        <v>0</v>
      </c>
      <c r="G30" s="17" t="str">
        <f aca="false">IF(ABS(F30)&lt;=0.02,"OK","BŁĄD")</f>
        <v>OK</v>
      </c>
    </row>
    <row r="31" customFormat="false" ht="15" hidden="false" customHeight="false" outlineLevel="0" collapsed="false">
      <c r="A31" s="17" t="s">
        <v>79</v>
      </c>
      <c r="B31" s="17" t="s">
        <v>11</v>
      </c>
      <c r="C31" s="17" t="s">
        <v>75</v>
      </c>
      <c r="D31" s="18" t="n">
        <f aca="false">Podsumowanie!D98</f>
        <v>0</v>
      </c>
      <c r="E31" s="18" t="n">
        <f aca="false">Podsumowanie!D101+Podsumowanie!D104+Podsumowanie!D107+Podsumowanie!D110+Podsumowanie!D113+Podsumowanie!D116+Podsumowanie!D119+Podsumowanie!D122+Podsumowanie!D125</f>
        <v>0</v>
      </c>
      <c r="F31" s="18" t="n">
        <f aca="false">ROUND(D31-E31,2)</f>
        <v>0</v>
      </c>
      <c r="G31" s="17" t="str">
        <f aca="false">IF(ABS(F31)&lt;=0.02,"OK","BŁĄD")</f>
        <v>OK</v>
      </c>
    </row>
    <row r="32" customFormat="false" ht="15" hidden="false" customHeight="false" outlineLevel="0" collapsed="false">
      <c r="A32" s="17" t="s">
        <v>79</v>
      </c>
      <c r="B32" s="17" t="s">
        <v>11</v>
      </c>
      <c r="C32" s="17" t="s">
        <v>76</v>
      </c>
      <c r="D32" s="18" t="n">
        <f aca="false">Podsumowanie!E98</f>
        <v>698237.14</v>
      </c>
      <c r="E32" s="18" t="n">
        <f aca="false">Podsumowanie!E101+Podsumowanie!E104+Podsumowanie!E107+Podsumowanie!E110+Podsumowanie!E113+Podsumowanie!E116+Podsumowanie!E119+Podsumowanie!E122+Podsumowanie!E125</f>
        <v>698237.14</v>
      </c>
      <c r="F32" s="18" t="n">
        <f aca="false">ROUND(D32-E32,2)</f>
        <v>0</v>
      </c>
      <c r="G32" s="17" t="str">
        <f aca="false">IF(ABS(F32)&lt;=0.02,"OK","BŁĄD")</f>
        <v>OK</v>
      </c>
    </row>
    <row r="33" customFormat="false" ht="15" hidden="false" customHeight="false" outlineLevel="0" collapsed="false">
      <c r="A33" s="17" t="s">
        <v>79</v>
      </c>
      <c r="B33" s="17" t="s">
        <v>12</v>
      </c>
      <c r="C33" s="17" t="s">
        <v>74</v>
      </c>
      <c r="D33" s="18" t="n">
        <f aca="false">Podsumowanie!C99</f>
        <v>0</v>
      </c>
      <c r="E33" s="18" t="n">
        <f aca="false">Podsumowanie!C102+Podsumowanie!C105+Podsumowanie!C108+Podsumowanie!C111+Podsumowanie!C114+Podsumowanie!C117+Podsumowanie!C120+Podsumowanie!C123+Podsumowanie!C126</f>
        <v>0</v>
      </c>
      <c r="F33" s="18" t="n">
        <f aca="false">ROUND(D33-E33,2)</f>
        <v>0</v>
      </c>
      <c r="G33" s="17" t="str">
        <f aca="false">IF(ABS(F33)&lt;=0.02,"OK","BŁĄD")</f>
        <v>OK</v>
      </c>
    </row>
    <row r="34" customFormat="false" ht="15" hidden="false" customHeight="false" outlineLevel="0" collapsed="false">
      <c r="A34" s="17" t="s">
        <v>79</v>
      </c>
      <c r="B34" s="17" t="s">
        <v>12</v>
      </c>
      <c r="C34" s="17" t="s">
        <v>75</v>
      </c>
      <c r="D34" s="18" t="n">
        <f aca="false">Podsumowanie!D99</f>
        <v>0</v>
      </c>
      <c r="E34" s="18" t="n">
        <f aca="false">Podsumowanie!D102+Podsumowanie!D105+Podsumowanie!D108+Podsumowanie!D111+Podsumowanie!D114+Podsumowanie!D117+Podsumowanie!D120+Podsumowanie!D123+Podsumowanie!D126</f>
        <v>0</v>
      </c>
      <c r="F34" s="18" t="n">
        <f aca="false">ROUND(D34-E34,2)</f>
        <v>0</v>
      </c>
      <c r="G34" s="17" t="str">
        <f aca="false">IF(ABS(F34)&lt;=0.02,"OK","BŁĄD")</f>
        <v>OK</v>
      </c>
    </row>
    <row r="35" customFormat="false" ht="15" hidden="false" customHeight="false" outlineLevel="0" collapsed="false">
      <c r="A35" s="17" t="s">
        <v>79</v>
      </c>
      <c r="B35" s="17" t="s">
        <v>12</v>
      </c>
      <c r="C35" s="17" t="s">
        <v>76</v>
      </c>
      <c r="D35" s="18" t="n">
        <f aca="false">Podsumowanie!E99</f>
        <v>698237.14</v>
      </c>
      <c r="E35" s="18" t="n">
        <f aca="false">Podsumowanie!E102+Podsumowanie!E105+Podsumowanie!E108+Podsumowanie!E111+Podsumowanie!E114+Podsumowanie!E117+Podsumowanie!E120+Podsumowanie!E123+Podsumowanie!E126</f>
        <v>698237.14</v>
      </c>
      <c r="F35" s="18" t="n">
        <f aca="false">ROUND(D35-E35,2)</f>
        <v>0</v>
      </c>
      <c r="G35" s="17" t="str">
        <f aca="false">IF(ABS(F35)&lt;=0.02,"OK","BŁĄD")</f>
        <v>OK</v>
      </c>
    </row>
    <row r="36" customFormat="false" ht="15" hidden="false" customHeight="false" outlineLevel="0" collapsed="false">
      <c r="A36" s="17" t="s">
        <v>79</v>
      </c>
      <c r="B36" s="17" t="s">
        <v>13</v>
      </c>
      <c r="C36" s="17" t="s">
        <v>74</v>
      </c>
      <c r="D36" s="18" t="n">
        <f aca="false">Podsumowanie!C100</f>
        <v>0</v>
      </c>
      <c r="E36" s="18" t="n">
        <f aca="false">Podsumowanie!C103+Podsumowanie!C106+Podsumowanie!C109+Podsumowanie!C112+Podsumowanie!C115+Podsumowanie!C118+Podsumowanie!C121+Podsumowanie!C124+Podsumowanie!C127</f>
        <v>0</v>
      </c>
      <c r="F36" s="18" t="n">
        <f aca="false">ROUND(D36-E36,2)</f>
        <v>0</v>
      </c>
      <c r="G36" s="17" t="str">
        <f aca="false">IF(ABS(F36)&lt;=0.02,"OK","BŁĄD")</f>
        <v>OK</v>
      </c>
    </row>
    <row r="37" customFormat="false" ht="15" hidden="false" customHeight="false" outlineLevel="0" collapsed="false">
      <c r="A37" s="17" t="s">
        <v>79</v>
      </c>
      <c r="B37" s="17" t="s">
        <v>13</v>
      </c>
      <c r="C37" s="17" t="s">
        <v>75</v>
      </c>
      <c r="D37" s="18" t="n">
        <f aca="false">Podsumowanie!D100</f>
        <v>0</v>
      </c>
      <c r="E37" s="18" t="n">
        <f aca="false">Podsumowanie!D103+Podsumowanie!D106+Podsumowanie!D109+Podsumowanie!D112+Podsumowanie!D115+Podsumowanie!D118+Podsumowanie!D121+Podsumowanie!D124+Podsumowanie!D127</f>
        <v>0</v>
      </c>
      <c r="F37" s="18" t="n">
        <f aca="false">ROUND(D37-E37,2)</f>
        <v>0</v>
      </c>
      <c r="G37" s="17" t="str">
        <f aca="false">IF(ABS(F37)&lt;=0.02,"OK","BŁĄD")</f>
        <v>OK</v>
      </c>
    </row>
    <row r="38" customFormat="false" ht="15" hidden="false" customHeight="false" outlineLevel="0" collapsed="false">
      <c r="A38" s="17" t="s">
        <v>79</v>
      </c>
      <c r="B38" s="17" t="s">
        <v>13</v>
      </c>
      <c r="C38" s="17" t="s">
        <v>76</v>
      </c>
      <c r="D38" s="18" t="n">
        <f aca="false">Podsumowanie!E100</f>
        <v>418942.28</v>
      </c>
      <c r="E38" s="18" t="n">
        <f aca="false">Podsumowanie!E103+Podsumowanie!E106+Podsumowanie!E109+Podsumowanie!E112+Podsumowanie!E115+Podsumowanie!E118+Podsumowanie!E121+Podsumowanie!E124+Podsumowanie!E127</f>
        <v>418942.28</v>
      </c>
      <c r="F38" s="18" t="n">
        <f aca="false">ROUND(D38-E38,2)</f>
        <v>0</v>
      </c>
      <c r="G38" s="17" t="str">
        <f aca="false">IF(ABS(F38)&lt;=0.02,"OK","BŁĄD")</f>
        <v>OK</v>
      </c>
    </row>
    <row r="39" customFormat="false" ht="15" hidden="false" customHeight="false" outlineLevel="0" collapsed="false">
      <c r="A39" s="17" t="s">
        <v>80</v>
      </c>
      <c r="B39" s="17" t="s">
        <v>11</v>
      </c>
      <c r="C39" s="17" t="s">
        <v>74</v>
      </c>
      <c r="D39" s="18" t="n">
        <f aca="false">Podsumowanie!C145</f>
        <v>335904.98</v>
      </c>
      <c r="E39" s="18" t="n">
        <f aca="false">Podsumowanie!C5+Podsumowanie!C35+Podsumowanie!C68+Podsumowanie!C98</f>
        <v>335904.98</v>
      </c>
      <c r="F39" s="18" t="n">
        <f aca="false">ROUND(D39-E39,2)</f>
        <v>0</v>
      </c>
      <c r="G39" s="17" t="str">
        <f aca="false">IF(ABS(F39)&lt;=0.02,"OK","BŁĄD")</f>
        <v>OK</v>
      </c>
    </row>
    <row r="40" customFormat="false" ht="15" hidden="false" customHeight="false" outlineLevel="0" collapsed="false">
      <c r="A40" s="17" t="s">
        <v>81</v>
      </c>
      <c r="B40" s="17" t="s">
        <v>11</v>
      </c>
      <c r="C40" s="17" t="s">
        <v>74</v>
      </c>
      <c r="D40" s="18" t="n">
        <f aca="false">Podsumowanie!C136</f>
        <v>335904.98</v>
      </c>
      <c r="E40" s="18" t="n">
        <f aca="false">Podsumowanie!C145+Podsumowanie!C130</f>
        <v>335904.98</v>
      </c>
      <c r="F40" s="18" t="n">
        <f aca="false">ROUND(D40-E40,2)</f>
        <v>0</v>
      </c>
      <c r="G40" s="17" t="str">
        <f aca="false">IF(ABS(F40)&lt;=0.02,"OK","BŁĄD")</f>
        <v>OK</v>
      </c>
    </row>
    <row r="41" customFormat="false" ht="15" hidden="false" customHeight="false" outlineLevel="0" collapsed="false">
      <c r="A41" s="17" t="s">
        <v>82</v>
      </c>
      <c r="B41" s="17" t="s">
        <v>11</v>
      </c>
      <c r="C41" s="17" t="s">
        <v>74</v>
      </c>
      <c r="D41" s="18" t="n">
        <f aca="false">Podsumowanie!C151</f>
        <v>0</v>
      </c>
      <c r="E41" s="18" t="n">
        <f aca="false">Podsumowanie!C29+Podsumowanie!C62+Podsumowanie!C92+Podsumowanie!C119</f>
        <v>0</v>
      </c>
      <c r="F41" s="18" t="n">
        <f aca="false">ROUND(D41-E41,2)</f>
        <v>0</v>
      </c>
      <c r="G41" s="17" t="str">
        <f aca="false">IF(ABS(F41)&lt;=0.02,"OK","BŁĄD")</f>
        <v>OK</v>
      </c>
    </row>
    <row r="42" customFormat="false" ht="15" hidden="false" customHeight="false" outlineLevel="0" collapsed="false">
      <c r="A42" s="17" t="s">
        <v>83</v>
      </c>
      <c r="B42" s="17" t="s">
        <v>11</v>
      </c>
      <c r="C42" s="17" t="s">
        <v>74</v>
      </c>
      <c r="D42" s="18" t="n">
        <f aca="false">Podsumowanie!C154</f>
        <v>335904.98</v>
      </c>
      <c r="E42" s="18" t="n">
        <f aca="false">Podsumowanie!C8+Podsumowanie!C11+Podsumowanie!C14+Podsumowanie!C17+Podsumowanie!C20+Podsumowanie!C23+Podsumowanie!C26+Podsumowanie!C32+Podsumowanie!C38+Podsumowanie!C41+Podsumowanie!C44+Podsumowanie!C47+Podsumowanie!C50+Podsumowanie!C53+Podsumowanie!C56+Podsumowanie!C65+Podsumowanie!C71+Podsumowanie!C74+Podsumowanie!C77+Podsumowanie!C80+Podsumowanie!C83+Podsumowanie!C86+Podsumowanie!C89+Podsumowanie!C95+Podsumowanie!C101+Podsumowanie!C104+Podsumowanie!C107+Podsumowanie!C110+Podsumowanie!C113+Podsumowanie!C116+Podsumowanie!C122+Podsumowanie!C125</f>
        <v>335904.98</v>
      </c>
      <c r="F42" s="18" t="n">
        <f aca="false">ROUND(D42-E42,2)</f>
        <v>0</v>
      </c>
      <c r="G42" s="17" t="str">
        <f aca="false">IF(ABS(F42)&lt;=0.02,"OK","BŁĄD")</f>
        <v>OK</v>
      </c>
    </row>
    <row r="43" customFormat="false" ht="15" hidden="false" customHeight="false" outlineLevel="0" collapsed="false">
      <c r="A43" s="17" t="s">
        <v>84</v>
      </c>
      <c r="B43" s="17" t="s">
        <v>11</v>
      </c>
      <c r="C43" s="17" t="s">
        <v>74</v>
      </c>
      <c r="D43" s="18" t="n">
        <f aca="false">Podsumowanie!C157</f>
        <v>0</v>
      </c>
      <c r="E43" s="18" t="n">
        <f aca="false">Podsumowanie!C59</f>
        <v>0</v>
      </c>
      <c r="F43" s="18" t="n">
        <f aca="false">ROUND(D43-E43,2)</f>
        <v>0</v>
      </c>
      <c r="G43" s="17" t="str">
        <f aca="false">IF(ABS(F43)&lt;=0.02,"OK","BŁĄD")</f>
        <v>OK</v>
      </c>
    </row>
    <row r="44" customFormat="false" ht="15" hidden="false" customHeight="false" outlineLevel="0" collapsed="false">
      <c r="A44" s="17" t="s">
        <v>80</v>
      </c>
      <c r="B44" s="17" t="s">
        <v>11</v>
      </c>
      <c r="C44" s="17" t="s">
        <v>75</v>
      </c>
      <c r="D44" s="18" t="n">
        <f aca="false">Podsumowanie!D145</f>
        <v>1816194.16</v>
      </c>
      <c r="E44" s="18" t="n">
        <f aca="false">Podsumowanie!D5+Podsumowanie!D35+Podsumowanie!D68+Podsumowanie!D98</f>
        <v>1816194.16</v>
      </c>
      <c r="F44" s="18" t="n">
        <f aca="false">ROUND(D44-E44,2)</f>
        <v>0</v>
      </c>
      <c r="G44" s="17" t="str">
        <f aca="false">IF(ABS(F44)&lt;=0.02,"OK","BŁĄD")</f>
        <v>OK</v>
      </c>
    </row>
    <row r="45" customFormat="false" ht="15" hidden="false" customHeight="false" outlineLevel="0" collapsed="false">
      <c r="A45" s="17" t="s">
        <v>81</v>
      </c>
      <c r="B45" s="17" t="s">
        <v>11</v>
      </c>
      <c r="C45" s="17" t="s">
        <v>75</v>
      </c>
      <c r="D45" s="18" t="n">
        <f aca="false">Podsumowanie!D136</f>
        <v>2186266.46</v>
      </c>
      <c r="E45" s="18" t="n">
        <f aca="false">Podsumowanie!D145+Podsumowanie!D130</f>
        <v>2186266.46</v>
      </c>
      <c r="F45" s="18" t="n">
        <f aca="false">ROUND(D45-E45,2)</f>
        <v>0</v>
      </c>
      <c r="G45" s="17" t="str">
        <f aca="false">IF(ABS(F45)&lt;=0.02,"OK","BŁĄD")</f>
        <v>OK</v>
      </c>
    </row>
    <row r="46" customFormat="false" ht="15" hidden="false" customHeight="false" outlineLevel="0" collapsed="false">
      <c r="A46" s="17" t="s">
        <v>82</v>
      </c>
      <c r="B46" s="17" t="s">
        <v>11</v>
      </c>
      <c r="C46" s="17" t="s">
        <v>75</v>
      </c>
      <c r="D46" s="18" t="n">
        <f aca="false">Podsumowanie!D151</f>
        <v>4552.16</v>
      </c>
      <c r="E46" s="18" t="n">
        <f aca="false">Podsumowanie!D29+Podsumowanie!D62+Podsumowanie!D92+Podsumowanie!D119</f>
        <v>4552.16</v>
      </c>
      <c r="F46" s="18" t="n">
        <f aca="false">ROUND(D46-E46,2)</f>
        <v>0</v>
      </c>
      <c r="G46" s="17" t="str">
        <f aca="false">IF(ABS(F46)&lt;=0.02,"OK","BŁĄD")</f>
        <v>OK</v>
      </c>
    </row>
    <row r="47" customFormat="false" ht="15" hidden="false" customHeight="false" outlineLevel="0" collapsed="false">
      <c r="A47" s="17" t="s">
        <v>83</v>
      </c>
      <c r="B47" s="17" t="s">
        <v>11</v>
      </c>
      <c r="C47" s="17" t="s">
        <v>75</v>
      </c>
      <c r="D47" s="18" t="n">
        <f aca="false">Podsumowanie!D154</f>
        <v>1811642</v>
      </c>
      <c r="E47" s="18" t="n">
        <f aca="false">Podsumowanie!D8+Podsumowanie!D11+Podsumowanie!D14+Podsumowanie!D17+Podsumowanie!D20+Podsumowanie!D23+Podsumowanie!D26+Podsumowanie!D32+Podsumowanie!D38+Podsumowanie!D41+Podsumowanie!D44+Podsumowanie!D47+Podsumowanie!D50+Podsumowanie!D53+Podsumowanie!D56+Podsumowanie!D65+Podsumowanie!D71+Podsumowanie!D74+Podsumowanie!D77+Podsumowanie!D80+Podsumowanie!D83+Podsumowanie!D86+Podsumowanie!D89+Podsumowanie!D95+Podsumowanie!D101+Podsumowanie!D104+Podsumowanie!D107+Podsumowanie!D110+Podsumowanie!D113+Podsumowanie!D116+Podsumowanie!D122+Podsumowanie!D125</f>
        <v>1811642</v>
      </c>
      <c r="F47" s="18" t="n">
        <f aca="false">ROUND(D47-E47,2)</f>
        <v>0</v>
      </c>
      <c r="G47" s="17" t="str">
        <f aca="false">IF(ABS(F47)&lt;=0.02,"OK","BŁĄD")</f>
        <v>OK</v>
      </c>
    </row>
    <row r="48" customFormat="false" ht="15" hidden="false" customHeight="false" outlineLevel="0" collapsed="false">
      <c r="A48" s="17" t="s">
        <v>84</v>
      </c>
      <c r="B48" s="17" t="s">
        <v>11</v>
      </c>
      <c r="C48" s="17" t="s">
        <v>75</v>
      </c>
      <c r="D48" s="18" t="n">
        <f aca="false">Podsumowanie!D157</f>
        <v>0</v>
      </c>
      <c r="E48" s="18" t="n">
        <f aca="false">Podsumowanie!D59</f>
        <v>0</v>
      </c>
      <c r="F48" s="18" t="n">
        <f aca="false">ROUND(D48-E48,2)</f>
        <v>0</v>
      </c>
      <c r="G48" s="17" t="str">
        <f aca="false">IF(ABS(F48)&lt;=0.02,"OK","BŁĄD")</f>
        <v>OK</v>
      </c>
    </row>
    <row r="49" customFormat="false" ht="15" hidden="false" customHeight="false" outlineLevel="0" collapsed="false">
      <c r="A49" s="17" t="s">
        <v>80</v>
      </c>
      <c r="B49" s="17" t="s">
        <v>11</v>
      </c>
      <c r="C49" s="17" t="s">
        <v>76</v>
      </c>
      <c r="D49" s="18" t="n">
        <f aca="false">Podsumowanie!E145</f>
        <v>3897492.49</v>
      </c>
      <c r="E49" s="18" t="n">
        <f aca="false">Podsumowanie!E5+Podsumowanie!E35+Podsumowanie!E68+Podsumowanie!E98</f>
        <v>3897492.49</v>
      </c>
      <c r="F49" s="18" t="n">
        <f aca="false">ROUND(D49-E49,2)</f>
        <v>0</v>
      </c>
      <c r="G49" s="17" t="str">
        <f aca="false">IF(ABS(F49)&lt;=0.02,"OK","BŁĄD")</f>
        <v>OK</v>
      </c>
    </row>
    <row r="50" customFormat="false" ht="15" hidden="false" customHeight="false" outlineLevel="0" collapsed="false">
      <c r="A50" s="17" t="s">
        <v>81</v>
      </c>
      <c r="B50" s="17" t="s">
        <v>11</v>
      </c>
      <c r="C50" s="17" t="s">
        <v>76</v>
      </c>
      <c r="D50" s="18" t="n">
        <f aca="false">Podsumowanie!E136</f>
        <v>4866115.61</v>
      </c>
      <c r="E50" s="18" t="n">
        <f aca="false">Podsumowanie!E145+Podsumowanie!E130</f>
        <v>4866115.61</v>
      </c>
      <c r="F50" s="18" t="n">
        <f aca="false">ROUND(D50-E50,2)</f>
        <v>0</v>
      </c>
      <c r="G50" s="17" t="str">
        <f aca="false">IF(ABS(F50)&lt;=0.02,"OK","BŁĄD")</f>
        <v>OK</v>
      </c>
    </row>
    <row r="51" customFormat="false" ht="15" hidden="false" customHeight="false" outlineLevel="0" collapsed="false">
      <c r="A51" s="17" t="s">
        <v>82</v>
      </c>
      <c r="B51" s="17" t="s">
        <v>11</v>
      </c>
      <c r="C51" s="17" t="s">
        <v>76</v>
      </c>
      <c r="D51" s="18" t="n">
        <f aca="false">Podsumowanie!E151</f>
        <v>14999.99</v>
      </c>
      <c r="E51" s="18" t="n">
        <f aca="false">Podsumowanie!E29+Podsumowanie!E62+Podsumowanie!E92+Podsumowanie!E119</f>
        <v>14999.99</v>
      </c>
      <c r="F51" s="18" t="n">
        <f aca="false">ROUND(D51-E51,2)</f>
        <v>0</v>
      </c>
      <c r="G51" s="17" t="str">
        <f aca="false">IF(ABS(F51)&lt;=0.02,"OK","BŁĄD")</f>
        <v>OK</v>
      </c>
    </row>
    <row r="52" customFormat="false" ht="15" hidden="false" customHeight="false" outlineLevel="0" collapsed="false">
      <c r="A52" s="17" t="s">
        <v>83</v>
      </c>
      <c r="B52" s="17" t="s">
        <v>11</v>
      </c>
      <c r="C52" s="17" t="s">
        <v>76</v>
      </c>
      <c r="D52" s="18" t="n">
        <f aca="false">Podsumowanie!E154</f>
        <v>3759492.5</v>
      </c>
      <c r="E52" s="18" t="n">
        <f aca="false">Podsumowanie!E8+Podsumowanie!E11+Podsumowanie!E14+Podsumowanie!E17+Podsumowanie!E20+Podsumowanie!E23+Podsumowanie!E26+Podsumowanie!E32+Podsumowanie!E38+Podsumowanie!E41+Podsumowanie!E44+Podsumowanie!E47+Podsumowanie!E50+Podsumowanie!E53+Podsumowanie!E56+Podsumowanie!E65+Podsumowanie!E71+Podsumowanie!E74+Podsumowanie!E77+Podsumowanie!E80+Podsumowanie!E83+Podsumowanie!E86+Podsumowanie!E89+Podsumowanie!E95+Podsumowanie!E101+Podsumowanie!E104+Podsumowanie!E107+Podsumowanie!E110+Podsumowanie!E113+Podsumowanie!E116+Podsumowanie!E122+Podsumowanie!E125</f>
        <v>3759492.5</v>
      </c>
      <c r="F52" s="18" t="n">
        <f aca="false">ROUND(D52-E52,2)</f>
        <v>0</v>
      </c>
      <c r="G52" s="17" t="str">
        <f aca="false">IF(ABS(F52)&lt;=0.02,"OK","BŁĄD")</f>
        <v>OK</v>
      </c>
    </row>
    <row r="53" customFormat="false" ht="15" hidden="false" customHeight="false" outlineLevel="0" collapsed="false">
      <c r="A53" s="17" t="s">
        <v>84</v>
      </c>
      <c r="B53" s="17" t="s">
        <v>11</v>
      </c>
      <c r="C53" s="17" t="s">
        <v>76</v>
      </c>
      <c r="D53" s="18" t="n">
        <f aca="false">Podsumowanie!E157</f>
        <v>123000</v>
      </c>
      <c r="E53" s="18" t="n">
        <f aca="false">Podsumowanie!E59</f>
        <v>123000</v>
      </c>
      <c r="F53" s="18" t="n">
        <f aca="false">ROUND(D53-E53,2)</f>
        <v>0</v>
      </c>
      <c r="G53" s="17" t="str">
        <f aca="false">IF(ABS(F53)&lt;=0.02,"OK","BŁĄD")</f>
        <v>OK</v>
      </c>
    </row>
    <row r="54" customFormat="false" ht="15" hidden="false" customHeight="false" outlineLevel="0" collapsed="false">
      <c r="A54" s="17" t="s">
        <v>80</v>
      </c>
      <c r="B54" s="17" t="s">
        <v>12</v>
      </c>
      <c r="C54" s="17" t="s">
        <v>74</v>
      </c>
      <c r="D54" s="18" t="n">
        <f aca="false">Podsumowanie!C146</f>
        <v>335904.98</v>
      </c>
      <c r="E54" s="18" t="n">
        <f aca="false">Podsumowanie!C6+Podsumowanie!C36+Podsumowanie!C69+Podsumowanie!C99</f>
        <v>335904.98</v>
      </c>
      <c r="F54" s="18" t="n">
        <f aca="false">ROUND(D54-E54,2)</f>
        <v>0</v>
      </c>
      <c r="G54" s="17" t="str">
        <f aca="false">IF(ABS(F54)&lt;=0.02,"OK","BŁĄD")</f>
        <v>OK</v>
      </c>
    </row>
    <row r="55" customFormat="false" ht="15" hidden="false" customHeight="false" outlineLevel="0" collapsed="false">
      <c r="A55" s="17" t="s">
        <v>81</v>
      </c>
      <c r="B55" s="17" t="s">
        <v>12</v>
      </c>
      <c r="C55" s="17" t="s">
        <v>74</v>
      </c>
      <c r="D55" s="18" t="n">
        <f aca="false">Podsumowanie!C137</f>
        <v>335904.98</v>
      </c>
      <c r="E55" s="18" t="n">
        <f aca="false">Podsumowanie!C146+Podsumowanie!C131</f>
        <v>335904.98</v>
      </c>
      <c r="F55" s="18" t="n">
        <f aca="false">ROUND(D55-E55,2)</f>
        <v>0</v>
      </c>
      <c r="G55" s="17" t="str">
        <f aca="false">IF(ABS(F55)&lt;=0.02,"OK","BŁĄD")</f>
        <v>OK</v>
      </c>
    </row>
    <row r="56" customFormat="false" ht="15" hidden="false" customHeight="false" outlineLevel="0" collapsed="false">
      <c r="A56" s="17" t="s">
        <v>82</v>
      </c>
      <c r="B56" s="17" t="s">
        <v>12</v>
      </c>
      <c r="C56" s="17" t="s">
        <v>74</v>
      </c>
      <c r="D56" s="18" t="n">
        <f aca="false">Podsumowanie!C152</f>
        <v>0</v>
      </c>
      <c r="E56" s="18" t="n">
        <f aca="false">Podsumowanie!C30+Podsumowanie!C63+Podsumowanie!C93+Podsumowanie!C120</f>
        <v>0</v>
      </c>
      <c r="F56" s="18" t="n">
        <f aca="false">ROUND(D56-E56,2)</f>
        <v>0</v>
      </c>
      <c r="G56" s="17" t="str">
        <f aca="false">IF(ABS(F56)&lt;=0.02,"OK","BŁĄD")</f>
        <v>OK</v>
      </c>
    </row>
    <row r="57" customFormat="false" ht="15" hidden="false" customHeight="false" outlineLevel="0" collapsed="false">
      <c r="A57" s="17" t="s">
        <v>83</v>
      </c>
      <c r="B57" s="17" t="s">
        <v>12</v>
      </c>
      <c r="C57" s="17" t="s">
        <v>74</v>
      </c>
      <c r="D57" s="18" t="n">
        <f aca="false">Podsumowanie!C155</f>
        <v>335904.98</v>
      </c>
      <c r="E57" s="18" t="n">
        <f aca="false">Podsumowanie!C9+Podsumowanie!C12+Podsumowanie!C15+Podsumowanie!C18+Podsumowanie!C21+Podsumowanie!C24+Podsumowanie!C27+Podsumowanie!C33+Podsumowanie!C39+Podsumowanie!C42+Podsumowanie!C45+Podsumowanie!C48+Podsumowanie!C51+Podsumowanie!C54+Podsumowanie!C57+Podsumowanie!C66+Podsumowanie!C72+Podsumowanie!C75+Podsumowanie!C78+Podsumowanie!C81+Podsumowanie!C84+Podsumowanie!C87+Podsumowanie!C90+Podsumowanie!C96+Podsumowanie!C102+Podsumowanie!C105+Podsumowanie!C108+Podsumowanie!C111+Podsumowanie!C114+Podsumowanie!C117+Podsumowanie!C123+Podsumowanie!C126</f>
        <v>335904.98</v>
      </c>
      <c r="F57" s="18" t="n">
        <f aca="false">ROUND(D57-E57,2)</f>
        <v>0</v>
      </c>
      <c r="G57" s="17" t="str">
        <f aca="false">IF(ABS(F57)&lt;=0.02,"OK","BŁĄD")</f>
        <v>OK</v>
      </c>
    </row>
    <row r="58" customFormat="false" ht="15" hidden="false" customHeight="false" outlineLevel="0" collapsed="false">
      <c r="A58" s="17" t="s">
        <v>84</v>
      </c>
      <c r="B58" s="17" t="s">
        <v>12</v>
      </c>
      <c r="C58" s="17" t="s">
        <v>74</v>
      </c>
      <c r="D58" s="18" t="n">
        <f aca="false">Podsumowanie!C158</f>
        <v>0</v>
      </c>
      <c r="E58" s="18" t="n">
        <f aca="false">Podsumowanie!C60</f>
        <v>0</v>
      </c>
      <c r="F58" s="18" t="n">
        <f aca="false">ROUND(D58-E58,2)</f>
        <v>0</v>
      </c>
      <c r="G58" s="17" t="str">
        <f aca="false">IF(ABS(F58)&lt;=0.02,"OK","BŁĄD")</f>
        <v>OK</v>
      </c>
    </row>
    <row r="59" customFormat="false" ht="15" hidden="false" customHeight="false" outlineLevel="0" collapsed="false">
      <c r="A59" s="17" t="s">
        <v>80</v>
      </c>
      <c r="B59" s="17" t="s">
        <v>12</v>
      </c>
      <c r="C59" s="17" t="s">
        <v>75</v>
      </c>
      <c r="D59" s="18" t="n">
        <f aca="false">Podsumowanie!D146</f>
        <v>1649994.16</v>
      </c>
      <c r="E59" s="18" t="n">
        <f aca="false">Podsumowanie!D6+Podsumowanie!D36+Podsumowanie!D69+Podsumowanie!D99</f>
        <v>1649994.16</v>
      </c>
      <c r="F59" s="18" t="n">
        <f aca="false">ROUND(D59-E59,2)</f>
        <v>0</v>
      </c>
      <c r="G59" s="17" t="str">
        <f aca="false">IF(ABS(F59)&lt;=0.02,"OK","BŁĄD")</f>
        <v>OK</v>
      </c>
    </row>
    <row r="60" customFormat="false" ht="15" hidden="false" customHeight="false" outlineLevel="0" collapsed="false">
      <c r="A60" s="17" t="s">
        <v>81</v>
      </c>
      <c r="B60" s="17" t="s">
        <v>12</v>
      </c>
      <c r="C60" s="17" t="s">
        <v>75</v>
      </c>
      <c r="D60" s="18" t="n">
        <f aca="false">Podsumowanie!D137</f>
        <v>1978516.46</v>
      </c>
      <c r="E60" s="18" t="n">
        <f aca="false">Podsumowanie!D146+Podsumowanie!D131</f>
        <v>1978516.46</v>
      </c>
      <c r="F60" s="18" t="n">
        <f aca="false">ROUND(D60-E60,2)</f>
        <v>0</v>
      </c>
      <c r="G60" s="17" t="str">
        <f aca="false">IF(ABS(F60)&lt;=0.02,"OK","BŁĄD")</f>
        <v>OK</v>
      </c>
    </row>
    <row r="61" customFormat="false" ht="15" hidden="false" customHeight="false" outlineLevel="0" collapsed="false">
      <c r="A61" s="17" t="s">
        <v>82</v>
      </c>
      <c r="B61" s="17" t="s">
        <v>12</v>
      </c>
      <c r="C61" s="17" t="s">
        <v>75</v>
      </c>
      <c r="D61" s="18" t="n">
        <f aca="false">Podsumowanie!D152</f>
        <v>4552.16</v>
      </c>
      <c r="E61" s="18" t="n">
        <f aca="false">Podsumowanie!D30+Podsumowanie!D63+Podsumowanie!D93+Podsumowanie!D120</f>
        <v>4552.16</v>
      </c>
      <c r="F61" s="18" t="n">
        <f aca="false">ROUND(D61-E61,2)</f>
        <v>0</v>
      </c>
      <c r="G61" s="17" t="str">
        <f aca="false">IF(ABS(F61)&lt;=0.02,"OK","BŁĄD")</f>
        <v>OK</v>
      </c>
    </row>
    <row r="62" customFormat="false" ht="15" hidden="false" customHeight="false" outlineLevel="0" collapsed="false">
      <c r="A62" s="17" t="s">
        <v>83</v>
      </c>
      <c r="B62" s="17" t="s">
        <v>12</v>
      </c>
      <c r="C62" s="17" t="s">
        <v>75</v>
      </c>
      <c r="D62" s="18" t="n">
        <f aca="false">Podsumowanie!D155</f>
        <v>1645442</v>
      </c>
      <c r="E62" s="18" t="n">
        <f aca="false">Podsumowanie!D9+Podsumowanie!D12+Podsumowanie!D15+Podsumowanie!D18+Podsumowanie!D21+Podsumowanie!D24+Podsumowanie!D27+Podsumowanie!D33+Podsumowanie!D39+Podsumowanie!D42+Podsumowanie!D45+Podsumowanie!D48+Podsumowanie!D51+Podsumowanie!D54+Podsumowanie!D57+Podsumowanie!D66+Podsumowanie!D72+Podsumowanie!D75+Podsumowanie!D78+Podsumowanie!D81+Podsumowanie!D84+Podsumowanie!D87+Podsumowanie!D90+Podsumowanie!D96+Podsumowanie!D102+Podsumowanie!D105+Podsumowanie!D108+Podsumowanie!D111+Podsumowanie!D114+Podsumowanie!D117+Podsumowanie!D123+Podsumowanie!D126</f>
        <v>1645442</v>
      </c>
      <c r="F62" s="18" t="n">
        <f aca="false">ROUND(D62-E62,2)</f>
        <v>0</v>
      </c>
      <c r="G62" s="17" t="str">
        <f aca="false">IF(ABS(F62)&lt;=0.02,"OK","BŁĄD")</f>
        <v>OK</v>
      </c>
    </row>
    <row r="63" customFormat="false" ht="15" hidden="false" customHeight="false" outlineLevel="0" collapsed="false">
      <c r="A63" s="17" t="s">
        <v>84</v>
      </c>
      <c r="B63" s="17" t="s">
        <v>12</v>
      </c>
      <c r="C63" s="17" t="s">
        <v>75</v>
      </c>
      <c r="D63" s="18" t="n">
        <f aca="false">Podsumowanie!D158</f>
        <v>0</v>
      </c>
      <c r="E63" s="18" t="n">
        <f aca="false">Podsumowanie!D60</f>
        <v>0</v>
      </c>
      <c r="F63" s="18" t="n">
        <f aca="false">ROUND(D63-E63,2)</f>
        <v>0</v>
      </c>
      <c r="G63" s="17" t="str">
        <f aca="false">IF(ABS(F63)&lt;=0.02,"OK","BŁĄD")</f>
        <v>OK</v>
      </c>
    </row>
    <row r="64" customFormat="false" ht="15" hidden="false" customHeight="false" outlineLevel="0" collapsed="false">
      <c r="A64" s="17" t="s">
        <v>80</v>
      </c>
      <c r="B64" s="17" t="s">
        <v>12</v>
      </c>
      <c r="C64" s="17" t="s">
        <v>76</v>
      </c>
      <c r="D64" s="18" t="n">
        <f aca="false">Podsumowanie!E146</f>
        <v>3874492.49</v>
      </c>
      <c r="E64" s="18" t="n">
        <f aca="false">Podsumowanie!E6+Podsumowanie!E36+Podsumowanie!E69+Podsumowanie!E99</f>
        <v>3874492.49</v>
      </c>
      <c r="F64" s="18" t="n">
        <f aca="false">ROUND(D64-E64,2)</f>
        <v>0</v>
      </c>
      <c r="G64" s="17" t="str">
        <f aca="false">IF(ABS(F64)&lt;=0.02,"OK","BŁĄD")</f>
        <v>OK</v>
      </c>
    </row>
    <row r="65" customFormat="false" ht="15" hidden="false" customHeight="false" outlineLevel="0" collapsed="false">
      <c r="A65" s="17" t="s">
        <v>81</v>
      </c>
      <c r="B65" s="17" t="s">
        <v>12</v>
      </c>
      <c r="C65" s="17" t="s">
        <v>76</v>
      </c>
      <c r="D65" s="18" t="n">
        <f aca="false">Podsumowanie!E137</f>
        <v>4843115.61</v>
      </c>
      <c r="E65" s="18" t="n">
        <f aca="false">Podsumowanie!E146+Podsumowanie!E131</f>
        <v>4843115.61</v>
      </c>
      <c r="F65" s="18" t="n">
        <f aca="false">ROUND(D65-E65,2)</f>
        <v>0</v>
      </c>
      <c r="G65" s="17" t="str">
        <f aca="false">IF(ABS(F65)&lt;=0.02,"OK","BŁĄD")</f>
        <v>OK</v>
      </c>
    </row>
    <row r="66" customFormat="false" ht="15" hidden="false" customHeight="false" outlineLevel="0" collapsed="false">
      <c r="A66" s="17" t="s">
        <v>82</v>
      </c>
      <c r="B66" s="17" t="s">
        <v>12</v>
      </c>
      <c r="C66" s="17" t="s">
        <v>76</v>
      </c>
      <c r="D66" s="18" t="n">
        <f aca="false">Podsumowanie!E152</f>
        <v>14999.99</v>
      </c>
      <c r="E66" s="18" t="n">
        <f aca="false">Podsumowanie!E30+Podsumowanie!E63+Podsumowanie!E93+Podsumowanie!E120</f>
        <v>14999.99</v>
      </c>
      <c r="F66" s="18" t="n">
        <f aca="false">ROUND(D66-E66,2)</f>
        <v>0</v>
      </c>
      <c r="G66" s="17" t="str">
        <f aca="false">IF(ABS(F66)&lt;=0.02,"OK","BŁĄD")</f>
        <v>OK</v>
      </c>
    </row>
    <row r="67" customFormat="false" ht="15" hidden="false" customHeight="false" outlineLevel="0" collapsed="false">
      <c r="A67" s="17" t="s">
        <v>83</v>
      </c>
      <c r="B67" s="17" t="s">
        <v>12</v>
      </c>
      <c r="C67" s="17" t="s">
        <v>76</v>
      </c>
      <c r="D67" s="18" t="n">
        <f aca="false">Podsumowanie!E155</f>
        <v>3759492.5</v>
      </c>
      <c r="E67" s="18" t="n">
        <f aca="false">Podsumowanie!E9+Podsumowanie!E12+Podsumowanie!E15+Podsumowanie!E18+Podsumowanie!E21+Podsumowanie!E24+Podsumowanie!E27+Podsumowanie!E33+Podsumowanie!E39+Podsumowanie!E42+Podsumowanie!E45+Podsumowanie!E48+Podsumowanie!E51+Podsumowanie!E54+Podsumowanie!E57+Podsumowanie!E66+Podsumowanie!E72+Podsumowanie!E75+Podsumowanie!E78+Podsumowanie!E81+Podsumowanie!E84+Podsumowanie!E87+Podsumowanie!E90+Podsumowanie!E96+Podsumowanie!E102+Podsumowanie!E105+Podsumowanie!E108+Podsumowanie!E111+Podsumowanie!E114+Podsumowanie!E117+Podsumowanie!E123+Podsumowanie!E126</f>
        <v>3759492.5</v>
      </c>
      <c r="F67" s="18" t="n">
        <f aca="false">ROUND(D67-E67,2)</f>
        <v>0</v>
      </c>
      <c r="G67" s="17" t="str">
        <f aca="false">IF(ABS(F67)&lt;=0.02,"OK","BŁĄD")</f>
        <v>OK</v>
      </c>
    </row>
    <row r="68" customFormat="false" ht="15" hidden="false" customHeight="false" outlineLevel="0" collapsed="false">
      <c r="A68" s="17" t="s">
        <v>84</v>
      </c>
      <c r="B68" s="17" t="s">
        <v>12</v>
      </c>
      <c r="C68" s="17" t="s">
        <v>76</v>
      </c>
      <c r="D68" s="18" t="n">
        <f aca="false">Podsumowanie!E158</f>
        <v>100000</v>
      </c>
      <c r="E68" s="18" t="n">
        <f aca="false">Podsumowanie!E60</f>
        <v>100000</v>
      </c>
      <c r="F68" s="18" t="n">
        <f aca="false">ROUND(D68-E68,2)</f>
        <v>0</v>
      </c>
      <c r="G68" s="17" t="str">
        <f aca="false">IF(ABS(F68)&lt;=0.02,"OK","BŁĄD")</f>
        <v>OK</v>
      </c>
    </row>
    <row r="69" customFormat="false" ht="15" hidden="false" customHeight="false" outlineLevel="0" collapsed="false">
      <c r="A69" s="17" t="s">
        <v>80</v>
      </c>
      <c r="B69" s="17" t="s">
        <v>13</v>
      </c>
      <c r="C69" s="17" t="s">
        <v>74</v>
      </c>
      <c r="D69" s="18" t="n">
        <f aca="false">Podsumowanie!C147</f>
        <v>268723.98</v>
      </c>
      <c r="E69" s="18" t="n">
        <f aca="false">Podsumowanie!C7+Podsumowanie!C37+Podsumowanie!C70+Podsumowanie!C100</f>
        <v>268723.98</v>
      </c>
      <c r="F69" s="18" t="n">
        <f aca="false">ROUND(D69-E69,2)</f>
        <v>0</v>
      </c>
      <c r="G69" s="17" t="str">
        <f aca="false">IF(ABS(F69)&lt;=0.02,"OK","BŁĄD")</f>
        <v>OK</v>
      </c>
    </row>
    <row r="70" customFormat="false" ht="15" hidden="false" customHeight="false" outlineLevel="0" collapsed="false">
      <c r="A70" s="17" t="s">
        <v>81</v>
      </c>
      <c r="B70" s="17" t="s">
        <v>13</v>
      </c>
      <c r="C70" s="17" t="s">
        <v>74</v>
      </c>
      <c r="D70" s="18" t="n">
        <f aca="false">Podsumowanie!C138</f>
        <v>268723.98</v>
      </c>
      <c r="E70" s="18" t="n">
        <f aca="false">Podsumowanie!C147+Podsumowanie!C132</f>
        <v>268723.98</v>
      </c>
      <c r="F70" s="18" t="n">
        <f aca="false">ROUND(D70-E70,2)</f>
        <v>0</v>
      </c>
      <c r="G70" s="17" t="str">
        <f aca="false">IF(ABS(F70)&lt;=0.02,"OK","BŁĄD")</f>
        <v>OK</v>
      </c>
    </row>
    <row r="71" customFormat="false" ht="15" hidden="false" customHeight="false" outlineLevel="0" collapsed="false">
      <c r="A71" s="17" t="s">
        <v>82</v>
      </c>
      <c r="B71" s="17" t="s">
        <v>13</v>
      </c>
      <c r="C71" s="17" t="s">
        <v>74</v>
      </c>
      <c r="D71" s="18" t="n">
        <f aca="false">Podsumowanie!C153</f>
        <v>0</v>
      </c>
      <c r="E71" s="18" t="n">
        <f aca="false">Podsumowanie!C31+Podsumowanie!C64+Podsumowanie!C94+Podsumowanie!C121</f>
        <v>0</v>
      </c>
      <c r="F71" s="18" t="n">
        <f aca="false">ROUND(D71-E71,2)</f>
        <v>0</v>
      </c>
      <c r="G71" s="17" t="str">
        <f aca="false">IF(ABS(F71)&lt;=0.02,"OK","BŁĄD")</f>
        <v>OK</v>
      </c>
    </row>
    <row r="72" customFormat="false" ht="15" hidden="false" customHeight="false" outlineLevel="0" collapsed="false">
      <c r="A72" s="17" t="s">
        <v>83</v>
      </c>
      <c r="B72" s="17" t="s">
        <v>13</v>
      </c>
      <c r="C72" s="17" t="s">
        <v>74</v>
      </c>
      <c r="D72" s="18" t="n">
        <f aca="false">Podsumowanie!C156</f>
        <v>268723.98</v>
      </c>
      <c r="E72" s="18" t="n">
        <f aca="false">Podsumowanie!C10+Podsumowanie!C13+Podsumowanie!C16+Podsumowanie!C19+Podsumowanie!C22+Podsumowanie!C25+Podsumowanie!C28+Podsumowanie!C34+Podsumowanie!C40+Podsumowanie!C43+Podsumowanie!C46+Podsumowanie!C49+Podsumowanie!C52+Podsumowanie!C55+Podsumowanie!C58+Podsumowanie!C67+Podsumowanie!C73+Podsumowanie!C76+Podsumowanie!C79+Podsumowanie!C82+Podsumowanie!C85+Podsumowanie!C88+Podsumowanie!C91+Podsumowanie!C97+Podsumowanie!C103+Podsumowanie!C106+Podsumowanie!C109+Podsumowanie!C112+Podsumowanie!C115+Podsumowanie!C118+Podsumowanie!C124+Podsumowanie!C127</f>
        <v>268723.98</v>
      </c>
      <c r="F72" s="18" t="n">
        <f aca="false">ROUND(D72-E72,2)</f>
        <v>0</v>
      </c>
      <c r="G72" s="17" t="str">
        <f aca="false">IF(ABS(F72)&lt;=0.02,"OK","BŁĄD")</f>
        <v>OK</v>
      </c>
    </row>
    <row r="73" customFormat="false" ht="15" hidden="false" customHeight="false" outlineLevel="0" collapsed="false">
      <c r="A73" s="17" t="s">
        <v>84</v>
      </c>
      <c r="B73" s="17" t="s">
        <v>13</v>
      </c>
      <c r="C73" s="17" t="s">
        <v>74</v>
      </c>
      <c r="D73" s="18" t="n">
        <f aca="false">Podsumowanie!C159</f>
        <v>0</v>
      </c>
      <c r="E73" s="18" t="n">
        <f aca="false">Podsumowanie!C61</f>
        <v>0</v>
      </c>
      <c r="F73" s="18" t="n">
        <f aca="false">ROUND(D73-E73,2)</f>
        <v>0</v>
      </c>
      <c r="G73" s="17" t="str">
        <f aca="false">IF(ABS(F73)&lt;=0.02,"OK","BŁĄD")</f>
        <v>OK</v>
      </c>
    </row>
    <row r="74" customFormat="false" ht="15" hidden="false" customHeight="false" outlineLevel="0" collapsed="false">
      <c r="A74" s="17" t="s">
        <v>80</v>
      </c>
      <c r="B74" s="17" t="s">
        <v>13</v>
      </c>
      <c r="C74" s="17" t="s">
        <v>75</v>
      </c>
      <c r="D74" s="18" t="n">
        <f aca="false">Podsumowanie!D147</f>
        <v>1319995.33</v>
      </c>
      <c r="E74" s="18" t="n">
        <f aca="false">Podsumowanie!D7+Podsumowanie!D37+Podsumowanie!D70+Podsumowanie!D100</f>
        <v>1319995.33</v>
      </c>
      <c r="F74" s="18" t="n">
        <f aca="false">ROUND(D74-E74,2)</f>
        <v>0</v>
      </c>
      <c r="G74" s="17" t="str">
        <f aca="false">IF(ABS(F74)&lt;=0.02,"OK","BŁĄD")</f>
        <v>OK</v>
      </c>
    </row>
    <row r="75" customFormat="false" ht="15" hidden="false" customHeight="false" outlineLevel="0" collapsed="false">
      <c r="A75" s="17" t="s">
        <v>81</v>
      </c>
      <c r="B75" s="17" t="s">
        <v>13</v>
      </c>
      <c r="C75" s="17" t="s">
        <v>75</v>
      </c>
      <c r="D75" s="18" t="n">
        <f aca="false">Podsumowanie!D138</f>
        <v>1582813.16</v>
      </c>
      <c r="E75" s="18" t="n">
        <f aca="false">Podsumowanie!D147+Podsumowanie!D132</f>
        <v>1582813.16</v>
      </c>
      <c r="F75" s="18" t="n">
        <f aca="false">ROUND(D75-E75,2)</f>
        <v>0</v>
      </c>
      <c r="G75" s="17" t="str">
        <f aca="false">IF(ABS(F75)&lt;=0.02,"OK","BŁĄD")</f>
        <v>OK</v>
      </c>
    </row>
    <row r="76" customFormat="false" ht="15" hidden="false" customHeight="false" outlineLevel="0" collapsed="false">
      <c r="A76" s="17" t="s">
        <v>82</v>
      </c>
      <c r="B76" s="17" t="s">
        <v>13</v>
      </c>
      <c r="C76" s="17" t="s">
        <v>75</v>
      </c>
      <c r="D76" s="18" t="n">
        <f aca="false">Podsumowanie!D153</f>
        <v>3641.74</v>
      </c>
      <c r="E76" s="18" t="n">
        <f aca="false">Podsumowanie!D31+Podsumowanie!D64+Podsumowanie!D94+Podsumowanie!D121</f>
        <v>3641.74</v>
      </c>
      <c r="F76" s="18" t="n">
        <f aca="false">ROUND(D76-E76,2)</f>
        <v>0</v>
      </c>
      <c r="G76" s="17" t="str">
        <f aca="false">IF(ABS(F76)&lt;=0.02,"OK","BŁĄD")</f>
        <v>OK</v>
      </c>
    </row>
    <row r="77" customFormat="false" ht="15" hidden="false" customHeight="false" outlineLevel="0" collapsed="false">
      <c r="A77" s="17" t="s">
        <v>83</v>
      </c>
      <c r="B77" s="17" t="s">
        <v>13</v>
      </c>
      <c r="C77" s="17" t="s">
        <v>75</v>
      </c>
      <c r="D77" s="18" t="n">
        <f aca="false">Podsumowanie!D156</f>
        <v>1316353.59</v>
      </c>
      <c r="E77" s="18" t="n">
        <f aca="false">Podsumowanie!D10+Podsumowanie!D13+Podsumowanie!D16+Podsumowanie!D19+Podsumowanie!D22+Podsumowanie!D25+Podsumowanie!D28+Podsumowanie!D34+Podsumowanie!D40+Podsumowanie!D43+Podsumowanie!D46+Podsumowanie!D49+Podsumowanie!D52+Podsumowanie!D55+Podsumowanie!D58+Podsumowanie!D67+Podsumowanie!D73+Podsumowanie!D76+Podsumowanie!D79+Podsumowanie!D82+Podsumowanie!D85+Podsumowanie!D88+Podsumowanie!D91+Podsumowanie!D97+Podsumowanie!D103+Podsumowanie!D106+Podsumowanie!D109+Podsumowanie!D112+Podsumowanie!D115+Podsumowanie!D118+Podsumowanie!D124+Podsumowanie!D127</f>
        <v>1316353.59</v>
      </c>
      <c r="F77" s="18" t="n">
        <f aca="false">ROUND(D77-E77,2)</f>
        <v>0</v>
      </c>
      <c r="G77" s="17" t="str">
        <f aca="false">IF(ABS(F77)&lt;=0.02,"OK","BŁĄD")</f>
        <v>OK</v>
      </c>
    </row>
    <row r="78" customFormat="false" ht="15" hidden="false" customHeight="false" outlineLevel="0" collapsed="false">
      <c r="A78" s="17" t="s">
        <v>84</v>
      </c>
      <c r="B78" s="17" t="s">
        <v>13</v>
      </c>
      <c r="C78" s="17" t="s">
        <v>75</v>
      </c>
      <c r="D78" s="18" t="n">
        <f aca="false">Podsumowanie!D159</f>
        <v>0</v>
      </c>
      <c r="E78" s="18" t="n">
        <f aca="false">Podsumowanie!D61</f>
        <v>0</v>
      </c>
      <c r="F78" s="18" t="n">
        <f aca="false">ROUND(D78-E78,2)</f>
        <v>0</v>
      </c>
      <c r="G78" s="17" t="str">
        <f aca="false">IF(ABS(F78)&lt;=0.02,"OK","BŁĄD")</f>
        <v>OK</v>
      </c>
    </row>
    <row r="79" customFormat="false" ht="15" hidden="false" customHeight="false" outlineLevel="0" collapsed="false">
      <c r="A79" s="17" t="s">
        <v>80</v>
      </c>
      <c r="B79" s="17" t="s">
        <v>13</v>
      </c>
      <c r="C79" s="17" t="s">
        <v>76</v>
      </c>
      <c r="D79" s="18" t="n">
        <f aca="false">Podsumowanie!E147</f>
        <v>2959946.54</v>
      </c>
      <c r="E79" s="18" t="n">
        <f aca="false">Podsumowanie!E7+Podsumowanie!E37+Podsumowanie!E70+Podsumowanie!E100</f>
        <v>2959946.54</v>
      </c>
      <c r="F79" s="18" t="n">
        <f aca="false">ROUND(D79-E79,2)</f>
        <v>0</v>
      </c>
      <c r="G79" s="17" t="str">
        <f aca="false">IF(ABS(F79)&lt;=0.02,"OK","BŁĄD")</f>
        <v>OK</v>
      </c>
    </row>
    <row r="80" customFormat="false" ht="15" hidden="false" customHeight="false" outlineLevel="0" collapsed="false">
      <c r="A80" s="17" t="s">
        <v>81</v>
      </c>
      <c r="B80" s="17" t="s">
        <v>13</v>
      </c>
      <c r="C80" s="17" t="s">
        <v>76</v>
      </c>
      <c r="D80" s="18" t="n">
        <f aca="false">Podsumowanie!E138</f>
        <v>3699933.17</v>
      </c>
      <c r="E80" s="18" t="n">
        <f aca="false">Podsumowanie!E147+Podsumowanie!E132</f>
        <v>3699933.17</v>
      </c>
      <c r="F80" s="18" t="n">
        <f aca="false">ROUND(D80-E80,2)</f>
        <v>0</v>
      </c>
      <c r="G80" s="17" t="str">
        <f aca="false">IF(ABS(F80)&lt;=0.02,"OK","BŁĄD")</f>
        <v>OK</v>
      </c>
    </row>
    <row r="81" customFormat="false" ht="15" hidden="false" customHeight="false" outlineLevel="0" collapsed="false">
      <c r="A81" s="17" t="s">
        <v>82</v>
      </c>
      <c r="B81" s="17" t="s">
        <v>13</v>
      </c>
      <c r="C81" s="17" t="s">
        <v>76</v>
      </c>
      <c r="D81" s="18" t="n">
        <f aca="false">Podsumowanie!E153</f>
        <v>11428.54</v>
      </c>
      <c r="E81" s="18" t="n">
        <f aca="false">Podsumowanie!E31+Podsumowanie!E64+Podsumowanie!E94+Podsumowanie!E121</f>
        <v>11428.54</v>
      </c>
      <c r="F81" s="18" t="n">
        <f aca="false">ROUND(D81-E81,2)</f>
        <v>0</v>
      </c>
      <c r="G81" s="17" t="str">
        <f aca="false">IF(ABS(F81)&lt;=0.02,"OK","BŁĄD")</f>
        <v>OK</v>
      </c>
    </row>
    <row r="82" customFormat="false" ht="15" hidden="false" customHeight="false" outlineLevel="0" collapsed="false">
      <c r="A82" s="17" t="s">
        <v>83</v>
      </c>
      <c r="B82" s="17" t="s">
        <v>13</v>
      </c>
      <c r="C82" s="17" t="s">
        <v>76</v>
      </c>
      <c r="D82" s="18" t="n">
        <f aca="false">Podsumowanie!E156</f>
        <v>2868518</v>
      </c>
      <c r="E82" s="18" t="n">
        <f aca="false">Podsumowanie!E10+Podsumowanie!E13+Podsumowanie!E16+Podsumowanie!E19+Podsumowanie!E22+Podsumowanie!E25+Podsumowanie!E28+Podsumowanie!E34+Podsumowanie!E40+Podsumowanie!E43+Podsumowanie!E46+Podsumowanie!E49+Podsumowanie!E52+Podsumowanie!E55+Podsumowanie!E58+Podsumowanie!E67+Podsumowanie!E73+Podsumowanie!E76+Podsumowanie!E79+Podsumowanie!E82+Podsumowanie!E85+Podsumowanie!E88+Podsumowanie!E91+Podsumowanie!E97+Podsumowanie!E103+Podsumowanie!E106+Podsumowanie!E109+Podsumowanie!E112+Podsumowanie!E115+Podsumowanie!E118+Podsumowanie!E124+Podsumowanie!E127</f>
        <v>2868518</v>
      </c>
      <c r="F82" s="18" t="n">
        <f aca="false">ROUND(D82-E82,2)</f>
        <v>0</v>
      </c>
      <c r="G82" s="17" t="str">
        <f aca="false">IF(ABS(F82)&lt;=0.02,"OK","BŁĄD")</f>
        <v>OK</v>
      </c>
    </row>
    <row r="83" customFormat="false" ht="15" hidden="false" customHeight="false" outlineLevel="0" collapsed="false">
      <c r="A83" s="17" t="s">
        <v>84</v>
      </c>
      <c r="B83" s="17" t="s">
        <v>13</v>
      </c>
      <c r="C83" s="17" t="s">
        <v>76</v>
      </c>
      <c r="D83" s="18" t="n">
        <f aca="false">Podsumowanie!E159</f>
        <v>80000</v>
      </c>
      <c r="E83" s="18" t="n">
        <f aca="false">Podsumowanie!E61</f>
        <v>80000</v>
      </c>
      <c r="F83" s="18" t="n">
        <f aca="false">ROUND(D83-E83,2)</f>
        <v>0</v>
      </c>
      <c r="G83" s="17" t="str">
        <f aca="false">IF(ABS(F83)&lt;=0.02,"OK","BŁĄD")</f>
        <v>OK</v>
      </c>
    </row>
    <row r="84" customFormat="false" ht="15" hidden="false" customHeight="false" outlineLevel="0" collapsed="false">
      <c r="A84" s="17" t="s">
        <v>85</v>
      </c>
      <c r="B84" s="17" t="s">
        <v>12</v>
      </c>
      <c r="C84" s="17" t="s">
        <v>75</v>
      </c>
      <c r="D84" s="18" t="n">
        <f aca="false">Podsumowanie!D131</f>
        <v>328522.3</v>
      </c>
      <c r="E84" s="18" t="n">
        <f aca="false">0.25*(Podsumowanie!D146-Podsumowanie!C146)</f>
        <v>328522.295</v>
      </c>
      <c r="F84" s="18" t="n">
        <f aca="false">ROUND(D84-E84,2)</f>
        <v>0.01</v>
      </c>
      <c r="G84" s="17" t="str">
        <f aca="false">IF(ABS(F84)&lt;=0.02,"OK","BŁĄD")</f>
        <v>OK</v>
      </c>
    </row>
    <row r="85" customFormat="false" ht="15" hidden="false" customHeight="false" outlineLevel="0" collapsed="false">
      <c r="A85" s="17" t="s">
        <v>86</v>
      </c>
      <c r="B85" s="17" t="s">
        <v>12</v>
      </c>
      <c r="C85" s="17" t="s">
        <v>76</v>
      </c>
      <c r="D85" s="18" t="n">
        <f aca="false">Podsumowanie!E131</f>
        <v>968623.12</v>
      </c>
      <c r="E85" s="18" t="n">
        <f aca="false">0.25*(Podsumowanie!E146)</f>
        <v>968623.1225</v>
      </c>
      <c r="F85" s="18" t="n">
        <f aca="false">ROUND(D85-E85,2)</f>
        <v>-0</v>
      </c>
      <c r="G85" s="17" t="str">
        <f aca="false">IF(ABS(F85)&lt;=0.02,"OK","BŁĄD")</f>
        <v>OK</v>
      </c>
    </row>
  </sheetData>
  <conditionalFormatting sqref="G3:G85">
    <cfRule type="cellIs" priority="2" operator="equal" aboveAverage="0" equalAverage="0" bottom="0" percent="0" rank="0" text="" dxfId="0">
      <formula>"BŁĄD"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6" t="s">
        <v>87</v>
      </c>
      <c r="B1" s="16" t="s">
        <v>88</v>
      </c>
    </row>
    <row r="2" customFormat="false" ht="15" hidden="false" customHeight="false" outlineLevel="0" collapsed="false">
      <c r="A2" s="19" t="s">
        <v>89</v>
      </c>
      <c r="B2" s="19" t="s">
        <v>90</v>
      </c>
    </row>
    <row r="3" customFormat="false" ht="27.75" hidden="false" customHeight="true" outlineLevel="0" collapsed="false">
      <c r="A3" s="19" t="s">
        <v>91</v>
      </c>
      <c r="B3" s="19" t="s">
        <v>92</v>
      </c>
    </row>
    <row r="4" customFormat="false" ht="27.75" hidden="false" customHeight="true" outlineLevel="0" collapsed="false">
      <c r="A4" s="19" t="s">
        <v>93</v>
      </c>
      <c r="B4" s="19" t="s">
        <v>94</v>
      </c>
    </row>
    <row r="5" customFormat="false" ht="27.75" hidden="false" customHeight="true" outlineLevel="0" collapsed="false">
      <c r="A5" s="19" t="s">
        <v>95</v>
      </c>
      <c r="B5" s="19" t="s">
        <v>96</v>
      </c>
    </row>
    <row r="6" customFormat="false" ht="27.75" hidden="false" customHeight="true" outlineLevel="0" collapsed="false">
      <c r="A6" s="19" t="s">
        <v>97</v>
      </c>
      <c r="B6" s="19" t="s">
        <v>98</v>
      </c>
    </row>
    <row r="7" customFormat="false" ht="27.75" hidden="false" customHeight="true" outlineLevel="0" collapsed="false">
      <c r="A7" s="19" t="s">
        <v>55</v>
      </c>
      <c r="B7" s="19" t="s">
        <v>99</v>
      </c>
    </row>
    <row r="8" customFormat="false" ht="27.75" hidden="false" customHeight="true" outlineLevel="0" collapsed="false">
      <c r="A8" s="19" t="s">
        <v>100</v>
      </c>
      <c r="B8" s="19" t="s">
        <v>101</v>
      </c>
    </row>
    <row r="9" customFormat="false" ht="15" hidden="false" customHeight="false" outlineLevel="0" collapsed="false">
      <c r="A9" s="19" t="s">
        <v>102</v>
      </c>
      <c r="B9" s="19" t="s">
        <v>103</v>
      </c>
    </row>
    <row r="10" customFormat="false" ht="15" hidden="false" customHeight="false" outlineLevel="0" collapsed="false">
      <c r="A10" s="19" t="s">
        <v>104</v>
      </c>
      <c r="B10" s="19" t="s">
        <v>105</v>
      </c>
    </row>
    <row r="11" customFormat="false" ht="15" hidden="false" customHeight="false" outlineLevel="0" collapsed="false">
      <c r="A11" s="19" t="s">
        <v>106</v>
      </c>
      <c r="B11" s="1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71.67"/>
  </cols>
  <sheetData>
    <row r="1" customFormat="false" ht="15" hidden="false" customHeight="true" outlineLevel="0" collapsed="false">
      <c r="B1" s="20" t="s">
        <v>108</v>
      </c>
      <c r="C1" s="20"/>
      <c r="D1" s="20"/>
      <c r="E1" s="20" t="s">
        <v>109</v>
      </c>
      <c r="F1" s="20"/>
      <c r="G1" s="20"/>
    </row>
    <row r="2" customFormat="false" ht="15" hidden="false" customHeight="false" outlineLevel="0" collapsed="false">
      <c r="A2" s="3" t="s">
        <v>2</v>
      </c>
      <c r="B2" s="21" t="s">
        <v>110</v>
      </c>
      <c r="C2" s="21" t="s">
        <v>111</v>
      </c>
      <c r="D2" s="21" t="s">
        <v>112</v>
      </c>
      <c r="E2" s="21" t="s">
        <v>110</v>
      </c>
      <c r="F2" s="21" t="s">
        <v>111</v>
      </c>
      <c r="G2" s="21" t="s">
        <v>112</v>
      </c>
    </row>
    <row r="3" customFormat="false" ht="27.75" hidden="false" customHeight="true" outlineLevel="0" collapsed="false">
      <c r="A3" s="4" t="s">
        <v>10</v>
      </c>
      <c r="B3" s="22" t="n">
        <f aca="false">Podsumowanie!D5</f>
        <v>807424.87</v>
      </c>
      <c r="C3" s="22" t="n">
        <f aca="false">Podsumowanie!D6</f>
        <v>807424.87</v>
      </c>
      <c r="D3" s="22" t="n">
        <f aca="false">Podsumowanie!D7</f>
        <v>645939.9</v>
      </c>
      <c r="E3" s="22" t="n">
        <f aca="false">Podsumowanie!E5</f>
        <v>868383.93</v>
      </c>
      <c r="F3" s="22" t="n">
        <f aca="false">Podsumowanie!E6</f>
        <v>868383.93</v>
      </c>
      <c r="G3" s="22" t="n">
        <f aca="false">Podsumowanie!E7</f>
        <v>694707.14</v>
      </c>
    </row>
    <row r="4" customFormat="false" ht="15" hidden="false" customHeight="false" outlineLevel="0" collapsed="false">
      <c r="A4" s="9" t="s">
        <v>14</v>
      </c>
      <c r="B4" s="22" t="n">
        <f aca="false">Podsumowanie!D8</f>
        <v>277000</v>
      </c>
      <c r="C4" s="22" t="n">
        <f aca="false">Podsumowanie!D9</f>
        <v>277000</v>
      </c>
      <c r="D4" s="22" t="n">
        <f aca="false">Podsumowanie!D10</f>
        <v>221600</v>
      </c>
      <c r="E4" s="22" t="n">
        <f aca="false">Podsumowanie!E8</f>
        <v>277000</v>
      </c>
      <c r="F4" s="22" t="n">
        <f aca="false">Podsumowanie!E9</f>
        <v>277000</v>
      </c>
      <c r="G4" s="22" t="n">
        <f aca="false">Podsumowanie!E10</f>
        <v>221600</v>
      </c>
    </row>
    <row r="5" customFormat="false" ht="15" hidden="false" customHeight="false" outlineLevel="0" collapsed="false">
      <c r="A5" s="9" t="s">
        <v>15</v>
      </c>
      <c r="B5" s="22" t="n">
        <f aca="false">Podsumowanie!D11</f>
        <v>94300</v>
      </c>
      <c r="C5" s="22" t="n">
        <f aca="false">Podsumowanie!D12</f>
        <v>94300</v>
      </c>
      <c r="D5" s="22" t="n">
        <f aca="false">Podsumowanie!D13</f>
        <v>75440</v>
      </c>
      <c r="E5" s="22" t="n">
        <f aca="false">Podsumowanie!E11</f>
        <v>94300</v>
      </c>
      <c r="F5" s="22" t="n">
        <f aca="false">Podsumowanie!E12</f>
        <v>94300</v>
      </c>
      <c r="G5" s="22" t="n">
        <f aca="false">Podsumowanie!E13</f>
        <v>75440</v>
      </c>
    </row>
    <row r="6" customFormat="false" ht="15" hidden="false" customHeight="false" outlineLevel="0" collapsed="false">
      <c r="A6" s="9" t="s">
        <v>16</v>
      </c>
      <c r="B6" s="22" t="n">
        <f aca="false">Podsumowanie!D14</f>
        <v>121994.98</v>
      </c>
      <c r="C6" s="22" t="n">
        <f aca="false">Podsumowanie!D15</f>
        <v>121994.98</v>
      </c>
      <c r="D6" s="22" t="n">
        <f aca="false">Podsumowanie!D16</f>
        <v>97595.98</v>
      </c>
      <c r="E6" s="22" t="n">
        <f aca="false">Podsumowanie!E14</f>
        <v>135550</v>
      </c>
      <c r="F6" s="22" t="n">
        <f aca="false">Podsumowanie!E15</f>
        <v>135550</v>
      </c>
      <c r="G6" s="22" t="n">
        <f aca="false">Podsumowanie!E16</f>
        <v>108440</v>
      </c>
    </row>
    <row r="7" customFormat="false" ht="15" hidden="false" customHeight="false" outlineLevel="0" collapsed="false">
      <c r="A7" s="9" t="s">
        <v>17</v>
      </c>
      <c r="B7" s="22" t="n">
        <f aca="false">Podsumowanie!D17</f>
        <v>50828.54</v>
      </c>
      <c r="C7" s="22" t="n">
        <f aca="false">Podsumowanie!D18</f>
        <v>50828.54</v>
      </c>
      <c r="D7" s="22" t="n">
        <f aca="false">Podsumowanie!D19</f>
        <v>40662.83</v>
      </c>
      <c r="E7" s="22" t="n">
        <f aca="false">Podsumowanie!E17</f>
        <v>51562.5</v>
      </c>
      <c r="F7" s="22" t="n">
        <f aca="false">Podsumowanie!E18</f>
        <v>51562.5</v>
      </c>
      <c r="G7" s="22" t="n">
        <f aca="false">Podsumowanie!E19</f>
        <v>41250</v>
      </c>
    </row>
    <row r="8" customFormat="false" ht="15" hidden="false" customHeight="false" outlineLevel="0" collapsed="false">
      <c r="A8" s="9" t="s">
        <v>18</v>
      </c>
      <c r="B8" s="22" t="n">
        <f aca="false">Podsumowanie!D20</f>
        <v>34550.27</v>
      </c>
      <c r="C8" s="22" t="n">
        <f aca="false">Podsumowanie!D21</f>
        <v>34550.27</v>
      </c>
      <c r="D8" s="22" t="n">
        <f aca="false">Podsumowanie!D22</f>
        <v>27640.23</v>
      </c>
      <c r="E8" s="22" t="n">
        <f aca="false">Podsumowanie!E20</f>
        <v>37200</v>
      </c>
      <c r="F8" s="22" t="n">
        <f aca="false">Podsumowanie!E21</f>
        <v>37200</v>
      </c>
      <c r="G8" s="22" t="n">
        <f aca="false">Podsumowanie!E22</f>
        <v>29760</v>
      </c>
    </row>
    <row r="9" customFormat="false" ht="15" hidden="false" customHeight="false" outlineLevel="0" collapsed="false">
      <c r="A9" s="9" t="s">
        <v>19</v>
      </c>
      <c r="B9" s="22" t="n">
        <f aca="false">Podsumowanie!D23</f>
        <v>24600</v>
      </c>
      <c r="C9" s="22" t="n">
        <f aca="false">Podsumowanie!D24</f>
        <v>24600</v>
      </c>
      <c r="D9" s="22" t="n">
        <f aca="false">Podsumowanie!D25</f>
        <v>19680</v>
      </c>
      <c r="E9" s="22" t="n">
        <f aca="false">Podsumowanie!E23</f>
        <v>67325</v>
      </c>
      <c r="F9" s="22" t="n">
        <f aca="false">Podsumowanie!E24</f>
        <v>67325</v>
      </c>
      <c r="G9" s="22" t="n">
        <f aca="false">Podsumowanie!E25</f>
        <v>53860</v>
      </c>
    </row>
    <row r="10" customFormat="false" ht="15" hidden="false" customHeight="false" outlineLevel="0" collapsed="false">
      <c r="A10" s="9" t="s">
        <v>20</v>
      </c>
      <c r="B10" s="22" t="n">
        <f aca="false">Podsumowanie!D26</f>
        <v>103125</v>
      </c>
      <c r="C10" s="22" t="n">
        <f aca="false">Podsumowanie!D27</f>
        <v>103125</v>
      </c>
      <c r="D10" s="22" t="n">
        <f aca="false">Podsumowanie!D28</f>
        <v>82500</v>
      </c>
      <c r="E10" s="22" t="n">
        <f aca="false">Podsumowanie!E26</f>
        <v>103125</v>
      </c>
      <c r="F10" s="22" t="n">
        <f aca="false">Podsumowanie!E27</f>
        <v>103125</v>
      </c>
      <c r="G10" s="22" t="n">
        <f aca="false">Podsumowanie!E28</f>
        <v>82500</v>
      </c>
    </row>
    <row r="11" customFormat="false" ht="15" hidden="false" customHeight="false" outlineLevel="0" collapsed="false">
      <c r="A11" s="9" t="s">
        <v>21</v>
      </c>
      <c r="B11" s="22" t="n">
        <f aca="false">Podsumowanie!D29</f>
        <v>2276.08</v>
      </c>
      <c r="C11" s="22" t="n">
        <f aca="false">Podsumowanie!D30</f>
        <v>2276.08</v>
      </c>
      <c r="D11" s="22" t="n">
        <f aca="false">Podsumowanie!D31</f>
        <v>1820.86</v>
      </c>
      <c r="E11" s="22" t="n">
        <f aca="false">Podsumowanie!E29</f>
        <v>3571.43</v>
      </c>
      <c r="F11" s="22" t="n">
        <f aca="false">Podsumowanie!E30</f>
        <v>3571.43</v>
      </c>
      <c r="G11" s="22" t="n">
        <f aca="false">Podsumowanie!E31</f>
        <v>2857.14</v>
      </c>
    </row>
    <row r="12" customFormat="false" ht="15" hidden="false" customHeight="false" outlineLevel="0" collapsed="false">
      <c r="A12" s="9" t="s">
        <v>22</v>
      </c>
      <c r="B12" s="22" t="n">
        <f aca="false">Podsumowanie!D32</f>
        <v>98750</v>
      </c>
      <c r="C12" s="22" t="n">
        <f aca="false">Podsumowanie!D33</f>
        <v>98750</v>
      </c>
      <c r="D12" s="22" t="n">
        <f aca="false">Podsumowanie!D34</f>
        <v>79000</v>
      </c>
      <c r="E12" s="22" t="n">
        <f aca="false">Podsumowanie!E32</f>
        <v>98750</v>
      </c>
      <c r="F12" s="22" t="n">
        <f aca="false">Podsumowanie!E33</f>
        <v>98750</v>
      </c>
      <c r="G12" s="22" t="n">
        <f aca="false">Podsumowanie!E34</f>
        <v>79000</v>
      </c>
    </row>
    <row r="13" customFormat="false" ht="15" hidden="false" customHeight="false" outlineLevel="0" collapsed="false">
      <c r="A13" s="4" t="s">
        <v>23</v>
      </c>
      <c r="B13" s="22" t="n">
        <f aca="false">Podsumowanie!D35</f>
        <v>1008769.29</v>
      </c>
      <c r="C13" s="22" t="n">
        <f aca="false">Podsumowanie!D36</f>
        <v>842569.29</v>
      </c>
      <c r="D13" s="22" t="n">
        <f aca="false">Podsumowanie!D37</f>
        <v>674055.43</v>
      </c>
      <c r="E13" s="22" t="n">
        <f aca="false">Podsumowanie!E35</f>
        <v>1226935.71</v>
      </c>
      <c r="F13" s="22" t="n">
        <f aca="false">Podsumowanie!E36</f>
        <v>1203935.71</v>
      </c>
      <c r="G13" s="22" t="n">
        <f aca="false">Podsumowanie!E37</f>
        <v>963148.56</v>
      </c>
    </row>
    <row r="14" customFormat="false" ht="15" hidden="false" customHeight="false" outlineLevel="0" collapsed="false">
      <c r="A14" s="9" t="s">
        <v>24</v>
      </c>
      <c r="B14" s="22" t="n">
        <f aca="false">Podsumowanie!D38</f>
        <v>332400</v>
      </c>
      <c r="C14" s="22" t="n">
        <f aca="false">Podsumowanie!D39</f>
        <v>166200</v>
      </c>
      <c r="D14" s="22" t="n">
        <f aca="false">Podsumowanie!D40</f>
        <v>132960</v>
      </c>
      <c r="E14" s="22" t="n">
        <f aca="false">Podsumowanie!E38</f>
        <v>332400</v>
      </c>
      <c r="F14" s="22" t="n">
        <f aca="false">Podsumowanie!E39</f>
        <v>332400</v>
      </c>
      <c r="G14" s="22" t="n">
        <f aca="false">Podsumowanie!E40</f>
        <v>265920</v>
      </c>
    </row>
    <row r="15" customFormat="false" ht="15" hidden="false" customHeight="false" outlineLevel="0" collapsed="false">
      <c r="A15" s="9" t="s">
        <v>25</v>
      </c>
      <c r="B15" s="22" t="n">
        <f aca="false">Podsumowanie!D41</f>
        <v>113168.16</v>
      </c>
      <c r="C15" s="22" t="n">
        <f aca="false">Podsumowanie!D42</f>
        <v>113168.16</v>
      </c>
      <c r="D15" s="22" t="n">
        <f aca="false">Podsumowanie!D43</f>
        <v>90534.53</v>
      </c>
      <c r="E15" s="22" t="n">
        <f aca="false">Podsumowanie!E41</f>
        <v>113160</v>
      </c>
      <c r="F15" s="22" t="n">
        <f aca="false">Podsumowanie!E42</f>
        <v>113160</v>
      </c>
      <c r="G15" s="22" t="n">
        <f aca="false">Podsumowanie!E43</f>
        <v>90528</v>
      </c>
    </row>
    <row r="16" customFormat="false" ht="15" hidden="false" customHeight="false" outlineLevel="0" collapsed="false">
      <c r="A16" s="9" t="s">
        <v>26</v>
      </c>
      <c r="B16" s="22" t="n">
        <f aca="false">Podsumowanie!D44</f>
        <v>121024.78</v>
      </c>
      <c r="C16" s="22" t="n">
        <f aca="false">Podsumowanie!D45</f>
        <v>121024.78</v>
      </c>
      <c r="D16" s="22" t="n">
        <f aca="false">Podsumowanie!D46</f>
        <v>96819.8</v>
      </c>
      <c r="E16" s="22" t="n">
        <f aca="false">Podsumowanie!E44</f>
        <v>162660</v>
      </c>
      <c r="F16" s="22" t="n">
        <f aca="false">Podsumowanie!E45</f>
        <v>162660</v>
      </c>
      <c r="G16" s="22" t="n">
        <f aca="false">Podsumowanie!E46</f>
        <v>130128</v>
      </c>
    </row>
    <row r="17" customFormat="false" ht="15" hidden="false" customHeight="false" outlineLevel="0" collapsed="false">
      <c r="A17" s="9" t="s">
        <v>27</v>
      </c>
      <c r="B17" s="22" t="n">
        <f aca="false">Podsumowanie!D47</f>
        <v>123750</v>
      </c>
      <c r="C17" s="22" t="n">
        <f aca="false">Podsumowanie!D48</f>
        <v>123750</v>
      </c>
      <c r="D17" s="22" t="n">
        <f aca="false">Podsumowanie!D49</f>
        <v>99000</v>
      </c>
      <c r="E17" s="22" t="n">
        <f aca="false">Podsumowanie!E47</f>
        <v>123750</v>
      </c>
      <c r="F17" s="22" t="n">
        <f aca="false">Podsumowanie!E48</f>
        <v>123750</v>
      </c>
      <c r="G17" s="22" t="n">
        <f aca="false">Podsumowanie!E49</f>
        <v>99000</v>
      </c>
    </row>
    <row r="18" customFormat="false" ht="15" hidden="false" customHeight="false" outlineLevel="0" collapsed="false">
      <c r="A18" s="9" t="s">
        <v>28</v>
      </c>
      <c r="B18" s="22" t="n">
        <f aca="false">Podsumowanie!D50</f>
        <v>44388.77</v>
      </c>
      <c r="C18" s="22" t="n">
        <f aca="false">Podsumowanie!D51</f>
        <v>44388.77</v>
      </c>
      <c r="D18" s="22" t="n">
        <f aca="false">Podsumowanie!D52</f>
        <v>35511.02</v>
      </c>
      <c r="E18" s="22" t="n">
        <f aca="false">Podsumowanie!E50</f>
        <v>44640</v>
      </c>
      <c r="F18" s="22" t="n">
        <f aca="false">Podsumowanie!E51</f>
        <v>44640</v>
      </c>
      <c r="G18" s="22" t="n">
        <f aca="false">Podsumowanie!E52</f>
        <v>35712</v>
      </c>
    </row>
    <row r="19" customFormat="false" ht="15" hidden="false" customHeight="false" outlineLevel="0" collapsed="false">
      <c r="A19" s="9" t="s">
        <v>29</v>
      </c>
      <c r="B19" s="22" t="n">
        <f aca="false">Podsumowanie!D53</f>
        <v>123750</v>
      </c>
      <c r="C19" s="22" t="n">
        <f aca="false">Podsumowanie!D54</f>
        <v>123750</v>
      </c>
      <c r="D19" s="22" t="n">
        <f aca="false">Podsumowanie!D55</f>
        <v>99000</v>
      </c>
      <c r="E19" s="22" t="n">
        <f aca="false">Podsumowanie!E53</f>
        <v>123750</v>
      </c>
      <c r="F19" s="22" t="n">
        <f aca="false">Podsumowanie!E54</f>
        <v>123750</v>
      </c>
      <c r="G19" s="22" t="n">
        <f aca="false">Podsumowanie!E55</f>
        <v>99000</v>
      </c>
    </row>
    <row r="20" customFormat="false" ht="15" hidden="false" customHeight="false" outlineLevel="0" collapsed="false">
      <c r="A20" s="9" t="s">
        <v>30</v>
      </c>
      <c r="B20" s="22" t="n">
        <f aca="false">Podsumowanie!D56</f>
        <v>29517.79</v>
      </c>
      <c r="C20" s="22" t="n">
        <f aca="false">Podsumowanie!D57</f>
        <v>29517.79</v>
      </c>
      <c r="D20" s="22" t="n">
        <f aca="false">Podsumowanie!D58</f>
        <v>23614.23</v>
      </c>
      <c r="E20" s="22" t="n">
        <f aca="false">Podsumowanie!E56</f>
        <v>80790</v>
      </c>
      <c r="F20" s="22" t="n">
        <f aca="false">Podsumowanie!E57</f>
        <v>80790</v>
      </c>
      <c r="G20" s="22" t="n">
        <f aca="false">Podsumowanie!E58</f>
        <v>64632</v>
      </c>
    </row>
    <row r="21" customFormat="false" ht="23.85" hidden="false" customHeight="false" outlineLevel="0" collapsed="false">
      <c r="A21" s="9" t="s">
        <v>31</v>
      </c>
      <c r="B21" s="22" t="n">
        <f aca="false">Podsumowanie!D59</f>
        <v>0</v>
      </c>
      <c r="C21" s="22" t="n">
        <f aca="false">Podsumowanie!D60</f>
        <v>0</v>
      </c>
      <c r="D21" s="22" t="n">
        <f aca="false">Podsumowanie!D61</f>
        <v>0</v>
      </c>
      <c r="E21" s="22" t="n">
        <f aca="false">Podsumowanie!E59</f>
        <v>123000</v>
      </c>
      <c r="F21" s="22" t="n">
        <f aca="false">Podsumowanie!E60</f>
        <v>100000</v>
      </c>
      <c r="G21" s="22" t="n">
        <f aca="false">Podsumowanie!E61</f>
        <v>80000</v>
      </c>
    </row>
    <row r="22" customFormat="false" ht="15" hidden="false" customHeight="false" outlineLevel="0" collapsed="false">
      <c r="A22" s="9" t="s">
        <v>32</v>
      </c>
      <c r="B22" s="22" t="n">
        <f aca="false">Podsumowanie!D62</f>
        <v>2276.08</v>
      </c>
      <c r="C22" s="22" t="n">
        <f aca="false">Podsumowanie!D63</f>
        <v>2276.08</v>
      </c>
      <c r="D22" s="22" t="n">
        <f aca="false">Podsumowanie!D64</f>
        <v>1820.88</v>
      </c>
      <c r="E22" s="22" t="n">
        <f aca="false">Podsumowanie!E62</f>
        <v>4285.71</v>
      </c>
      <c r="F22" s="22" t="n">
        <f aca="false">Podsumowanie!E63</f>
        <v>4285.71</v>
      </c>
      <c r="G22" s="22" t="n">
        <f aca="false">Podsumowanie!E64</f>
        <v>3428.56</v>
      </c>
    </row>
    <row r="23" customFormat="false" ht="15" hidden="false" customHeight="false" outlineLevel="0" collapsed="false">
      <c r="A23" s="9" t="s">
        <v>33</v>
      </c>
      <c r="B23" s="22" t="n">
        <f aca="false">Podsumowanie!D65</f>
        <v>118493.71</v>
      </c>
      <c r="C23" s="22" t="n">
        <f aca="false">Podsumowanie!D66</f>
        <v>118493.71</v>
      </c>
      <c r="D23" s="22" t="n">
        <f aca="false">Podsumowanie!D67</f>
        <v>94794.97</v>
      </c>
      <c r="E23" s="22" t="n">
        <f aca="false">Podsumowanie!E65</f>
        <v>118500</v>
      </c>
      <c r="F23" s="22" t="n">
        <f aca="false">Podsumowanie!E66</f>
        <v>118500</v>
      </c>
      <c r="G23" s="22" t="n">
        <f aca="false">Podsumowanie!E67</f>
        <v>94800</v>
      </c>
    </row>
    <row r="24" customFormat="false" ht="15" hidden="false" customHeight="false" outlineLevel="0" collapsed="false">
      <c r="A24" s="4" t="s">
        <v>34</v>
      </c>
      <c r="B24" s="22" t="n">
        <f aca="false">Podsumowanie!D68</f>
        <v>0</v>
      </c>
      <c r="C24" s="22" t="n">
        <f aca="false">Podsumowanie!D69</f>
        <v>0</v>
      </c>
      <c r="D24" s="22" t="n">
        <f aca="false">Podsumowanie!D70</f>
        <v>0</v>
      </c>
      <c r="E24" s="22" t="n">
        <f aca="false">Podsumowanie!E68</f>
        <v>1103935.71</v>
      </c>
      <c r="F24" s="22" t="n">
        <f aca="false">Podsumowanie!E69</f>
        <v>1103935.71</v>
      </c>
      <c r="G24" s="22" t="n">
        <f aca="false">Podsumowanie!E70</f>
        <v>883148.56</v>
      </c>
    </row>
    <row r="25" customFormat="false" ht="15" hidden="false" customHeight="false" outlineLevel="0" collapsed="false">
      <c r="A25" s="9" t="s">
        <v>35</v>
      </c>
      <c r="B25" s="22" t="n">
        <f aca="false">Podsumowanie!D71</f>
        <v>0</v>
      </c>
      <c r="C25" s="22" t="n">
        <f aca="false">Podsumowanie!D72</f>
        <v>0</v>
      </c>
      <c r="D25" s="22" t="n">
        <f aca="false">Podsumowanie!D73</f>
        <v>0</v>
      </c>
      <c r="E25" s="22" t="n">
        <f aca="false">Podsumowanie!E71</f>
        <v>332400</v>
      </c>
      <c r="F25" s="22" t="n">
        <f aca="false">Podsumowanie!E72</f>
        <v>332400</v>
      </c>
      <c r="G25" s="22" t="n">
        <f aca="false">Podsumowanie!E73</f>
        <v>265920</v>
      </c>
    </row>
    <row r="26" customFormat="false" ht="15" hidden="false" customHeight="false" outlineLevel="0" collapsed="false">
      <c r="A26" s="9" t="s">
        <v>36</v>
      </c>
      <c r="B26" s="22" t="n">
        <f aca="false">Podsumowanie!D74</f>
        <v>0</v>
      </c>
      <c r="C26" s="22" t="n">
        <f aca="false">Podsumowanie!D75</f>
        <v>0</v>
      </c>
      <c r="D26" s="22" t="n">
        <f aca="false">Podsumowanie!D76</f>
        <v>0</v>
      </c>
      <c r="E26" s="22" t="n">
        <f aca="false">Podsumowanie!E74</f>
        <v>113160</v>
      </c>
      <c r="F26" s="22" t="n">
        <f aca="false">Podsumowanie!E75</f>
        <v>113160</v>
      </c>
      <c r="G26" s="22" t="n">
        <f aca="false">Podsumowanie!E76</f>
        <v>90528</v>
      </c>
    </row>
    <row r="27" customFormat="false" ht="15" hidden="false" customHeight="false" outlineLevel="0" collapsed="false">
      <c r="A27" s="9" t="s">
        <v>37</v>
      </c>
      <c r="B27" s="22" t="n">
        <f aca="false">Podsumowanie!D77</f>
        <v>0</v>
      </c>
      <c r="C27" s="22" t="n">
        <f aca="false">Podsumowanie!D78</f>
        <v>0</v>
      </c>
      <c r="D27" s="22" t="n">
        <f aca="false">Podsumowanie!D79</f>
        <v>0</v>
      </c>
      <c r="E27" s="22" t="n">
        <f aca="false">Podsumowanie!E77</f>
        <v>162660</v>
      </c>
      <c r="F27" s="22" t="n">
        <f aca="false">Podsumowanie!E78</f>
        <v>162660</v>
      </c>
      <c r="G27" s="22" t="n">
        <f aca="false">Podsumowanie!E79</f>
        <v>130128</v>
      </c>
    </row>
    <row r="28" customFormat="false" ht="15" hidden="false" customHeight="false" outlineLevel="0" collapsed="false">
      <c r="A28" s="9" t="s">
        <v>38</v>
      </c>
      <c r="B28" s="22" t="n">
        <f aca="false">Podsumowanie!D80</f>
        <v>0</v>
      </c>
      <c r="C28" s="22" t="n">
        <f aca="false">Podsumowanie!D81</f>
        <v>0</v>
      </c>
      <c r="D28" s="22" t="n">
        <f aca="false">Podsumowanie!D82</f>
        <v>0</v>
      </c>
      <c r="E28" s="22" t="n">
        <f aca="false">Podsumowanie!E80</f>
        <v>123750</v>
      </c>
      <c r="F28" s="22" t="n">
        <f aca="false">Podsumowanie!E81</f>
        <v>123750</v>
      </c>
      <c r="G28" s="22" t="n">
        <f aca="false">Podsumowanie!E82</f>
        <v>99000</v>
      </c>
    </row>
    <row r="29" customFormat="false" ht="15" hidden="false" customHeight="false" outlineLevel="0" collapsed="false">
      <c r="A29" s="9" t="s">
        <v>39</v>
      </c>
      <c r="B29" s="22" t="n">
        <f aca="false">Podsumowanie!D83</f>
        <v>0</v>
      </c>
      <c r="C29" s="22" t="n">
        <f aca="false">Podsumowanie!D84</f>
        <v>0</v>
      </c>
      <c r="D29" s="22" t="n">
        <f aca="false">Podsumowanie!D85</f>
        <v>0</v>
      </c>
      <c r="E29" s="22" t="n">
        <f aca="false">Podsumowanie!E83</f>
        <v>44640</v>
      </c>
      <c r="F29" s="22" t="n">
        <f aca="false">Podsumowanie!E84</f>
        <v>44640</v>
      </c>
      <c r="G29" s="22" t="n">
        <f aca="false">Podsumowanie!E85</f>
        <v>35712</v>
      </c>
    </row>
    <row r="30" customFormat="false" ht="15" hidden="false" customHeight="false" outlineLevel="0" collapsed="false">
      <c r="A30" s="9" t="s">
        <v>40</v>
      </c>
      <c r="B30" s="22" t="n">
        <f aca="false">Podsumowanie!D86</f>
        <v>0</v>
      </c>
      <c r="C30" s="22" t="n">
        <f aca="false">Podsumowanie!D87</f>
        <v>0</v>
      </c>
      <c r="D30" s="22" t="n">
        <f aca="false">Podsumowanie!D88</f>
        <v>0</v>
      </c>
      <c r="E30" s="22" t="n">
        <f aca="false">Podsumowanie!E86</f>
        <v>123750</v>
      </c>
      <c r="F30" s="22" t="n">
        <f aca="false">Podsumowanie!E87</f>
        <v>123750</v>
      </c>
      <c r="G30" s="22" t="n">
        <f aca="false">Podsumowanie!E88</f>
        <v>99000</v>
      </c>
    </row>
    <row r="31" customFormat="false" ht="15" hidden="false" customHeight="false" outlineLevel="0" collapsed="false">
      <c r="A31" s="9" t="s">
        <v>41</v>
      </c>
      <c r="B31" s="22" t="n">
        <f aca="false">Podsumowanie!D89</f>
        <v>0</v>
      </c>
      <c r="C31" s="22" t="n">
        <f aca="false">Podsumowanie!D90</f>
        <v>0</v>
      </c>
      <c r="D31" s="22" t="n">
        <f aca="false">Podsumowanie!D91</f>
        <v>0</v>
      </c>
      <c r="E31" s="22" t="n">
        <f aca="false">Podsumowanie!E89</f>
        <v>80790</v>
      </c>
      <c r="F31" s="22" t="n">
        <f aca="false">Podsumowanie!E90</f>
        <v>80790</v>
      </c>
      <c r="G31" s="22" t="n">
        <f aca="false">Podsumowanie!E91</f>
        <v>64632</v>
      </c>
    </row>
    <row r="32" customFormat="false" ht="15" hidden="false" customHeight="false" outlineLevel="0" collapsed="false">
      <c r="A32" s="9" t="s">
        <v>42</v>
      </c>
      <c r="B32" s="22" t="n">
        <f aca="false">Podsumowanie!D92</f>
        <v>0</v>
      </c>
      <c r="C32" s="22" t="n">
        <f aca="false">Podsumowanie!D93</f>
        <v>0</v>
      </c>
      <c r="D32" s="22" t="n">
        <f aca="false">Podsumowanie!D94</f>
        <v>0</v>
      </c>
      <c r="E32" s="22" t="n">
        <f aca="false">Podsumowanie!E92</f>
        <v>4285.71</v>
      </c>
      <c r="F32" s="22" t="n">
        <f aca="false">Podsumowanie!E93</f>
        <v>4285.71</v>
      </c>
      <c r="G32" s="22" t="n">
        <f aca="false">Podsumowanie!E94</f>
        <v>3428.56</v>
      </c>
    </row>
    <row r="33" customFormat="false" ht="15" hidden="false" customHeight="false" outlineLevel="0" collapsed="false">
      <c r="A33" s="9" t="s">
        <v>43</v>
      </c>
      <c r="B33" s="22" t="n">
        <f aca="false">Podsumowanie!D95</f>
        <v>0</v>
      </c>
      <c r="C33" s="22" t="n">
        <f aca="false">Podsumowanie!D96</f>
        <v>0</v>
      </c>
      <c r="D33" s="22" t="n">
        <f aca="false">Podsumowanie!D97</f>
        <v>0</v>
      </c>
      <c r="E33" s="22" t="n">
        <f aca="false">Podsumowanie!E95</f>
        <v>118500</v>
      </c>
      <c r="F33" s="22" t="n">
        <f aca="false">Podsumowanie!E96</f>
        <v>118500</v>
      </c>
      <c r="G33" s="22" t="n">
        <f aca="false">Podsumowanie!E97</f>
        <v>94800</v>
      </c>
    </row>
    <row r="34" customFormat="false" ht="15" hidden="false" customHeight="false" outlineLevel="0" collapsed="false">
      <c r="A34" s="4" t="s">
        <v>44</v>
      </c>
      <c r="B34" s="22" t="n">
        <f aca="false">Podsumowanie!D98</f>
        <v>0</v>
      </c>
      <c r="C34" s="22" t="n">
        <f aca="false">Podsumowanie!D99</f>
        <v>0</v>
      </c>
      <c r="D34" s="22" t="n">
        <f aca="false">Podsumowanie!D100</f>
        <v>0</v>
      </c>
      <c r="E34" s="22" t="n">
        <f aca="false">Podsumowanie!E98</f>
        <v>698237.14</v>
      </c>
      <c r="F34" s="22" t="n">
        <f aca="false">Podsumowanie!E99</f>
        <v>698237.14</v>
      </c>
      <c r="G34" s="22" t="n">
        <f aca="false">Podsumowanie!E100</f>
        <v>418942.28</v>
      </c>
    </row>
    <row r="35" customFormat="false" ht="15" hidden="false" customHeight="false" outlineLevel="0" collapsed="false">
      <c r="A35" s="9" t="s">
        <v>45</v>
      </c>
      <c r="B35" s="22" t="n">
        <f aca="false">Podsumowanie!D101</f>
        <v>0</v>
      </c>
      <c r="C35" s="22" t="n">
        <f aca="false">Podsumowanie!D102</f>
        <v>0</v>
      </c>
      <c r="D35" s="22" t="n">
        <f aca="false">Podsumowanie!D103</f>
        <v>0</v>
      </c>
      <c r="E35" s="22" t="n">
        <f aca="false">Podsumowanie!E101</f>
        <v>221600</v>
      </c>
      <c r="F35" s="22" t="n">
        <f aca="false">Podsumowanie!E102</f>
        <v>221600</v>
      </c>
      <c r="G35" s="22" t="n">
        <f aca="false">Podsumowanie!E103</f>
        <v>132960</v>
      </c>
    </row>
    <row r="36" customFormat="false" ht="15" hidden="false" customHeight="false" outlineLevel="0" collapsed="false">
      <c r="A36" s="9" t="s">
        <v>46</v>
      </c>
      <c r="B36" s="22" t="n">
        <f aca="false">Podsumowanie!D104</f>
        <v>0</v>
      </c>
      <c r="C36" s="22" t="n">
        <f aca="false">Podsumowanie!D105</f>
        <v>0</v>
      </c>
      <c r="D36" s="22" t="n">
        <f aca="false">Podsumowanie!D106</f>
        <v>0</v>
      </c>
      <c r="E36" s="22" t="n">
        <f aca="false">Podsumowanie!E104</f>
        <v>37720</v>
      </c>
      <c r="F36" s="22" t="n">
        <f aca="false">Podsumowanie!E105</f>
        <v>37720</v>
      </c>
      <c r="G36" s="22" t="n">
        <f aca="false">Podsumowanie!E106</f>
        <v>22632</v>
      </c>
    </row>
    <row r="37" customFormat="false" ht="15" hidden="false" customHeight="false" outlineLevel="0" collapsed="false">
      <c r="A37" s="9" t="s">
        <v>47</v>
      </c>
      <c r="B37" s="22" t="n">
        <f aca="false">Podsumowanie!D107</f>
        <v>0</v>
      </c>
      <c r="C37" s="22" t="n">
        <f aca="false">Podsumowanie!D108</f>
        <v>0</v>
      </c>
      <c r="D37" s="22" t="n">
        <f aca="false">Podsumowanie!D109</f>
        <v>0</v>
      </c>
      <c r="E37" s="22" t="n">
        <f aca="false">Podsumowanie!E107</f>
        <v>108440</v>
      </c>
      <c r="F37" s="22" t="n">
        <f aca="false">Podsumowanie!E108</f>
        <v>108440</v>
      </c>
      <c r="G37" s="22" t="n">
        <f aca="false">Podsumowanie!E109</f>
        <v>65064</v>
      </c>
    </row>
    <row r="38" customFormat="false" ht="15" hidden="false" customHeight="false" outlineLevel="0" collapsed="false">
      <c r="A38" s="9" t="s">
        <v>48</v>
      </c>
      <c r="B38" s="22" t="n">
        <f aca="false">Podsumowanie!D110</f>
        <v>0</v>
      </c>
      <c r="C38" s="22" t="n">
        <f aca="false">Podsumowanie!D111</f>
        <v>0</v>
      </c>
      <c r="D38" s="22" t="n">
        <f aca="false">Podsumowanie!D112</f>
        <v>0</v>
      </c>
      <c r="E38" s="22" t="n">
        <f aca="false">Podsumowanie!E110</f>
        <v>82500</v>
      </c>
      <c r="F38" s="22" t="n">
        <f aca="false">Podsumowanie!E111</f>
        <v>82500</v>
      </c>
      <c r="G38" s="22" t="n">
        <f aca="false">Podsumowanie!E112</f>
        <v>49500</v>
      </c>
    </row>
    <row r="39" customFormat="false" ht="15" hidden="false" customHeight="false" outlineLevel="0" collapsed="false">
      <c r="A39" s="9" t="s">
        <v>49</v>
      </c>
      <c r="B39" s="22" t="n">
        <f aca="false">Podsumowanie!D113</f>
        <v>0</v>
      </c>
      <c r="C39" s="22" t="n">
        <f aca="false">Podsumowanie!D114</f>
        <v>0</v>
      </c>
      <c r="D39" s="22" t="n">
        <f aca="false">Podsumowanie!D115</f>
        <v>0</v>
      </c>
      <c r="E39" s="22" t="n">
        <f aca="false">Podsumowanie!E113</f>
        <v>29760</v>
      </c>
      <c r="F39" s="22" t="n">
        <f aca="false">Podsumowanie!E114</f>
        <v>29760</v>
      </c>
      <c r="G39" s="22" t="n">
        <f aca="false">Podsumowanie!E115</f>
        <v>17856</v>
      </c>
    </row>
    <row r="40" customFormat="false" ht="15" hidden="false" customHeight="false" outlineLevel="0" collapsed="false">
      <c r="A40" s="9" t="s">
        <v>50</v>
      </c>
      <c r="B40" s="22" t="n">
        <f aca="false">Podsumowanie!D116</f>
        <v>0</v>
      </c>
      <c r="C40" s="22" t="n">
        <f aca="false">Podsumowanie!D117</f>
        <v>0</v>
      </c>
      <c r="D40" s="22" t="n">
        <f aca="false">Podsumowanie!D118</f>
        <v>0</v>
      </c>
      <c r="E40" s="22" t="n">
        <f aca="false">Podsumowanie!E116</f>
        <v>82500</v>
      </c>
      <c r="F40" s="22" t="n">
        <f aca="false">Podsumowanie!E117</f>
        <v>82500</v>
      </c>
      <c r="G40" s="22" t="n">
        <f aca="false">Podsumowanie!E118</f>
        <v>49500</v>
      </c>
    </row>
    <row r="41" customFormat="false" ht="15" hidden="false" customHeight="false" outlineLevel="0" collapsed="false">
      <c r="A41" s="9" t="s">
        <v>51</v>
      </c>
      <c r="B41" s="22" t="n">
        <f aca="false">Podsumowanie!D119</f>
        <v>0</v>
      </c>
      <c r="C41" s="22" t="n">
        <f aca="false">Podsumowanie!D120</f>
        <v>0</v>
      </c>
      <c r="D41" s="22" t="n">
        <f aca="false">Podsumowanie!D121</f>
        <v>0</v>
      </c>
      <c r="E41" s="22" t="n">
        <f aca="false">Podsumowanie!E119</f>
        <v>2857.14</v>
      </c>
      <c r="F41" s="22" t="n">
        <f aca="false">Podsumowanie!E120</f>
        <v>2857.14</v>
      </c>
      <c r="G41" s="22" t="n">
        <f aca="false">Podsumowanie!E121</f>
        <v>1714.28</v>
      </c>
    </row>
    <row r="42" customFormat="false" ht="15" hidden="false" customHeight="false" outlineLevel="0" collapsed="false">
      <c r="A42" s="9" t="s">
        <v>52</v>
      </c>
      <c r="B42" s="22" t="n">
        <f aca="false">Podsumowanie!D122</f>
        <v>0</v>
      </c>
      <c r="C42" s="22" t="n">
        <f aca="false">Podsumowanie!D123</f>
        <v>0</v>
      </c>
      <c r="D42" s="22" t="n">
        <f aca="false">Podsumowanie!D124</f>
        <v>0</v>
      </c>
      <c r="E42" s="22" t="n">
        <f aca="false">Podsumowanie!E122</f>
        <v>79000</v>
      </c>
      <c r="F42" s="22" t="n">
        <f aca="false">Podsumowanie!E123</f>
        <v>79000</v>
      </c>
      <c r="G42" s="22" t="n">
        <f aca="false">Podsumowanie!E124</f>
        <v>47400</v>
      </c>
    </row>
    <row r="43" customFormat="false" ht="15" hidden="false" customHeight="false" outlineLevel="0" collapsed="false">
      <c r="A43" s="9" t="s">
        <v>53</v>
      </c>
      <c r="B43" s="22" t="n">
        <f aca="false">Podsumowanie!D125</f>
        <v>0</v>
      </c>
      <c r="C43" s="22" t="n">
        <f aca="false">Podsumowanie!D126</f>
        <v>0</v>
      </c>
      <c r="D43" s="22" t="n">
        <f aca="false">Podsumowanie!D127</f>
        <v>0</v>
      </c>
      <c r="E43" s="22" t="n">
        <f aca="false">Podsumowanie!E125</f>
        <v>53860</v>
      </c>
      <c r="F43" s="22" t="n">
        <f aca="false">Podsumowanie!E126</f>
        <v>53860</v>
      </c>
      <c r="G43" s="22" t="n">
        <f aca="false">Podsumowanie!E127</f>
        <v>32316</v>
      </c>
    </row>
    <row r="57" customFormat="false" ht="27.75" hidden="false" customHeight="true" outlineLevel="0" collapsed="false"/>
  </sheetData>
  <autoFilter ref="A2:G43">
    <filterColumn colId="0" hiddenButton="1"/>
    <filterColumn colId="1" hiddenButton="1"/>
    <filterColumn colId="2" hiddenButton="1"/>
    <filterColumn colId="3" hiddenButton="1"/>
  </autoFilter>
  <mergeCells count="2">
    <mergeCell ref="B1:D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2026-10-07T09:31:06Z</dcterms:created>
  <dc:creator>openpyxl</dc:creator>
  <dc:description/>
  <dc:language>en-US</dc:language>
  <cp:lastModifiedBy>Ewa Retajczyk</cp:lastModifiedBy>
  <dcterms:modified xsi:type="dcterms:W3CDTF">2026-10-07T10:15:52Z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