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ar/Desktop/MAC/działalność/2021-2027/Gmina/KPO/Wnioski o zmiany/2/"/>
    </mc:Choice>
  </mc:AlternateContent>
  <xr:revisionPtr revIDLastSave="0" documentId="13_ncr:1_{92E5A9CD-09E5-B64A-AE26-18EB8E79DA47}" xr6:coauthVersionLast="47" xr6:coauthVersionMax="47" xr10:uidLastSave="{00000000-0000-0000-0000-000000000000}"/>
  <bookViews>
    <workbookView xWindow="0" yWindow="600" windowWidth="38400" windowHeight="19380" tabRatio="738" activeTab="2" xr2:uid="{00000000-000D-0000-FFFF-FFFF00000000}"/>
  </bookViews>
  <sheets>
    <sheet name="HRP" sheetId="31" r:id="rId1"/>
    <sheet name="HRP 17062026" sheetId="32" r:id="rId2"/>
    <sheet name="HRP05102026" sheetId="33" r:id="rId3"/>
  </sheets>
  <definedNames>
    <definedName name="_xlnm.Print_Area" localSheetId="0">HRP!$A$1:$Q$189</definedName>
    <definedName name="_xlnm.Print_Titles" localSheetId="0">HRP!$7:$11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tc={5AA8F45C-C3E2-481A-9F86-0FA1A773685F}</author>
  </authors>
  <commentList>
    <comment ref="F47" authorId="0" shapeId="0" xr:uid="{5AA8F45C-C3E2-481A-9F86-0FA1A773685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Nie zgadza się o 1 gr z pierwotnym HRP</t>
      </text>
    </comment>
  </commentList>
</comments>
</file>

<file path=xl/sharedStrings.xml><?xml version="1.0" encoding="utf-8"?>
<sst xmlns="http://schemas.openxmlformats.org/spreadsheetml/2006/main" count="725" uniqueCount="81">
  <si>
    <t>Harmonogram Realizacji Przedsięwzięcia pn.:</t>
  </si>
  <si>
    <t>Poprawa efektywności energetycznej budynków oświatowych w Gminie Lesznowola</t>
  </si>
  <si>
    <t>Załącznik nr 3 do Umowy KPOD.03.05-IW.04-0072/24</t>
  </si>
  <si>
    <t>Nazwa Ostatecznego Odbiorcy Wsparcia (OOW):</t>
  </si>
  <si>
    <t>Gmina Lesznowola</t>
  </si>
  <si>
    <t>Numer wniosku o objęcie przedsięwzięcia wsparciem:</t>
  </si>
  <si>
    <t>KPOD.03.05-IW.04-0072/24</t>
  </si>
  <si>
    <t>Numer umowy:</t>
  </si>
  <si>
    <t>osoft Teams</t>
  </si>
  <si>
    <t>Należy podać kwoty w złotych do dwóch miejsc po przecinku</t>
  </si>
  <si>
    <t>Lp.</t>
  </si>
  <si>
    <t>Wyszczególnienie 
(obiekty, czynności, prace, dostawy, zakupy, kontrakty)</t>
  </si>
  <si>
    <t>Jednostki miary</t>
  </si>
  <si>
    <t>Ilość, liczba</t>
  </si>
  <si>
    <t>Rodzaj pozycji (wydatki całkowite/
kwalifikowalne/
niekwalifikowalne)</t>
  </si>
  <si>
    <t>Całkowite wydatki na realizację Przedsięwzięcia</t>
  </si>
  <si>
    <t>Wydatki poniesione do dnia …..... r. 
(data zawarcia umowy)</t>
  </si>
  <si>
    <t xml:space="preserve"> [zł]</t>
  </si>
  <si>
    <t>2025 rok finansowania (kwartały)</t>
  </si>
  <si>
    <t>Razem rok
2025</t>
  </si>
  <si>
    <t>2026 rok finansowania (kwartały)</t>
  </si>
  <si>
    <t>Razem rok
2026</t>
  </si>
  <si>
    <t>I</t>
  </si>
  <si>
    <t>II</t>
  </si>
  <si>
    <t>III</t>
  </si>
  <si>
    <t>IV</t>
  </si>
  <si>
    <t>kpl.</t>
  </si>
  <si>
    <t>wydatki całkowite</t>
  </si>
  <si>
    <t>wydatki kwalifikowalne, w tym:</t>
  </si>
  <si>
    <t>środki będące w dyspozycji PFR (środki UE)</t>
  </si>
  <si>
    <t>budżet państwa</t>
  </si>
  <si>
    <t>budżet JST</t>
  </si>
  <si>
    <t>inne środki publiczne</t>
  </si>
  <si>
    <t>środki prywatne</t>
  </si>
  <si>
    <t>wkład własny</t>
  </si>
  <si>
    <t>wydatki niekwalifikowalne, w tym:</t>
  </si>
  <si>
    <t>VAT</t>
  </si>
  <si>
    <t>inne wydatki niekwalifikowalne</t>
  </si>
  <si>
    <t>4.1.</t>
  </si>
  <si>
    <t>szt.</t>
  </si>
  <si>
    <t>4.2.</t>
  </si>
  <si>
    <t>4.3.</t>
  </si>
  <si>
    <t>4.4.</t>
  </si>
  <si>
    <t>4.5.</t>
  </si>
  <si>
    <t>4.6.</t>
  </si>
  <si>
    <t>4.7.</t>
  </si>
  <si>
    <t>4.8.</t>
  </si>
  <si>
    <t>4.9.</t>
  </si>
  <si>
    <t xml:space="preserve">RAZEM - wydatki całkowite    </t>
  </si>
  <si>
    <t>RAZEM - wydatki kwalifikowalne</t>
  </si>
  <si>
    <t xml:space="preserve">  w tym: środki będące w dyspozycji PFR (środki UE)</t>
  </si>
  <si>
    <t xml:space="preserve">  w tym: budżet państwa</t>
  </si>
  <si>
    <t xml:space="preserve">  w tym: budżet JST</t>
  </si>
  <si>
    <t xml:space="preserve">  w tym: inne środki publiczne</t>
  </si>
  <si>
    <t xml:space="preserve">  w tym: środki prywatne</t>
  </si>
  <si>
    <t xml:space="preserve">  w tym: wkład własny</t>
  </si>
  <si>
    <t>RAZEM - wydatki niekwalifikowalne</t>
  </si>
  <si>
    <t xml:space="preserve">  w tym: VAT</t>
  </si>
  <si>
    <t xml:space="preserve">  w tym: inne wydatki niekwalifikowalne</t>
  </si>
  <si>
    <t>Wyjaśnienia, uwagi do HRP:</t>
  </si>
  <si>
    <t>Wydatki kwalifikowalne są podane w wartościach netto. Podatek VAT stanowi wydatek niekwalifikowalny.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</si>
  <si>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</si>
  <si>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Data sporządzenia                                </t>
  </si>
  <si>
    <t>podpis osoby/osób upoważnionych do reprezentowania Ostatecznego Odbiorcy Wsparcia</t>
  </si>
  <si>
    <r>
      <t xml:space="preserve">Opracowanie niezbędnej dokumentacji technicznej wraz z niezbędnymi opiniami, uzgodnieniami: </t>
    </r>
    <r>
      <rPr>
        <sz val="11"/>
        <rFont val="Calibri"/>
        <family val="2"/>
        <charset val="238"/>
      </rPr>
      <t xml:space="preserve">załączników do umowy z NFOŚiGW, dokumentacji technicznej, dokumentacji przetargowej, dokumentacji kosztorysowej, harmonogramów, dokumentów związanych z kwestiami środowiskowymi i przyrodniczymi  </t>
    </r>
  </si>
  <si>
    <t>Inspektor nadzoru (Nadzór inwestorski)</t>
  </si>
  <si>
    <t>Opracowanie audytów energetycznych, audytów ex-ante, ex-post</t>
  </si>
  <si>
    <r>
      <t>Informacja i promocja KPO -</t>
    </r>
    <r>
      <rPr>
        <sz val="11"/>
        <rFont val="Calibri"/>
        <family val="2"/>
        <charset val="238"/>
      </rPr>
      <t xml:space="preserve"> zgodnie z załącznikiem nr 17 do Umowy</t>
    </r>
  </si>
  <si>
    <r>
      <rPr>
        <sz val="11"/>
        <rFont val="Calibri"/>
        <family val="2"/>
        <charset val="238"/>
      </rPr>
      <t xml:space="preserve">Termomodernizacja </t>
    </r>
    <r>
      <rPr>
        <b/>
        <sz val="11"/>
        <rFont val="Calibri"/>
        <family val="2"/>
        <charset val="238"/>
      </rPr>
      <t>Szkoły Podstawowej w Zamieniu, ul. Waniliowa 7, 05-500 Zamienie, o pow. o reg. temp. pow. [Af]: 8080,55 m2</t>
    </r>
    <r>
      <rPr>
        <sz val="11"/>
        <rFont val="Calibri"/>
        <family val="2"/>
        <charset val="238"/>
      </rPr>
      <t xml:space="preserve"> obejmująca szczególnie: 
1) prace instalacyjne: modernizacja instalacji c.o., modernizacja instalacji c.w.u., modernizacja/montaż instalacji wentylacji mechanicznej; 
2) montaż systemu BMS; 
3) pompa ciepła typu powietrze – powietrze o mocy 170,0 kW; 
4) instalacja PV: instalacja o mocy 182,0 kWp, montowana w obrębie nieruchomości;
5) magazyn energii: o pojemności: 0,27 MWh;
6) montaż instalacji kolektorów słonecznych o powierzchni 81 m2;
7) zakup ładowarek samochodowych – 4 sztuki;
wraz z niezbędnymi pracami towarzyszącymi i odtworzeniowymi. Uszczegółowiony zakres prac w aktualnym audycie ex-ante.</t>
    </r>
  </si>
  <si>
    <r>
      <rPr>
        <sz val="11"/>
        <rFont val="Calibri"/>
        <family val="2"/>
        <charset val="238"/>
      </rPr>
      <t xml:space="preserve">Termomodernizacja </t>
    </r>
    <r>
      <rPr>
        <b/>
        <sz val="11"/>
        <rFont val="Calibri"/>
        <family val="2"/>
        <charset val="238"/>
      </rPr>
      <t>CEIS w Mysiadle położonego przy ulicy Kwiatowej 28, 05-500 Mysiadło</t>
    </r>
    <r>
      <rPr>
        <sz val="11"/>
        <rFont val="Calibri"/>
        <family val="2"/>
        <charset val="238"/>
      </rPr>
      <t>, o pow. o reg. temp. pow. [Af]: 8203,4 m2 obejmująca szczególnie:
1) prace instalacyjne: modernizacja instalacji c.o., modernizacja/montaż instalacji wentylacji mechanicznej, modernizacja instalacji oświetlenia wraz z montażem czujników ruchu i obecności; 
2) montaż systemu BMS; 
3) pompa ciepła typu powietrze – powietrze o mocy 266,0 kW; 
4) instalacja PV: instalacja o mocy 276,0 kWp, montowana w obrębie nieruchomości;
5) magazyn energii: o pojemności: 0,4 MWh;
6) zakup ładowarek samochodowych – 4 sztuki;
7) montaż uchylnych paneli dachowych dla prawidłowej wentylacji pomieszczeń;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</si>
  <si>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SZP w Łazach – filia (oddział 1-3) przy ulicy Łączności 56, 05-552 Łazy</t>
    </r>
    <r>
      <rPr>
        <sz val="11"/>
        <rFont val="Calibri"/>
        <family val="2"/>
        <charset val="238"/>
      </rPr>
      <t>, o pow. o reg. temp. pow. [Af]: 912,83 m2 obejmująca szczególnie:
1) prace instalacyjne: modernizacja instalacji c.o., modernizacja instalacji c.w.u.,modernizacja/montaż instalacji wentylacji mechanicznej; 
2) montaż systemu BMS; 
3) pompa ciepła typu powietrze – powietrze o mocy 18,1 kW; 
4) instalacja PV: instalacja o mocy 50,0 kWp, montowana w obrębie nieruchomości;
5) magazyn energii: o pojemności: 0,075 MWh;
6) montaż instalacji kolektorów słonecznych o powierzchni 13,5 m2;
7) zakup ładowarek samochodowych – 2 sztuki;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</si>
  <si>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SZP w Lesznowoli (z przedszkolem) położonej przy ulicy Szkolnej 6, 05-506 Lesznowola</t>
    </r>
    <r>
      <rPr>
        <sz val="11"/>
        <rFont val="Calibri"/>
        <family val="2"/>
        <charset val="238"/>
      </rPr>
      <t>, o pow. o reg. temp. pow. [Af]: 4200 m2 obejmująca szczególnie:
1) Prace termomodernizacyjne: wymiana stolarki drzwiowej-  realizacja zgodnie z WT2021;
2) prace instalacyjne: modernizacja instalacji c.o., modernizacja/montaż instalacji wentylacji mechanicznej,modernizacja instalacji oświetlenia wraz z montażem czujników ruchu i obecności; 
3) montaż systemu BMS; 
4) pompa ciepła typu powietrze – powietrze oraz powietrze - woda do CWU o mocy 133,4 kW; 
5) instalacja PV: instalacja o mocy 143,0 kWp, montowana w obrębie nieruchomości;
6) magazyn energii: o pojemności: 0,215 MWh;
7) zakup ładowarek samochodowych – 4 sztuki;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</si>
  <si>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SZP w Mrokowie położonej przy ulicy Marii Świątkiewicz 2A, 05-552 Mroków</t>
    </r>
    <r>
      <rPr>
        <sz val="11"/>
        <rFont val="Calibri"/>
        <family val="2"/>
        <charset val="238"/>
      </rPr>
      <t>, o pow. o reg. temp. pow. [Af]: 6662,69 m2 obejmująca szczególnie:
1) Prace termomodernizacyjne: wymiana stolarki drzwiowej -  realizacja zgodnie z WT2021;
2) prace instalacyjne: modernizacja instalacji c.o., modernizacja/montaż instalacji wentylacji mechanicznej, modernizacja instalacji oświetlenia wraz z montażem czujników ruchu i obecności;
3) montaż systemu BMS; 
4) pompa ciepła typu powietrze – powietrze oraz powietrze - woda do CWU o mocy 178,7 kW; 
5) instalacja PV: instalacja o mocy 130,0 kWp, montowana w obrębie nieruchomości;
6) magazyn energii: o pojemności: 0,195 MWh;
7) zakup ładowarek samochodowych – 2 sztuki;
wraz z niezbędnymi pracami towarzyszącymi i odtworzeniowymi. Uszczegółowiony zakres prac w aktualnym audycie ex-ante.</t>
    </r>
  </si>
  <si>
    <r>
      <rPr>
        <sz val="11"/>
        <rFont val="Calibri"/>
        <family val="2"/>
        <charset val="238"/>
      </rPr>
      <t xml:space="preserve">Termomodernizacja </t>
    </r>
    <r>
      <rPr>
        <b/>
        <sz val="11"/>
        <rFont val="Calibri"/>
        <family val="2"/>
        <charset val="238"/>
      </rPr>
      <t>SZP w Nowej Iwicznej położonej przy ulicy Ignacego Krasickiego 56, 05-500 Nowa Iwiczna</t>
    </r>
    <r>
      <rPr>
        <sz val="11"/>
        <rFont val="Calibri"/>
        <family val="2"/>
        <charset val="238"/>
      </rPr>
      <t>, o pow. o reg. temp. pow. [Af]: 7821 m2 obejmująca szczególnie:
1) Prace termomodernizacyjne: wymiana stolarki okiennej i drzwiowej -  realizacja zgodnie z WT2021;
2) prace instalacyjne: modernizacja instalacji c.o., modernizacja/montaż instalacji wentylacji mechanicznej, modernizacja instalacji oświetlenia wraz z montażem czujników ruchu i obecności;
3) montaż systemu BMS; 
4) pompa ciepła typu powietrze – powietrze oraz powietrze - woda do CWU o mocy 215,5 kW; 
5) instalacja PV: instalacja o mocy 201,3 kWp, montowana w obrębie nieruchomości;
6) magazyn energii: o pojemności: 0,3 MWh;
7) zakup ładowarek samochodowych – 2 sztuki;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</si>
  <si>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Przedszkola w Zamieniu (Oddział w Zgorzale) położonego przy ulicy Cyraneczki 8, 05-500 Zgorzała</t>
    </r>
    <r>
      <rPr>
        <sz val="11"/>
        <rFont val="Calibri"/>
        <family val="2"/>
        <charset val="238"/>
      </rPr>
      <t>, o pow. o reg. temp. pow. [Af]: 
1037,10 m2 obejmująca szczególnie:
1) Prace termomodernizacyjne: wymiana stolarki drzwiowej-  realizacja zgodnie z WT2021;
2) prace instalacyjne: modernizacja instalacji c.o., modernizacja instalacji c.w.u, modernizacja/montaż instalacji wentylacji mechanicznej, modernizacja instalacji oświetlenia wraz z montażem czujników ruchu i obecności; 
3) montaż systemu BMS; 
4) pompa ciepła typu powietrze – powietrze o mocy 46,5 kW; 
5) instalacja PV: instalacja o mocy 38,0 kWp, montowana w obrębie nieruchomości;
6) magazyn energii: o pojemności: 0,060 MWh;
7) zakup ładowarek samochodowych – 2 sztuki;
8) montaż instalacji kolektorów słonecznych o powierzchni 13,5 m2;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</si>
  <si>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Szkoły w Łazach położonej przy ulicy Ks. Kanonika H. Słojewskiego 1, 05-552 Łazy</t>
    </r>
    <r>
      <rPr>
        <sz val="11"/>
        <rFont val="Calibri"/>
        <family val="2"/>
        <charset val="238"/>
      </rPr>
      <t>, o pow. o reg. temp. pow. [Af]: 6036,00 m2 obejmująca szczególnie:
1) Prace termomodernizacyjne: wymiana stolarki drzwiowej -  realizacja zgodnie z WT2021;
2) prace instalacyjne: modernizacja instalacji c.o., modernizacja instalacji c.w.u., modernizacja/montaż instalacji wentylacji mechanicznej, modernizacja instalacji oświetlenia wraz z montażem czujników ruchu i obecności;  
3) montaż systemu BMS; 
4) pompa ciepła typu powietrze – powietrze o mocy 21,5 kW; 
5) instalacja PV: instalacja o mocy 120,0 kWp, montowana w obrębie nieruchomości;
6) magazyn energii: o pojemności: 0,180 MWh;
7) zakup ładowarek samochodowych – 2 sztuki;
8) montaż instalacji kolektorów słonecznych o powierzchni 58,5 m2
wraz z niezbędnymi pracami towarzyszącymi i odtworzeniowymi. Uszczegółowiony zakres prac w aktualnym audycie ex-ante.</t>
    </r>
  </si>
  <si>
    <r>
      <t xml:space="preserve">Termomodernizacja </t>
    </r>
    <r>
      <rPr>
        <b/>
        <sz val="11"/>
        <rFont val="Calibri"/>
        <family val="2"/>
        <charset val="238"/>
      </rPr>
      <t>Przedszkola w Wólce Kosowskiej położonego przy ulicy Jana Bandurskiego ps Norwid, 05-552 Wólka Kosowska</t>
    </r>
    <r>
      <rPr>
        <sz val="11"/>
        <rFont val="Calibri"/>
        <family val="2"/>
        <charset val="238"/>
      </rPr>
      <t>, o pow. o reg. temp. pow. [Af]: 1953,80 m2 obejmująca szczególnie:
1) prace instalacyjne: modernizacja instalacji c.o., modernizacja instalacji c.w.u; 
2) montaż systemu BMS; 
3) instalacja PV: instalacja o mocy 50,0 kWp, montowana w obrębie nieruchomości;
4) magazyn energii: o pojemności: 0,075 MWh;
5) zakup ładowarek samochodowych – 2 sztuki;
6) montaż instalacji kolektorów słonecznych o powierzchni 27,0 m2;
wraz z niezbędnymi pracami towarzyszącymi i odtworzeniowymi. Uszczegółowiony zakres prac w aktualnym audycie ex-ante.</t>
    </r>
  </si>
  <si>
    <r>
      <t xml:space="preserve">Działania edukacyjne i promujące aktywność fizyczną; </t>
    </r>
    <r>
      <rPr>
        <sz val="11"/>
        <rFont val="Calibri"/>
        <family val="2"/>
        <charset val="238"/>
      </rPr>
      <t>"Program Zielona Lesznowola" - działania edukacyjne, prozdrowotne i mające na celu podnoszenie świadomości użytkowników budynku względem planowanej oszczędności energii (do wysokości 10% kosztów kwalifikowanych projektu): zakup, szkolenia, doradztwo, promocja, edukacja, rozwój OZE, informacja przestrzenna.</t>
    </r>
  </si>
  <si>
    <t>17.06.2026r.</t>
  </si>
  <si>
    <t>05.10.2026r.</t>
  </si>
  <si>
    <t>2027 rok finansowania (kwartały)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</si>
</sst>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z_ł_-;\-* #,##0.00\ _z_ł_-;_-* &quot;-&quot;??\ _z_ł_-;_-@_-"/>
  </numFmts>
  <fonts count="17">
    <font>
      <sz val="11"/>
      <color theme="1"/>
      <name val="Aptos Narrow"/>
      <family val="2"/>
      <charset val="238"/>
      <scheme val="minor"/>
    </font>
    <font>
      <sz val="10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0"/>
      <name val="Calibri"/>
      <family val="2"/>
      <charset val="238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10"/>
      <name val="Arial CE"/>
      <charset val="238"/>
    </font>
    <font>
      <sz val="11"/>
      <color rgb="FF000000"/>
      <name val="Calibri"/>
      <family val="2"/>
      <charset val="238"/>
    </font>
    <font>
      <sz val="10"/>
      <name val="Arial CE"/>
    </font>
    <font>
      <sz val="7"/>
      <color rgb="FFFFFFFF"/>
      <name val="Segoe UI"/>
      <family val="2"/>
      <charset val="238"/>
    </font>
    <font>
      <i/>
      <sz val="1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</cellStyleXfs>
  <cellXfs count="170">
    <xf numFmtId="0" fontId="0" fillId="0" borderId="0" xfId="0"/>
    <xf numFmtId="0" fontId="11" fillId="0" borderId="0" xfId="7" applyFont="1"/>
    <xf numFmtId="0" fontId="7" fillId="0" borderId="0" xfId="7" applyFont="1"/>
    <xf numFmtId="0" fontId="8" fillId="0" borderId="0" xfId="7" applyFont="1"/>
    <xf numFmtId="0" fontId="8" fillId="0" borderId="0" xfId="7" applyFont="1" applyAlignment="1">
      <alignment vertical="center"/>
    </xf>
    <xf numFmtId="0" fontId="7" fillId="0" borderId="0" xfId="7" applyFont="1" applyAlignment="1">
      <alignment vertical="center"/>
    </xf>
    <xf numFmtId="0" fontId="11" fillId="0" borderId="0" xfId="7" applyFont="1" applyAlignment="1">
      <alignment horizontal="center" vertical="center"/>
    </xf>
    <xf numFmtId="1" fontId="11" fillId="0" borderId="0" xfId="7" applyNumberFormat="1" applyFont="1"/>
    <xf numFmtId="0" fontId="8" fillId="3" borderId="0" xfId="7" applyFont="1" applyFill="1" applyAlignment="1">
      <alignment horizontal="right" vertical="center"/>
    </xf>
    <xf numFmtId="1" fontId="8" fillId="3" borderId="0" xfId="7" applyNumberFormat="1" applyFont="1" applyFill="1" applyAlignment="1">
      <alignment vertical="center"/>
    </xf>
    <xf numFmtId="1" fontId="8" fillId="3" borderId="0" xfId="7" applyNumberFormat="1" applyFont="1" applyFill="1" applyAlignment="1">
      <alignment horizontal="right" vertical="center"/>
    </xf>
    <xf numFmtId="0" fontId="7" fillId="3" borderId="0" xfId="7" applyFont="1" applyFill="1" applyAlignment="1">
      <alignment horizontal="right"/>
    </xf>
    <xf numFmtId="1" fontId="7" fillId="3" borderId="0" xfId="7" applyNumberFormat="1" applyFont="1" applyFill="1" applyAlignment="1">
      <alignment vertical="center"/>
    </xf>
    <xf numFmtId="0" fontId="12" fillId="0" borderId="0" xfId="7" applyFont="1"/>
    <xf numFmtId="0" fontId="8" fillId="3" borderId="0" xfId="7" applyFont="1" applyFill="1" applyAlignment="1">
      <alignment horizontal="left" vertical="center" wrapText="1"/>
    </xf>
    <xf numFmtId="0" fontId="8" fillId="3" borderId="0" xfId="7" applyFont="1" applyFill="1" applyAlignment="1">
      <alignment horizontal="center" vertical="center" wrapText="1"/>
    </xf>
    <xf numFmtId="1" fontId="7" fillId="3" borderId="0" xfId="7" applyNumberFormat="1" applyFont="1" applyFill="1" applyAlignment="1">
      <alignment horizontal="center" vertical="center" wrapText="1"/>
    </xf>
    <xf numFmtId="1" fontId="7" fillId="3" borderId="0" xfId="7" applyNumberFormat="1" applyFont="1" applyFill="1"/>
    <xf numFmtId="1" fontId="7" fillId="3" borderId="0" xfId="7" applyNumberFormat="1" applyFont="1" applyFill="1" applyAlignment="1">
      <alignment horizontal="right"/>
    </xf>
    <xf numFmtId="1" fontId="13" fillId="3" borderId="0" xfId="7" applyNumberFormat="1" applyFont="1" applyFill="1" applyAlignment="1">
      <alignment horizontal="right" vertical="center" wrapText="1"/>
    </xf>
    <xf numFmtId="1" fontId="7" fillId="3" borderId="0" xfId="7" applyNumberFormat="1" applyFont="1" applyFill="1" applyAlignment="1">
      <alignment horizontal="right" vertical="center"/>
    </xf>
    <xf numFmtId="1" fontId="8" fillId="4" borderId="4" xfId="7" applyNumberFormat="1" applyFont="1" applyFill="1" applyBorder="1" applyAlignment="1">
      <alignment horizontal="center" vertical="center" wrapText="1"/>
    </xf>
    <xf numFmtId="0" fontId="13" fillId="4" borderId="30" xfId="7" applyFont="1" applyFill="1" applyBorder="1" applyAlignment="1">
      <alignment horizontal="center" vertical="center" wrapText="1"/>
    </xf>
    <xf numFmtId="0" fontId="13" fillId="4" borderId="12" xfId="7" applyFont="1" applyFill="1" applyBorder="1" applyAlignment="1">
      <alignment horizontal="center" vertical="center" wrapText="1"/>
    </xf>
    <xf numFmtId="1" fontId="13" fillId="4" borderId="12" xfId="7" applyNumberFormat="1" applyFont="1" applyFill="1" applyBorder="1" applyAlignment="1">
      <alignment horizontal="center" vertical="center" wrapText="1"/>
    </xf>
    <xf numFmtId="1" fontId="13" fillId="4" borderId="13" xfId="7" applyNumberFormat="1" applyFont="1" applyFill="1" applyBorder="1" applyAlignment="1">
      <alignment horizontal="center" vertical="center" wrapText="1"/>
    </xf>
    <xf numFmtId="0" fontId="8" fillId="4" borderId="8" xfId="7" applyFont="1" applyFill="1" applyBorder="1" applyAlignment="1">
      <alignment vertical="center" wrapText="1"/>
    </xf>
    <xf numFmtId="4" fontId="8" fillId="3" borderId="8" xfId="7" applyNumberFormat="1" applyFont="1" applyFill="1" applyBorder="1" applyAlignment="1">
      <alignment vertical="center" wrapText="1"/>
    </xf>
    <xf numFmtId="4" fontId="14" fillId="3" borderId="8" xfId="7" applyNumberFormat="1" applyFont="1" applyFill="1" applyBorder="1" applyAlignment="1">
      <alignment vertical="center" wrapText="1"/>
    </xf>
    <xf numFmtId="4" fontId="14" fillId="3" borderId="9" xfId="7" applyNumberFormat="1" applyFont="1" applyFill="1" applyBorder="1" applyAlignment="1">
      <alignment vertical="center" wrapText="1"/>
    </xf>
    <xf numFmtId="0" fontId="8" fillId="4" borderId="4" xfId="7" applyFont="1" applyFill="1" applyBorder="1" applyAlignment="1">
      <alignment vertical="center" wrapText="1"/>
    </xf>
    <xf numFmtId="4" fontId="8" fillId="3" borderId="4" xfId="7" applyNumberFormat="1" applyFont="1" applyFill="1" applyBorder="1" applyAlignment="1">
      <alignment vertical="center" wrapText="1"/>
    </xf>
    <xf numFmtId="4" fontId="14" fillId="3" borderId="4" xfId="7" applyNumberFormat="1" applyFont="1" applyFill="1" applyBorder="1" applyAlignment="1">
      <alignment vertical="center" wrapText="1"/>
    </xf>
    <xf numFmtId="4" fontId="14" fillId="3" borderId="5" xfId="7" applyNumberFormat="1" applyFont="1" applyFill="1" applyBorder="1" applyAlignment="1">
      <alignment vertical="center" wrapText="1"/>
    </xf>
    <xf numFmtId="0" fontId="4" fillId="4" borderId="4" xfId="7" applyFont="1" applyFill="1" applyBorder="1" applyAlignment="1">
      <alignment vertical="center" wrapText="1"/>
    </xf>
    <xf numFmtId="4" fontId="7" fillId="2" borderId="4" xfId="7" applyNumberFormat="1" applyFont="1" applyFill="1" applyBorder="1" applyAlignment="1" applyProtection="1">
      <alignment vertical="center" wrapText="1"/>
      <protection locked="0"/>
    </xf>
    <xf numFmtId="4" fontId="7" fillId="0" borderId="4" xfId="7" applyNumberFormat="1" applyFont="1" applyBorder="1" applyAlignment="1" applyProtection="1">
      <alignment vertical="center" wrapText="1"/>
      <protection locked="0"/>
    </xf>
    <xf numFmtId="0" fontId="4" fillId="4" borderId="18" xfId="7" applyFont="1" applyFill="1" applyBorder="1" applyAlignment="1">
      <alignment vertical="center" wrapText="1"/>
    </xf>
    <xf numFmtId="4" fontId="8" fillId="3" borderId="18" xfId="7" applyNumberFormat="1" applyFont="1" applyFill="1" applyBorder="1" applyAlignment="1">
      <alignment vertical="center" wrapText="1"/>
    </xf>
    <xf numFmtId="4" fontId="7" fillId="0" borderId="18" xfId="7" applyNumberFormat="1" applyFont="1" applyBorder="1" applyAlignment="1" applyProtection="1">
      <alignment vertical="center" wrapText="1"/>
      <protection locked="0"/>
    </xf>
    <xf numFmtId="4" fontId="14" fillId="3" borderId="18" xfId="7" applyNumberFormat="1" applyFont="1" applyFill="1" applyBorder="1" applyAlignment="1">
      <alignment vertical="center" wrapText="1"/>
    </xf>
    <xf numFmtId="4" fontId="14" fillId="3" borderId="22" xfId="7" applyNumberFormat="1" applyFont="1" applyFill="1" applyBorder="1" applyAlignment="1">
      <alignment vertical="center" wrapText="1"/>
    </xf>
    <xf numFmtId="0" fontId="8" fillId="3" borderId="27" xfId="7" applyFont="1" applyFill="1" applyBorder="1" applyAlignment="1">
      <alignment vertical="center" wrapText="1"/>
    </xf>
    <xf numFmtId="0" fontId="8" fillId="3" borderId="36" xfId="7" applyFont="1" applyFill="1" applyBorder="1" applyAlignment="1">
      <alignment vertical="center" wrapText="1"/>
    </xf>
    <xf numFmtId="0" fontId="8" fillId="3" borderId="8" xfId="7" applyFont="1" applyFill="1" applyBorder="1" applyAlignment="1">
      <alignment vertical="center" wrapText="1"/>
    </xf>
    <xf numFmtId="0" fontId="7" fillId="3" borderId="4" xfId="7" applyFont="1" applyFill="1" applyBorder="1" applyAlignment="1">
      <alignment vertical="center" wrapText="1"/>
    </xf>
    <xf numFmtId="165" fontId="15" fillId="3" borderId="4" xfId="7" applyNumberFormat="1" applyFont="1" applyFill="1" applyBorder="1" applyAlignment="1">
      <alignment vertical="center" wrapText="1"/>
    </xf>
    <xf numFmtId="0" fontId="10" fillId="3" borderId="4" xfId="7" applyFont="1" applyFill="1" applyBorder="1" applyAlignment="1">
      <alignment vertical="center" wrapText="1"/>
    </xf>
    <xf numFmtId="0" fontId="7" fillId="0" borderId="0" xfId="7" applyFont="1" applyAlignment="1">
      <alignment horizontal="center" vertical="center" wrapText="1"/>
    </xf>
    <xf numFmtId="0" fontId="7" fillId="0" borderId="0" xfId="7" applyFont="1" applyAlignment="1">
      <alignment horizontal="center" vertical="center"/>
    </xf>
    <xf numFmtId="0" fontId="7" fillId="2" borderId="0" xfId="7" applyFont="1" applyFill="1" applyAlignment="1">
      <alignment vertical="center"/>
    </xf>
    <xf numFmtId="1" fontId="7" fillId="0" borderId="0" xfId="7" applyNumberFormat="1" applyFont="1" applyAlignment="1">
      <alignment vertical="center" wrapText="1"/>
    </xf>
    <xf numFmtId="0" fontId="7" fillId="0" borderId="0" xfId="7" applyFont="1" applyProtection="1">
      <protection locked="0"/>
    </xf>
    <xf numFmtId="0" fontId="7" fillId="0" borderId="0" xfId="7" applyFont="1" applyAlignment="1" applyProtection="1">
      <alignment horizontal="center"/>
      <protection locked="0"/>
    </xf>
    <xf numFmtId="1" fontId="7" fillId="0" borderId="0" xfId="7" applyNumberFormat="1" applyFont="1" applyProtection="1">
      <protection locked="0"/>
    </xf>
    <xf numFmtId="1" fontId="7" fillId="0" borderId="0" xfId="7" applyNumberFormat="1" applyFont="1" applyAlignment="1">
      <alignment vertical="center"/>
    </xf>
    <xf numFmtId="1" fontId="7" fillId="0" borderId="0" xfId="7" applyNumberFormat="1" applyFont="1"/>
    <xf numFmtId="0" fontId="7" fillId="0" borderId="0" xfId="7" applyFont="1" applyAlignment="1">
      <alignment horizontal="left" vertical="center"/>
    </xf>
    <xf numFmtId="0" fontId="7" fillId="0" borderId="0" xfId="7" applyFont="1" applyAlignment="1">
      <alignment wrapText="1"/>
    </xf>
    <xf numFmtId="4" fontId="16" fillId="2" borderId="4" xfId="7" applyNumberFormat="1" applyFont="1" applyFill="1" applyBorder="1" applyAlignment="1" applyProtection="1">
      <alignment vertical="center" wrapText="1"/>
      <protection locked="0"/>
    </xf>
    <xf numFmtId="4" fontId="16" fillId="0" borderId="4" xfId="7" applyNumberFormat="1" applyFont="1" applyBorder="1" applyAlignment="1" applyProtection="1">
      <alignment vertical="center" wrapText="1"/>
      <protection locked="0"/>
    </xf>
    <xf numFmtId="4" fontId="5" fillId="0" borderId="4" xfId="7" applyNumberFormat="1" applyFont="1" applyBorder="1" applyAlignment="1" applyProtection="1">
      <alignment vertical="center" wrapText="1"/>
      <protection locked="0"/>
    </xf>
    <xf numFmtId="4" fontId="16" fillId="0" borderId="18" xfId="7" applyNumberFormat="1" applyFont="1" applyBorder="1" applyAlignment="1" applyProtection="1">
      <alignment vertical="center" wrapText="1"/>
      <protection locked="0"/>
    </xf>
    <xf numFmtId="4" fontId="5" fillId="2" borderId="4" xfId="7" applyNumberFormat="1" applyFont="1" applyFill="1" applyBorder="1" applyAlignment="1" applyProtection="1">
      <alignment vertical="center" wrapText="1"/>
      <protection locked="0"/>
    </xf>
    <xf numFmtId="4" fontId="6" fillId="3" borderId="4" xfId="7" applyNumberFormat="1" applyFont="1" applyFill="1" applyBorder="1" applyAlignment="1">
      <alignment vertical="center" wrapText="1"/>
    </xf>
    <xf numFmtId="4" fontId="8" fillId="0" borderId="8" xfId="7" applyNumberFormat="1" applyFont="1" applyBorder="1" applyAlignment="1">
      <alignment vertical="center" wrapText="1"/>
    </xf>
    <xf numFmtId="4" fontId="8" fillId="0" borderId="4" xfId="7" applyNumberFormat="1" applyFont="1" applyBorder="1" applyAlignment="1">
      <alignment vertical="center" wrapText="1"/>
    </xf>
    <xf numFmtId="4" fontId="8" fillId="0" borderId="18" xfId="7" applyNumberFormat="1" applyFont="1" applyBorder="1" applyAlignment="1">
      <alignment vertical="center" wrapText="1"/>
    </xf>
    <xf numFmtId="4" fontId="8" fillId="2" borderId="4" xfId="7" applyNumberFormat="1" applyFont="1" applyFill="1" applyBorder="1" applyAlignment="1">
      <alignment vertical="center" wrapText="1"/>
    </xf>
    <xf numFmtId="4" fontId="8" fillId="6" borderId="4" xfId="7" applyNumberFormat="1" applyFont="1" applyFill="1" applyBorder="1" applyAlignment="1">
      <alignment vertical="center" wrapText="1"/>
    </xf>
    <xf numFmtId="4" fontId="8" fillId="6" borderId="8" xfId="7" applyNumberFormat="1" applyFont="1" applyFill="1" applyBorder="1" applyAlignment="1">
      <alignment vertical="center" wrapText="1"/>
    </xf>
    <xf numFmtId="14" fontId="8" fillId="2" borderId="0" xfId="7" applyNumberFormat="1" applyFont="1" applyFill="1" applyAlignment="1" applyProtection="1">
      <alignment horizontal="left"/>
      <protection locked="0"/>
    </xf>
    <xf numFmtId="4" fontId="8" fillId="0" borderId="0" xfId="7" applyNumberFormat="1" applyFont="1"/>
    <xf numFmtId="4" fontId="0" fillId="0" borderId="0" xfId="0" applyNumberFormat="1"/>
    <xf numFmtId="0" fontId="8" fillId="3" borderId="0" xfId="7" applyFont="1" applyFill="1" applyAlignment="1">
      <alignment horizontal="right" vertical="center"/>
    </xf>
    <xf numFmtId="0" fontId="8" fillId="0" borderId="0" xfId="7" applyFont="1" applyAlignment="1" applyProtection="1">
      <alignment horizontal="left" vertical="center" wrapText="1"/>
      <protection locked="0"/>
    </xf>
    <xf numFmtId="0" fontId="7" fillId="3" borderId="0" xfId="7" applyFont="1" applyFill="1" applyAlignment="1">
      <alignment horizontal="right" vertical="center"/>
    </xf>
    <xf numFmtId="0" fontId="10" fillId="3" borderId="0" xfId="7" applyFont="1" applyFill="1" applyAlignment="1">
      <alignment horizontal="right" vertical="center"/>
    </xf>
    <xf numFmtId="1" fontId="8" fillId="4" borderId="4" xfId="7" applyNumberFormat="1" applyFont="1" applyFill="1" applyBorder="1" applyAlignment="1">
      <alignment horizontal="center" vertical="center" wrapText="1"/>
    </xf>
    <xf numFmtId="1" fontId="8" fillId="4" borderId="12" xfId="7" applyNumberFormat="1" applyFont="1" applyFill="1" applyBorder="1" applyAlignment="1">
      <alignment horizontal="center" vertical="center" wrapText="1"/>
    </xf>
    <xf numFmtId="1" fontId="8" fillId="4" borderId="2" xfId="7" applyNumberFormat="1" applyFont="1" applyFill="1" applyBorder="1" applyAlignment="1" applyProtection="1">
      <alignment horizontal="center" vertical="center" wrapText="1"/>
      <protection locked="0"/>
    </xf>
    <xf numFmtId="1" fontId="7" fillId="4" borderId="2" xfId="7" applyNumberFormat="1" applyFont="1" applyFill="1" applyBorder="1" applyAlignment="1" applyProtection="1">
      <alignment horizontal="center" vertical="center" wrapText="1"/>
      <protection locked="0"/>
    </xf>
    <xf numFmtId="1" fontId="7" fillId="4" borderId="4" xfId="7" applyNumberFormat="1" applyFont="1" applyFill="1" applyBorder="1" applyAlignment="1" applyProtection="1">
      <alignment horizontal="center" vertical="center" wrapText="1"/>
      <protection locked="0"/>
    </xf>
    <xf numFmtId="1" fontId="8" fillId="4" borderId="40" xfId="7" applyNumberFormat="1" applyFont="1" applyFill="1" applyBorder="1" applyAlignment="1" applyProtection="1">
      <alignment horizontal="center" vertical="center" wrapText="1"/>
      <protection locked="0"/>
    </xf>
    <xf numFmtId="1" fontId="7" fillId="4" borderId="5" xfId="7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7" applyFont="1" applyAlignment="1" applyProtection="1">
      <alignment horizontal="left" vertical="center" wrapText="1"/>
      <protection locked="0"/>
    </xf>
    <xf numFmtId="0" fontId="8" fillId="3" borderId="0" xfId="7" applyFont="1" applyFill="1" applyAlignment="1">
      <alignment horizontal="left" vertical="center" wrapText="1"/>
    </xf>
    <xf numFmtId="0" fontId="8" fillId="4" borderId="7" xfId="7" applyFont="1" applyFill="1" applyBorder="1" applyAlignment="1">
      <alignment horizontal="center" vertical="center" wrapText="1"/>
    </xf>
    <xf numFmtId="0" fontId="8" fillId="4" borderId="3" xfId="7" applyFont="1" applyFill="1" applyBorder="1" applyAlignment="1">
      <alignment horizontal="center" vertical="center" wrapText="1"/>
    </xf>
    <xf numFmtId="0" fontId="8" fillId="4" borderId="11" xfId="7" applyFont="1" applyFill="1" applyBorder="1" applyAlignment="1">
      <alignment horizontal="center" vertical="center" wrapText="1"/>
    </xf>
    <xf numFmtId="0" fontId="8" fillId="4" borderId="8" xfId="7" applyFont="1" applyFill="1" applyBorder="1" applyAlignment="1">
      <alignment horizontal="center" vertical="center" wrapText="1"/>
    </xf>
    <xf numFmtId="0" fontId="8" fillId="4" borderId="4" xfId="7" applyFont="1" applyFill="1" applyBorder="1" applyAlignment="1">
      <alignment horizontal="center" vertical="center" wrapText="1"/>
    </xf>
    <xf numFmtId="0" fontId="8" fillId="4" borderId="12" xfId="7" applyFont="1" applyFill="1" applyBorder="1" applyAlignment="1">
      <alignment horizontal="center" vertical="center" wrapText="1"/>
    </xf>
    <xf numFmtId="0" fontId="8" fillId="4" borderId="25" xfId="7" applyFont="1" applyFill="1" applyBorder="1" applyAlignment="1">
      <alignment horizontal="center" vertical="center" wrapText="1"/>
    </xf>
    <xf numFmtId="0" fontId="8" fillId="4" borderId="21" xfId="7" applyFont="1" applyFill="1" applyBorder="1" applyAlignment="1">
      <alignment horizontal="center" vertical="center" wrapText="1"/>
    </xf>
    <xf numFmtId="0" fontId="7" fillId="4" borderId="21" xfId="7" applyFont="1" applyFill="1" applyBorder="1" applyAlignment="1">
      <alignment horizontal="center" vertical="center" wrapText="1"/>
    </xf>
    <xf numFmtId="0" fontId="7" fillId="4" borderId="2" xfId="7" applyFont="1" applyFill="1" applyBorder="1" applyAlignment="1">
      <alignment horizontal="center" vertical="center" wrapText="1"/>
    </xf>
    <xf numFmtId="1" fontId="8" fillId="4" borderId="26" xfId="7" applyNumberFormat="1" applyFont="1" applyFill="1" applyBorder="1" applyAlignment="1">
      <alignment horizontal="center" vertical="center" wrapText="1"/>
    </xf>
    <xf numFmtId="1" fontId="7" fillId="4" borderId="19" xfId="7" applyNumberFormat="1" applyFont="1" applyFill="1" applyBorder="1"/>
    <xf numFmtId="1" fontId="8" fillId="4" borderId="26" xfId="7" applyNumberFormat="1" applyFont="1" applyFill="1" applyBorder="1" applyAlignment="1" applyProtection="1">
      <alignment horizontal="center" vertical="center" wrapText="1"/>
      <protection locked="0"/>
    </xf>
    <xf numFmtId="1" fontId="7" fillId="4" borderId="19" xfId="7" applyNumberFormat="1" applyFont="1" applyFill="1" applyBorder="1" applyProtection="1">
      <protection locked="0"/>
    </xf>
    <xf numFmtId="0" fontId="8" fillId="5" borderId="28" xfId="7" applyFont="1" applyFill="1" applyBorder="1" applyAlignment="1">
      <alignment horizontal="center" vertical="center" wrapText="1"/>
    </xf>
    <xf numFmtId="0" fontId="8" fillId="5" borderId="31" xfId="7" applyFont="1" applyFill="1" applyBorder="1" applyAlignment="1">
      <alignment horizontal="center" vertical="center" wrapText="1"/>
    </xf>
    <xf numFmtId="0" fontId="8" fillId="5" borderId="32" xfId="7" applyFont="1" applyFill="1" applyBorder="1" applyAlignment="1">
      <alignment horizontal="center" vertical="center" wrapText="1"/>
    </xf>
    <xf numFmtId="0" fontId="8" fillId="0" borderId="25" xfId="7" applyFont="1" applyBorder="1" applyAlignment="1" applyProtection="1">
      <alignment horizontal="left" vertical="center" wrapText="1"/>
      <protection locked="0"/>
    </xf>
    <xf numFmtId="0" fontId="8" fillId="0" borderId="21" xfId="7" applyFont="1" applyBorder="1" applyAlignment="1" applyProtection="1">
      <alignment horizontal="left" vertical="center" wrapText="1"/>
      <protection locked="0"/>
    </xf>
    <xf numFmtId="0" fontId="8" fillId="0" borderId="33" xfId="7" applyFont="1" applyBorder="1" applyAlignment="1" applyProtection="1">
      <alignment horizontal="left" vertical="center" wrapText="1"/>
      <protection locked="0"/>
    </xf>
    <xf numFmtId="0" fontId="8" fillId="0" borderId="8" xfId="7" applyFont="1" applyBorder="1" applyAlignment="1" applyProtection="1">
      <alignment horizontal="center" vertical="center" wrapText="1"/>
      <protection locked="0"/>
    </xf>
    <xf numFmtId="0" fontId="8" fillId="0" borderId="21" xfId="7" applyFont="1" applyBorder="1" applyAlignment="1" applyProtection="1">
      <alignment horizontal="center" vertical="center" wrapText="1"/>
      <protection locked="0"/>
    </xf>
    <xf numFmtId="0" fontId="8" fillId="0" borderId="33" xfId="7" applyFont="1" applyBorder="1" applyAlignment="1" applyProtection="1">
      <alignment horizontal="center" vertical="center" wrapText="1"/>
      <protection locked="0"/>
    </xf>
    <xf numFmtId="0" fontId="8" fillId="0" borderId="25" xfId="7" applyFont="1" applyBorder="1" applyAlignment="1" applyProtection="1">
      <alignment horizontal="center" vertical="center" wrapText="1"/>
      <protection locked="0"/>
    </xf>
    <xf numFmtId="0" fontId="7" fillId="0" borderId="21" xfId="7" applyFont="1" applyBorder="1" applyAlignment="1" applyProtection="1">
      <alignment horizontal="center" vertical="center" wrapText="1"/>
      <protection locked="0"/>
    </xf>
    <xf numFmtId="0" fontId="7" fillId="0" borderId="33" xfId="7" applyFont="1" applyBorder="1" applyAlignment="1" applyProtection="1">
      <alignment horizontal="center" vertical="center" wrapText="1"/>
      <protection locked="0"/>
    </xf>
    <xf numFmtId="16" fontId="8" fillId="5" borderId="28" xfId="7" applyNumberFormat="1" applyFont="1" applyFill="1" applyBorder="1" applyAlignment="1">
      <alignment horizontal="center" vertical="center" wrapText="1"/>
    </xf>
    <xf numFmtId="0" fontId="7" fillId="0" borderId="25" xfId="7" applyFont="1" applyBorder="1" applyAlignment="1" applyProtection="1">
      <alignment horizontal="left" vertical="center" wrapText="1"/>
      <protection locked="0"/>
    </xf>
    <xf numFmtId="0" fontId="8" fillId="5" borderId="7" xfId="7" applyFont="1" applyFill="1" applyBorder="1" applyAlignment="1">
      <alignment horizontal="center" vertical="center" wrapText="1"/>
    </xf>
    <xf numFmtId="0" fontId="8" fillId="5" borderId="3" xfId="7" applyFont="1" applyFill="1" applyBorder="1" applyAlignment="1">
      <alignment horizontal="center" vertical="center" wrapText="1"/>
    </xf>
    <xf numFmtId="0" fontId="8" fillId="5" borderId="17" xfId="7" applyFont="1" applyFill="1" applyBorder="1" applyAlignment="1">
      <alignment horizontal="center" vertical="center" wrapText="1"/>
    </xf>
    <xf numFmtId="0" fontId="8" fillId="0" borderId="8" xfId="7" applyFont="1" applyBorder="1" applyAlignment="1" applyProtection="1">
      <alignment horizontal="left" vertical="center" wrapText="1"/>
      <protection locked="0"/>
    </xf>
    <xf numFmtId="0" fontId="8" fillId="0" borderId="4" xfId="7" applyFont="1" applyBorder="1" applyAlignment="1" applyProtection="1">
      <alignment horizontal="left" vertical="center" wrapText="1"/>
      <protection locked="0"/>
    </xf>
    <xf numFmtId="0" fontId="8" fillId="0" borderId="18" xfId="7" applyFont="1" applyBorder="1" applyAlignment="1" applyProtection="1">
      <alignment horizontal="left" vertical="center" wrapText="1"/>
      <protection locked="0"/>
    </xf>
    <xf numFmtId="0" fontId="8" fillId="0" borderId="4" xfId="7" applyFont="1" applyBorder="1" applyAlignment="1" applyProtection="1">
      <alignment horizontal="center" vertical="center" wrapText="1"/>
      <protection locked="0"/>
    </xf>
    <xf numFmtId="0" fontId="8" fillId="0" borderId="18" xfId="7" applyFont="1" applyBorder="1" applyAlignment="1" applyProtection="1">
      <alignment horizontal="center" vertical="center" wrapText="1"/>
      <protection locked="0"/>
    </xf>
    <xf numFmtId="14" fontId="8" fillId="5" borderId="28" xfId="7" applyNumberFormat="1" applyFont="1" applyFill="1" applyBorder="1" applyAlignment="1">
      <alignment horizontal="center" vertical="center" wrapText="1"/>
    </xf>
    <xf numFmtId="4" fontId="8" fillId="3" borderId="25" xfId="7" applyNumberFormat="1" applyFont="1" applyFill="1" applyBorder="1" applyAlignment="1">
      <alignment vertical="center" wrapText="1"/>
    </xf>
    <xf numFmtId="4" fontId="8" fillId="3" borderId="21" xfId="7" applyNumberFormat="1" applyFont="1" applyFill="1" applyBorder="1" applyAlignment="1">
      <alignment vertical="center" wrapText="1"/>
    </xf>
    <xf numFmtId="0" fontId="8" fillId="3" borderId="15" xfId="7" applyFont="1" applyFill="1" applyBorder="1" applyAlignment="1">
      <alignment horizontal="left" vertical="center" wrapText="1"/>
    </xf>
    <xf numFmtId="0" fontId="8" fillId="3" borderId="16" xfId="7" applyFont="1" applyFill="1" applyBorder="1" applyAlignment="1">
      <alignment horizontal="left" vertical="center" wrapText="1"/>
    </xf>
    <xf numFmtId="0" fontId="8" fillId="3" borderId="34" xfId="7" applyFont="1" applyFill="1" applyBorder="1" applyAlignment="1">
      <alignment horizontal="left" vertical="center" wrapText="1"/>
    </xf>
    <xf numFmtId="0" fontId="8" fillId="3" borderId="35" xfId="7" applyFont="1" applyFill="1" applyBorder="1" applyAlignment="1">
      <alignment horizontal="left" vertical="center" wrapText="1"/>
    </xf>
    <xf numFmtId="4" fontId="8" fillId="6" borderId="25" xfId="7" applyNumberFormat="1" applyFont="1" applyFill="1" applyBorder="1" applyAlignment="1">
      <alignment vertical="center" wrapText="1"/>
    </xf>
    <xf numFmtId="4" fontId="8" fillId="6" borderId="21" xfId="7" applyNumberFormat="1" applyFont="1" applyFill="1" applyBorder="1" applyAlignment="1">
      <alignment vertical="center" wrapText="1"/>
    </xf>
    <xf numFmtId="1" fontId="8" fillId="4" borderId="15" xfId="7" applyNumberFormat="1" applyFont="1" applyFill="1" applyBorder="1" applyAlignment="1">
      <alignment horizontal="center" vertical="center" wrapText="1"/>
    </xf>
    <xf numFmtId="1" fontId="8" fillId="4" borderId="16" xfId="7" applyNumberFormat="1" applyFont="1" applyFill="1" applyBorder="1" applyAlignment="1">
      <alignment horizontal="center" vertical="center" wrapText="1"/>
    </xf>
    <xf numFmtId="1" fontId="8" fillId="4" borderId="41" xfId="7" applyNumberFormat="1" applyFont="1" applyFill="1" applyBorder="1" applyAlignment="1">
      <alignment horizontal="center" vertical="center" wrapText="1"/>
    </xf>
    <xf numFmtId="1" fontId="8" fillId="4" borderId="34" xfId="7" applyNumberFormat="1" applyFont="1" applyFill="1" applyBorder="1" applyAlignment="1">
      <alignment horizontal="center" vertical="center" wrapText="1"/>
    </xf>
    <xf numFmtId="1" fontId="8" fillId="4" borderId="35" xfId="7" applyNumberFormat="1" applyFont="1" applyFill="1" applyBorder="1" applyAlignment="1">
      <alignment horizontal="center" vertical="center" wrapText="1"/>
    </xf>
    <xf numFmtId="1" fontId="8" fillId="4" borderId="42" xfId="7" applyNumberFormat="1" applyFont="1" applyFill="1" applyBorder="1" applyAlignment="1">
      <alignment horizontal="center" vertical="center" wrapText="1"/>
    </xf>
    <xf numFmtId="0" fontId="7" fillId="0" borderId="19" xfId="7" applyFont="1" applyBorder="1" applyAlignment="1" applyProtection="1">
      <alignment horizontal="center" vertical="top"/>
      <protection locked="0"/>
    </xf>
    <xf numFmtId="0" fontId="7" fillId="0" borderId="24" xfId="7" applyFont="1" applyBorder="1" applyAlignment="1" applyProtection="1">
      <alignment horizontal="center" vertical="top"/>
      <protection locked="0"/>
    </xf>
    <xf numFmtId="0" fontId="7" fillId="0" borderId="20" xfId="7" applyFont="1" applyBorder="1" applyAlignment="1" applyProtection="1">
      <alignment horizontal="center" vertical="top"/>
      <protection locked="0"/>
    </xf>
    <xf numFmtId="0" fontId="7" fillId="3" borderId="29" xfId="7" applyFont="1" applyFill="1" applyBorder="1" applyAlignment="1">
      <alignment horizontal="left" vertical="center" wrapText="1"/>
    </xf>
    <xf numFmtId="0" fontId="7" fillId="3" borderId="23" xfId="7" applyFont="1" applyFill="1" applyBorder="1" applyAlignment="1">
      <alignment horizontal="left" vertical="center" wrapText="1"/>
    </xf>
    <xf numFmtId="0" fontId="7" fillId="3" borderId="6" xfId="7" applyFont="1" applyFill="1" applyBorder="1" applyAlignment="1">
      <alignment horizontal="left" vertical="center" wrapText="1"/>
    </xf>
    <xf numFmtId="0" fontId="8" fillId="3" borderId="29" xfId="7" applyFont="1" applyFill="1" applyBorder="1" applyAlignment="1">
      <alignment horizontal="left" vertical="center" wrapText="1"/>
    </xf>
    <xf numFmtId="0" fontId="8" fillId="3" borderId="23" xfId="7" applyFont="1" applyFill="1" applyBorder="1" applyAlignment="1">
      <alignment horizontal="left" vertical="center" wrapText="1"/>
    </xf>
    <xf numFmtId="0" fontId="8" fillId="3" borderId="6" xfId="7" applyFont="1" applyFill="1" applyBorder="1" applyAlignment="1">
      <alignment horizontal="left" vertical="center" wrapText="1"/>
    </xf>
    <xf numFmtId="0" fontId="10" fillId="3" borderId="29" xfId="7" applyFont="1" applyFill="1" applyBorder="1" applyAlignment="1">
      <alignment horizontal="left" vertical="center" wrapText="1"/>
    </xf>
    <xf numFmtId="0" fontId="10" fillId="3" borderId="23" xfId="7" applyFont="1" applyFill="1" applyBorder="1" applyAlignment="1">
      <alignment horizontal="left" vertical="center" wrapText="1"/>
    </xf>
    <xf numFmtId="0" fontId="10" fillId="3" borderId="6" xfId="7" applyFont="1" applyFill="1" applyBorder="1" applyAlignment="1">
      <alignment horizontal="left" vertical="center" wrapText="1"/>
    </xf>
    <xf numFmtId="0" fontId="7" fillId="3" borderId="17" xfId="7" applyFont="1" applyFill="1" applyBorder="1" applyAlignment="1">
      <alignment horizontal="left" vertical="center" wrapText="1"/>
    </xf>
    <xf numFmtId="0" fontId="7" fillId="3" borderId="18" xfId="7" applyFont="1" applyFill="1" applyBorder="1" applyAlignment="1">
      <alignment horizontal="left" vertical="center" wrapText="1"/>
    </xf>
    <xf numFmtId="0" fontId="7" fillId="0" borderId="14" xfId="7" applyFont="1" applyBorder="1" applyAlignment="1">
      <alignment horizontal="left" vertical="top" wrapText="1"/>
    </xf>
    <xf numFmtId="0" fontId="7" fillId="0" borderId="39" xfId="7" applyFont="1" applyBorder="1" applyAlignment="1">
      <alignment horizontal="left" vertical="top" wrapText="1"/>
    </xf>
    <xf numFmtId="0" fontId="7" fillId="0" borderId="1" xfId="7" applyFont="1" applyBorder="1" applyAlignment="1">
      <alignment horizontal="left" vertical="top" wrapText="1"/>
    </xf>
    <xf numFmtId="0" fontId="8" fillId="3" borderId="37" xfId="7" applyFont="1" applyFill="1" applyBorder="1" applyAlignment="1">
      <alignment horizontal="left" vertical="center" wrapText="1"/>
    </xf>
    <xf numFmtId="0" fontId="8" fillId="3" borderId="38" xfId="7" applyFont="1" applyFill="1" applyBorder="1" applyAlignment="1">
      <alignment horizontal="left" vertical="center" wrapText="1"/>
    </xf>
    <xf numFmtId="0" fontId="8" fillId="3" borderId="10" xfId="7" applyFont="1" applyFill="1" applyBorder="1" applyAlignment="1">
      <alignment horizontal="left" vertical="center" wrapText="1"/>
    </xf>
    <xf numFmtId="1" fontId="8" fillId="4" borderId="8" xfId="7" applyNumberFormat="1" applyFont="1" applyFill="1" applyBorder="1" applyAlignment="1">
      <alignment horizontal="center" vertical="center" wrapText="1"/>
    </xf>
    <xf numFmtId="1" fontId="8" fillId="4" borderId="9" xfId="7" applyNumberFormat="1" applyFont="1" applyFill="1" applyBorder="1" applyAlignment="1">
      <alignment horizontal="center" vertical="center" wrapText="1"/>
    </xf>
    <xf numFmtId="1" fontId="8" fillId="4" borderId="5" xfId="7" applyNumberFormat="1" applyFont="1" applyFill="1" applyBorder="1" applyAlignment="1">
      <alignment horizontal="center" vertical="center" wrapText="1"/>
    </xf>
    <xf numFmtId="1" fontId="8" fillId="4" borderId="4" xfId="7" applyNumberFormat="1" applyFont="1" applyFill="1" applyBorder="1" applyAlignment="1" applyProtection="1">
      <alignment horizontal="center" vertical="center" wrapText="1"/>
      <protection locked="0"/>
    </xf>
    <xf numFmtId="1" fontId="8" fillId="4" borderId="5" xfId="7" applyNumberFormat="1" applyFont="1" applyFill="1" applyBorder="1" applyAlignment="1" applyProtection="1">
      <alignment horizontal="center" vertical="center" wrapText="1"/>
      <protection locked="0"/>
    </xf>
    <xf numFmtId="1" fontId="8" fillId="4" borderId="25" xfId="7" applyNumberFormat="1" applyFont="1" applyFill="1" applyBorder="1" applyAlignment="1" applyProtection="1">
      <alignment horizontal="center" vertical="center" wrapText="1"/>
      <protection locked="0"/>
    </xf>
    <xf numFmtId="1" fontId="7" fillId="4" borderId="2" xfId="7" applyNumberFormat="1" applyFont="1" applyFill="1" applyBorder="1" applyProtection="1">
      <protection locked="0"/>
    </xf>
    <xf numFmtId="4" fontId="8" fillId="7" borderId="4" xfId="7" applyNumberFormat="1" applyFont="1" applyFill="1" applyBorder="1" applyAlignment="1">
      <alignment vertical="center" wrapText="1"/>
    </xf>
    <xf applyFill="1" numFmtId="4" fontId="8" fillId="7" borderId="4" xfId="7" applyNumberFormat="1" applyFont="1" applyBorder="1" applyAlignment="1">
      <alignment vertical="center" wrapText="1"/>
    </xf>
    <xf applyFill="1" numFmtId="4" fontId="7" fillId="7" borderId="4" xfId="7" applyNumberFormat="1" applyFont="1" applyBorder="1" applyAlignment="1" applyProtection="1">
      <alignment vertical="center" wrapText="1"/>
      <protection locked="0"/>
    </xf>
    <xf applyFill="1" numFmtId="4" fontId="5" fillId="7" borderId="4" xfId="7" applyNumberFormat="1" applyFont="1" applyBorder="1" applyAlignment="1" applyProtection="1">
      <alignment vertical="center" wrapText="1"/>
      <protection locked="0"/>
    </xf>
    <xf numFmtId="1" fontId="8" fillId="7" borderId="40" xfId="7" applyNumberFormat="1" applyFont="1" applyFill="1" applyBorder="1" applyAlignment="1" applyProtection="1">
      <alignment horizontal="center" vertical="center" wrapText="1"/>
      <protection locked="0"/>
    </xf>
  </cellXfs>
  <cellStyles count="8">
    <cellStyle name="Dziesiętny 2" xfId="3" xr:uid="{00000000-0005-0000-0000-000000000000}"/>
    <cellStyle name="Dziesiętny 2 2" xfId="5" xr:uid="{00000000-0005-0000-0000-000001000000}"/>
    <cellStyle name="Normalny" xfId="0" builtinId="0"/>
    <cellStyle name="Normalny 2" xfId="1" xr:uid="{00000000-0005-0000-0000-000003000000}"/>
    <cellStyle name="Normalny 2 2" xfId="4" xr:uid="{00000000-0005-0000-0000-000004000000}"/>
    <cellStyle name="Normalny 3" xfId="2" xr:uid="{00000000-0005-0000-0000-000005000000}"/>
    <cellStyle name="Normalny 4" xfId="7" xr:uid="{00000000-0005-0000-0000-000006000000}"/>
    <cellStyle name="Procentowy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183</xdr:row>
      <xdr:rowOff>95250</xdr:rowOff>
    </xdr:from>
    <xdr:to>
      <xdr:col>11</xdr:col>
      <xdr:colOff>58555</xdr:colOff>
      <xdr:row>195</xdr:row>
      <xdr:rowOff>142875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D50202A-2AA8-4C6E-A4AB-97692C47A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6434375"/>
          <a:ext cx="15406505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184</xdr:row>
      <xdr:rowOff>95250</xdr:rowOff>
    </xdr:from>
    <xdr:to>
      <xdr:col>15</xdr:col>
      <xdr:colOff>468130</xdr:colOff>
      <xdr:row>196</xdr:row>
      <xdr:rowOff>142875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FB2E322-7066-4ECC-8BB2-B8C925B4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7186850"/>
          <a:ext cx="15412855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185</xdr:row>
      <xdr:rowOff>95250</xdr:rowOff>
    </xdr:from>
    <xdr:to>
      <xdr:col>15</xdr:col>
      <xdr:colOff>906280</xdr:colOff>
      <xdr:row>197</xdr:row>
      <xdr:rowOff>142875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78ADCF1-1B21-43A1-AE16-BC1100141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63360300"/>
          <a:ext cx="15412855" cy="233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tarzyna Oppelt" id="{27D5D5A3-9F87-4167-86D2-DB8CB654079E}" userId="S::katarzyna.oppelt@lesznowola.pl::344a7214-bb31-472d-b20a-b4336759df78" providerId="AD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7" dT="2025-08-22T12:17:30.86" personId="{27D5D5A3-9F87-4167-86D2-DB8CB654079E}" id="{5AA8F45C-C3E2-481A-9F86-0FA1A773685F}">
    <text>Nie zgadza się o 1 gr z pierwotnym HRP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0"/>
  <sheetViews>
    <sheetView topLeftCell="B148" zoomScale="120" zoomScaleNormal="120" workbookViewId="0">
      <selection activeCell="B7" sqref="A7:F177"/>
    </sheetView>
  </sheetViews>
  <sheetFormatPr baseColWidth="10" defaultColWidth="8.83203125" defaultRowHeight="13"/>
  <cols>
    <col min="1" max="1" width="5.6640625" style="1" customWidth="1"/>
    <col min="2" max="2" width="65.83203125" style="1" customWidth="1"/>
    <col min="3" max="3" width="15.6640625" style="6" customWidth="1"/>
    <col min="4" max="4" width="10.6640625" style="6" customWidth="1"/>
    <col min="5" max="5" width="34.5" style="1" customWidth="1"/>
    <col min="6" max="7" width="18.6640625" style="7" customWidth="1"/>
    <col min="8" max="17" width="15.6640625" style="7" customWidth="1"/>
    <col min="18" max="18" width="17" style="1" customWidth="1"/>
    <col min="19" max="16384" width="8.83203125" style="1"/>
  </cols>
  <sheetData>
    <row r="1" spans="1:18" s="2" customFormat="1" ht="15">
      <c r="A1" s="74" t="s">
        <v>0</v>
      </c>
      <c r="B1" s="74"/>
      <c r="C1" s="75" t="s">
        <v>1</v>
      </c>
      <c r="D1" s="75"/>
      <c r="E1" s="75"/>
      <c r="F1" s="75"/>
      <c r="G1" s="75"/>
      <c r="H1" s="75"/>
      <c r="I1" s="75"/>
      <c r="J1" s="75"/>
      <c r="K1" s="9"/>
      <c r="L1" s="9"/>
      <c r="M1" s="9"/>
      <c r="N1" s="9"/>
      <c r="O1" s="9"/>
      <c r="P1" s="9"/>
      <c r="Q1" s="10" t="s">
        <v>2</v>
      </c>
    </row>
    <row r="2" spans="1:18" s="2" customFormat="1" ht="15">
      <c r="A2" s="8"/>
      <c r="B2" s="11"/>
      <c r="C2" s="75"/>
      <c r="D2" s="75"/>
      <c r="E2" s="75"/>
      <c r="F2" s="75"/>
      <c r="G2" s="75"/>
      <c r="H2" s="75"/>
      <c r="I2" s="75"/>
      <c r="J2" s="75"/>
      <c r="K2" s="9"/>
      <c r="L2" s="9"/>
      <c r="M2" s="9"/>
      <c r="N2" s="9"/>
      <c r="O2" s="9"/>
      <c r="P2" s="9"/>
      <c r="Q2" s="9"/>
    </row>
    <row r="3" spans="1:18" s="2" customFormat="1" ht="15">
      <c r="A3" s="76" t="s">
        <v>3</v>
      </c>
      <c r="B3" s="76"/>
      <c r="C3" s="75" t="s">
        <v>4</v>
      </c>
      <c r="D3" s="75"/>
      <c r="E3" s="75"/>
      <c r="F3" s="75"/>
      <c r="G3" s="75"/>
      <c r="H3" s="75"/>
      <c r="I3" s="75"/>
      <c r="J3" s="75"/>
      <c r="K3" s="9"/>
      <c r="L3" s="9"/>
      <c r="M3" s="9"/>
      <c r="N3" s="9"/>
      <c r="O3" s="9"/>
      <c r="P3" s="9"/>
      <c r="Q3" s="9"/>
    </row>
    <row r="4" spans="1:18" s="2" customFormat="1" ht="15">
      <c r="A4" s="77" t="s">
        <v>5</v>
      </c>
      <c r="B4" s="77"/>
      <c r="C4" s="75" t="s">
        <v>6</v>
      </c>
      <c r="D4" s="75"/>
      <c r="E4" s="75"/>
      <c r="F4" s="75"/>
      <c r="G4" s="75"/>
      <c r="H4" s="75"/>
      <c r="I4" s="75"/>
      <c r="J4" s="75"/>
      <c r="K4" s="9"/>
      <c r="L4" s="9"/>
      <c r="M4" s="9"/>
      <c r="N4" s="9"/>
      <c r="O4" s="9"/>
      <c r="P4" s="9"/>
      <c r="Q4" s="9"/>
    </row>
    <row r="5" spans="1:18" s="2" customFormat="1" ht="15">
      <c r="A5" s="76" t="s">
        <v>7</v>
      </c>
      <c r="B5" s="76"/>
      <c r="C5" s="85" t="s">
        <v>6</v>
      </c>
      <c r="D5" s="85"/>
      <c r="E5" s="85"/>
      <c r="F5" s="85"/>
      <c r="G5" s="85"/>
      <c r="H5" s="85"/>
      <c r="I5" s="85"/>
      <c r="J5" s="85"/>
      <c r="K5" s="12"/>
      <c r="L5" s="13" t="s">
        <v>8</v>
      </c>
      <c r="M5" s="12"/>
      <c r="N5" s="12"/>
      <c r="O5" s="12"/>
      <c r="P5" s="12"/>
      <c r="Q5" s="12"/>
    </row>
    <row r="6" spans="1:18" s="2" customFormat="1" ht="16" thickBot="1">
      <c r="A6" s="86"/>
      <c r="B6" s="86"/>
      <c r="C6" s="86"/>
      <c r="D6" s="15"/>
      <c r="E6" s="14"/>
      <c r="F6" s="16"/>
      <c r="G6" s="16"/>
      <c r="H6" s="17"/>
      <c r="I6" s="17"/>
      <c r="J6" s="17"/>
      <c r="K6" s="17"/>
      <c r="L6" s="18"/>
      <c r="M6" s="19"/>
      <c r="N6" s="12"/>
      <c r="O6" s="12"/>
      <c r="P6" s="12"/>
      <c r="Q6" s="20" t="s">
        <v>9</v>
      </c>
    </row>
    <row r="7" spans="1:18" s="2" customFormat="1" ht="15">
      <c r="A7" s="87" t="s">
        <v>10</v>
      </c>
      <c r="B7" s="90" t="s">
        <v>11</v>
      </c>
      <c r="C7" s="93" t="s">
        <v>12</v>
      </c>
      <c r="D7" s="93" t="s">
        <v>13</v>
      </c>
      <c r="E7" s="93" t="s">
        <v>14</v>
      </c>
      <c r="F7" s="97" t="s">
        <v>15</v>
      </c>
      <c r="G7" s="163" t="s">
        <v>16</v>
      </c>
      <c r="H7" s="158"/>
      <c r="I7" s="158"/>
      <c r="J7" s="158"/>
      <c r="K7" s="158"/>
      <c r="L7" s="158"/>
      <c r="M7" s="158"/>
      <c r="N7" s="158"/>
      <c r="O7" s="158"/>
      <c r="P7" s="158"/>
      <c r="Q7" s="159"/>
    </row>
    <row r="8" spans="1:18" s="2" customFormat="1" ht="15">
      <c r="A8" s="88"/>
      <c r="B8" s="91"/>
      <c r="C8" s="94"/>
      <c r="D8" s="94"/>
      <c r="E8" s="95"/>
      <c r="F8" s="98"/>
      <c r="G8" s="164"/>
      <c r="H8" s="78"/>
      <c r="I8" s="78"/>
      <c r="J8" s="78"/>
      <c r="K8" s="78"/>
      <c r="L8" s="78"/>
      <c r="M8" s="78"/>
      <c r="N8" s="78"/>
      <c r="O8" s="78"/>
      <c r="P8" s="78"/>
      <c r="Q8" s="160"/>
    </row>
    <row r="9" spans="1:18" s="2" customFormat="1" ht="15">
      <c r="A9" s="88"/>
      <c r="B9" s="91"/>
      <c r="C9" s="95"/>
      <c r="D9" s="95"/>
      <c r="E9" s="95"/>
      <c r="F9" s="78" t="s">
        <v>17</v>
      </c>
      <c r="G9" s="78" t="s">
        <v>17</v>
      </c>
      <c r="H9" s="161" t="s">
        <v>18</v>
      </c>
      <c r="I9" s="82"/>
      <c r="J9" s="82"/>
      <c r="K9" s="82"/>
      <c r="L9" s="161" t="s">
        <v>19</v>
      </c>
      <c r="M9" s="161" t="s">
        <v>20</v>
      </c>
      <c r="N9" s="82"/>
      <c r="O9" s="82"/>
      <c r="P9" s="82"/>
      <c r="Q9" s="162" t="s">
        <v>21</v>
      </c>
    </row>
    <row r="10" spans="1:18" s="2" customFormat="1" ht="16">
      <c r="A10" s="89"/>
      <c r="B10" s="92"/>
      <c r="C10" s="96"/>
      <c r="D10" s="96"/>
      <c r="E10" s="96"/>
      <c r="F10" s="79"/>
      <c r="G10" s="79"/>
      <c r="H10" s="21" t="s">
        <v>22</v>
      </c>
      <c r="I10" s="21" t="s">
        <v>23</v>
      </c>
      <c r="J10" s="21" t="s">
        <v>24</v>
      </c>
      <c r="K10" s="21" t="s">
        <v>25</v>
      </c>
      <c r="L10" s="82"/>
      <c r="M10" s="21" t="s">
        <v>22</v>
      </c>
      <c r="N10" s="21" t="s">
        <v>23</v>
      </c>
      <c r="O10" s="21" t="s">
        <v>24</v>
      </c>
      <c r="P10" s="21" t="s">
        <v>25</v>
      </c>
      <c r="Q10" s="84"/>
    </row>
    <row r="11" spans="1:18" s="2" customFormat="1" ht="16" thickBot="1">
      <c r="A11" s="22">
        <v>1</v>
      </c>
      <c r="B11" s="23">
        <v>2</v>
      </c>
      <c r="C11" s="23">
        <v>3</v>
      </c>
      <c r="D11" s="23">
        <v>4</v>
      </c>
      <c r="E11" s="23">
        <v>5</v>
      </c>
      <c r="F11" s="24">
        <v>6</v>
      </c>
      <c r="G11" s="23">
        <v>7</v>
      </c>
      <c r="H11" s="23">
        <v>8</v>
      </c>
      <c r="I11" s="24">
        <v>9</v>
      </c>
      <c r="J11" s="23">
        <v>10</v>
      </c>
      <c r="K11" s="24">
        <v>11</v>
      </c>
      <c r="L11" s="23">
        <v>12</v>
      </c>
      <c r="M11" s="24">
        <v>13</v>
      </c>
      <c r="N11" s="23">
        <v>14</v>
      </c>
      <c r="O11" s="24">
        <v>15</v>
      </c>
      <c r="P11" s="23">
        <v>16</v>
      </c>
      <c r="Q11" s="25">
        <v>17</v>
      </c>
    </row>
    <row r="12" spans="1:18" s="3" customFormat="1" ht="16">
      <c r="A12" s="101">
        <v>1</v>
      </c>
      <c r="B12" s="104" t="s">
        <v>66</v>
      </c>
      <c r="C12" s="107" t="s">
        <v>26</v>
      </c>
      <c r="D12" s="110">
        <v>9</v>
      </c>
      <c r="E12" s="26" t="s">
        <v>27</v>
      </c>
      <c r="F12" s="27">
        <f t="shared" ref="F12:F43" si="0">G12+L12+Q12</f>
        <v>206349.09270000001</v>
      </c>
      <c r="G12" s="28">
        <f>G13+G20</f>
        <v>117342</v>
      </c>
      <c r="H12" s="28">
        <f>H13+H20</f>
        <v>0</v>
      </c>
      <c r="I12" s="28">
        <f>I13+I20</f>
        <v>0</v>
      </c>
      <c r="J12" s="28">
        <f>J13+J20</f>
        <v>0</v>
      </c>
      <c r="K12" s="28">
        <f>K13+K20</f>
        <v>0</v>
      </c>
      <c r="L12" s="28">
        <f t="shared" ref="L12:L43" si="1">H12+I12+J12+K12</f>
        <v>0</v>
      </c>
      <c r="M12" s="28">
        <f>M13+M20</f>
        <v>0</v>
      </c>
      <c r="N12" s="28">
        <f>N13+N20</f>
        <v>0</v>
      </c>
      <c r="O12" s="28">
        <f>O13+O20</f>
        <v>89007.092700000008</v>
      </c>
      <c r="P12" s="28">
        <f>P13+P20</f>
        <v>0</v>
      </c>
      <c r="Q12" s="29">
        <f t="shared" ref="Q12:Q43" si="2">M12+N12+O12+P12</f>
        <v>89007.092700000008</v>
      </c>
    </row>
    <row r="13" spans="1:18" s="3" customFormat="1" ht="16">
      <c r="A13" s="102"/>
      <c r="B13" s="105"/>
      <c r="C13" s="108"/>
      <c r="D13" s="108"/>
      <c r="E13" s="30" t="s">
        <v>28</v>
      </c>
      <c r="F13" s="31">
        <f t="shared" si="0"/>
        <v>167763.49</v>
      </c>
      <c r="G13" s="32">
        <f>G15+G16+G17+G18+G19+G14</f>
        <v>95400</v>
      </c>
      <c r="H13" s="32">
        <f>H15+H16+H17+H18+H19+H14</f>
        <v>0</v>
      </c>
      <c r="I13" s="32">
        <f>I15+I16+I17+I18+I19+I14</f>
        <v>0</v>
      </c>
      <c r="J13" s="32">
        <f>J15+J16+J17+J18+J19+J14</f>
        <v>0</v>
      </c>
      <c r="K13" s="32">
        <f>K15+K16+K17+K18+K19+K14</f>
        <v>0</v>
      </c>
      <c r="L13" s="32">
        <f t="shared" si="1"/>
        <v>0</v>
      </c>
      <c r="M13" s="32">
        <f>M14+M15+M16+M17+M18+M19</f>
        <v>0</v>
      </c>
      <c r="N13" s="32">
        <f>N14+N15+N16+N17+N18+N19</f>
        <v>0</v>
      </c>
      <c r="O13" s="32">
        <f>O14+O15+O16+O17+O18+O19</f>
        <v>72363.490000000005</v>
      </c>
      <c r="P13" s="32">
        <f>P14+P15+P16+P17+P18+P19</f>
        <v>0</v>
      </c>
      <c r="Q13" s="33">
        <f t="shared" si="2"/>
        <v>72363.490000000005</v>
      </c>
    </row>
    <row r="14" spans="1:18" s="3" customFormat="1" ht="15">
      <c r="A14" s="102"/>
      <c r="B14" s="105"/>
      <c r="C14" s="108"/>
      <c r="D14" s="108"/>
      <c r="E14" s="34" t="s">
        <v>29</v>
      </c>
      <c r="F14" s="31">
        <f t="shared" si="0"/>
        <v>167763.49</v>
      </c>
      <c r="G14" s="63">
        <v>95400</v>
      </c>
      <c r="H14" s="36"/>
      <c r="I14" s="36"/>
      <c r="J14" s="36"/>
      <c r="K14" s="36"/>
      <c r="L14" s="32">
        <f t="shared" si="1"/>
        <v>0</v>
      </c>
      <c r="M14" s="36"/>
      <c r="N14" s="61"/>
      <c r="O14" s="36">
        <f>65000+7363.49</f>
        <v>72363.490000000005</v>
      </c>
      <c r="P14" s="36"/>
      <c r="Q14" s="33">
        <f t="shared" si="2"/>
        <v>72363.490000000005</v>
      </c>
      <c r="R14" s="72"/>
    </row>
    <row r="15" spans="1:18" s="3" customFormat="1" ht="15">
      <c r="A15" s="102"/>
      <c r="B15" s="105"/>
      <c r="C15" s="108"/>
      <c r="D15" s="108"/>
      <c r="E15" s="34" t="s">
        <v>30</v>
      </c>
      <c r="F15" s="31">
        <f t="shared" si="0"/>
        <v>0</v>
      </c>
      <c r="G15" s="36"/>
      <c r="H15" s="36"/>
      <c r="I15" s="36"/>
      <c r="J15" s="36"/>
      <c r="K15" s="36"/>
      <c r="L15" s="32">
        <f t="shared" si="1"/>
        <v>0</v>
      </c>
      <c r="M15" s="36"/>
      <c r="N15" s="36"/>
      <c r="O15" s="36"/>
      <c r="P15" s="36"/>
      <c r="Q15" s="33">
        <f t="shared" si="2"/>
        <v>0</v>
      </c>
    </row>
    <row r="16" spans="1:18" s="3" customFormat="1" ht="15">
      <c r="A16" s="102"/>
      <c r="B16" s="105"/>
      <c r="C16" s="108"/>
      <c r="D16" s="108"/>
      <c r="E16" s="34" t="s">
        <v>31</v>
      </c>
      <c r="F16" s="31">
        <f t="shared" si="0"/>
        <v>0</v>
      </c>
      <c r="G16" s="36"/>
      <c r="H16" s="36"/>
      <c r="I16" s="36"/>
      <c r="J16" s="36"/>
      <c r="K16" s="36"/>
      <c r="L16" s="32">
        <f t="shared" si="1"/>
        <v>0</v>
      </c>
      <c r="M16" s="36"/>
      <c r="N16" s="36"/>
      <c r="O16" s="36"/>
      <c r="P16" s="36"/>
      <c r="Q16" s="33">
        <f t="shared" si="2"/>
        <v>0</v>
      </c>
    </row>
    <row r="17" spans="1:17" s="3" customFormat="1" ht="15">
      <c r="A17" s="102"/>
      <c r="B17" s="105"/>
      <c r="C17" s="108"/>
      <c r="D17" s="108"/>
      <c r="E17" s="34" t="s">
        <v>32</v>
      </c>
      <c r="F17" s="31">
        <f t="shared" si="0"/>
        <v>0</v>
      </c>
      <c r="G17" s="36"/>
      <c r="H17" s="36"/>
      <c r="I17" s="36"/>
      <c r="J17" s="36"/>
      <c r="K17" s="36"/>
      <c r="L17" s="32">
        <f t="shared" si="1"/>
        <v>0</v>
      </c>
      <c r="M17" s="36"/>
      <c r="N17" s="36"/>
      <c r="O17" s="36"/>
      <c r="P17" s="36"/>
      <c r="Q17" s="33">
        <f t="shared" si="2"/>
        <v>0</v>
      </c>
    </row>
    <row r="18" spans="1:17" s="3" customFormat="1" ht="15">
      <c r="A18" s="102"/>
      <c r="B18" s="105"/>
      <c r="C18" s="108"/>
      <c r="D18" s="108"/>
      <c r="E18" s="34" t="s">
        <v>33</v>
      </c>
      <c r="F18" s="31">
        <f t="shared" si="0"/>
        <v>0</v>
      </c>
      <c r="G18" s="36"/>
      <c r="H18" s="36"/>
      <c r="I18" s="36"/>
      <c r="J18" s="36"/>
      <c r="K18" s="36"/>
      <c r="L18" s="32">
        <f t="shared" si="1"/>
        <v>0</v>
      </c>
      <c r="M18" s="36"/>
      <c r="N18" s="36"/>
      <c r="O18" s="36"/>
      <c r="P18" s="36"/>
      <c r="Q18" s="33">
        <f t="shared" si="2"/>
        <v>0</v>
      </c>
    </row>
    <row r="19" spans="1:17" s="3" customFormat="1" ht="15">
      <c r="A19" s="102"/>
      <c r="B19" s="105"/>
      <c r="C19" s="108"/>
      <c r="D19" s="108"/>
      <c r="E19" s="34" t="s">
        <v>34</v>
      </c>
      <c r="F19" s="31">
        <f t="shared" si="0"/>
        <v>0</v>
      </c>
      <c r="G19" s="36"/>
      <c r="H19" s="36"/>
      <c r="I19" s="36"/>
      <c r="J19" s="36"/>
      <c r="K19" s="36"/>
      <c r="L19" s="32">
        <f t="shared" si="1"/>
        <v>0</v>
      </c>
      <c r="M19" s="36"/>
      <c r="N19" s="36"/>
      <c r="O19" s="36"/>
      <c r="P19" s="36"/>
      <c r="Q19" s="33">
        <f t="shared" si="2"/>
        <v>0</v>
      </c>
    </row>
    <row r="20" spans="1:17" s="3" customFormat="1" ht="16">
      <c r="A20" s="102"/>
      <c r="B20" s="105"/>
      <c r="C20" s="108"/>
      <c r="D20" s="108"/>
      <c r="E20" s="30" t="s">
        <v>35</v>
      </c>
      <c r="F20" s="31">
        <f t="shared" si="0"/>
        <v>38585.602700000003</v>
      </c>
      <c r="G20" s="31">
        <f>G21+G22</f>
        <v>21942</v>
      </c>
      <c r="H20" s="31">
        <f>H21+H22</f>
        <v>0</v>
      </c>
      <c r="I20" s="31">
        <f>I21+I22</f>
        <v>0</v>
      </c>
      <c r="J20" s="31">
        <f>J21+J22</f>
        <v>0</v>
      </c>
      <c r="K20" s="31">
        <f>K21+K22</f>
        <v>0</v>
      </c>
      <c r="L20" s="32">
        <f t="shared" si="1"/>
        <v>0</v>
      </c>
      <c r="M20" s="32">
        <f>M21+M22</f>
        <v>0</v>
      </c>
      <c r="N20" s="32">
        <f>N21+N22</f>
        <v>0</v>
      </c>
      <c r="O20" s="32">
        <f>O21+O22</f>
        <v>16643.602700000003</v>
      </c>
      <c r="P20" s="32">
        <f>P21+P22</f>
        <v>0</v>
      </c>
      <c r="Q20" s="33">
        <f t="shared" si="2"/>
        <v>16643.602700000003</v>
      </c>
    </row>
    <row r="21" spans="1:17" s="3" customFormat="1" ht="15">
      <c r="A21" s="102"/>
      <c r="B21" s="105"/>
      <c r="C21" s="108"/>
      <c r="D21" s="108"/>
      <c r="E21" s="34" t="s">
        <v>36</v>
      </c>
      <c r="F21" s="31">
        <f t="shared" si="0"/>
        <v>38585.602700000003</v>
      </c>
      <c r="G21" s="36">
        <f>(G14*1.23)-G14</f>
        <v>21942</v>
      </c>
      <c r="H21" s="36"/>
      <c r="I21" s="36"/>
      <c r="J21" s="36"/>
      <c r="K21" s="36"/>
      <c r="L21" s="32">
        <f t="shared" si="1"/>
        <v>0</v>
      </c>
      <c r="M21" s="36"/>
      <c r="N21" s="36"/>
      <c r="O21" s="36">
        <f>O14*1.23-O14</f>
        <v>16643.602700000003</v>
      </c>
      <c r="P21" s="36"/>
      <c r="Q21" s="33">
        <f t="shared" si="2"/>
        <v>16643.602700000003</v>
      </c>
    </row>
    <row r="22" spans="1:17" s="3" customFormat="1" ht="16" thickBot="1">
      <c r="A22" s="103"/>
      <c r="B22" s="106"/>
      <c r="C22" s="109"/>
      <c r="D22" s="109"/>
      <c r="E22" s="37" t="s">
        <v>37</v>
      </c>
      <c r="F22" s="38">
        <f t="shared" si="0"/>
        <v>0</v>
      </c>
      <c r="G22" s="39"/>
      <c r="H22" s="39"/>
      <c r="I22" s="39"/>
      <c r="J22" s="39"/>
      <c r="K22" s="39"/>
      <c r="L22" s="40">
        <f t="shared" si="1"/>
        <v>0</v>
      </c>
      <c r="M22" s="39"/>
      <c r="N22" s="39"/>
      <c r="O22" s="39"/>
      <c r="P22" s="39"/>
      <c r="Q22" s="41">
        <f t="shared" si="2"/>
        <v>0</v>
      </c>
    </row>
    <row r="23" spans="1:17" s="3" customFormat="1" ht="16">
      <c r="A23" s="101">
        <v>2</v>
      </c>
      <c r="B23" s="104" t="s">
        <v>64</v>
      </c>
      <c r="C23" s="110" t="s">
        <v>26</v>
      </c>
      <c r="D23" s="110">
        <v>9</v>
      </c>
      <c r="E23" s="26" t="s">
        <v>27</v>
      </c>
      <c r="F23" s="27">
        <f t="shared" si="0"/>
        <v>229641</v>
      </c>
      <c r="G23" s="28">
        <f>G24+G31</f>
        <v>0</v>
      </c>
      <c r="H23" s="28">
        <f>H24+H31</f>
        <v>0</v>
      </c>
      <c r="I23" s="28">
        <f>I24+I31</f>
        <v>0</v>
      </c>
      <c r="J23" s="28">
        <f>J24+J31</f>
        <v>26691</v>
      </c>
      <c r="K23" s="28">
        <f>K24+K31</f>
        <v>123000</v>
      </c>
      <c r="L23" s="28">
        <f t="shared" si="1"/>
        <v>149691</v>
      </c>
      <c r="M23" s="28">
        <f>M24+M31</f>
        <v>61500</v>
      </c>
      <c r="N23" s="28">
        <f>N24+N31</f>
        <v>18450</v>
      </c>
      <c r="O23" s="28">
        <f>O24+O31</f>
        <v>0</v>
      </c>
      <c r="P23" s="28">
        <f>P24+P31</f>
        <v>0</v>
      </c>
      <c r="Q23" s="29">
        <f t="shared" si="2"/>
        <v>79950</v>
      </c>
    </row>
    <row r="24" spans="1:17" s="3" customFormat="1" ht="16">
      <c r="A24" s="102"/>
      <c r="B24" s="105"/>
      <c r="C24" s="108"/>
      <c r="D24" s="108"/>
      <c r="E24" s="30" t="s">
        <v>28</v>
      </c>
      <c r="F24" s="31">
        <f t="shared" si="0"/>
        <v>186700</v>
      </c>
      <c r="G24" s="32">
        <f>G26+G27+G28+G29+G30+G25</f>
        <v>0</v>
      </c>
      <c r="H24" s="32">
        <f>H26+H27+H28+H29+H30+H25</f>
        <v>0</v>
      </c>
      <c r="I24" s="32">
        <f>I26+I27+I28+I29+I30+I25</f>
        <v>0</v>
      </c>
      <c r="J24" s="32">
        <f>J26+J27+J28+J29+J30+J25</f>
        <v>21700</v>
      </c>
      <c r="K24" s="32">
        <f>K26+K27+K28+K29+K30+K25</f>
        <v>100000</v>
      </c>
      <c r="L24" s="32">
        <f t="shared" si="1"/>
        <v>121700</v>
      </c>
      <c r="M24" s="32">
        <f>M25+M26+M27+M28+M29+M30</f>
        <v>50000</v>
      </c>
      <c r="N24" s="32">
        <f>N25+N26+N27+N28+N29+N30</f>
        <v>15000</v>
      </c>
      <c r="O24" s="32">
        <f>O25+O26+O27+O28+O29+O30</f>
        <v>0</v>
      </c>
      <c r="P24" s="32">
        <f>P25+P26+P27+P28+P29+P30</f>
        <v>0</v>
      </c>
      <c r="Q24" s="33">
        <f t="shared" si="2"/>
        <v>65000</v>
      </c>
    </row>
    <row r="25" spans="1:17" s="3" customFormat="1" ht="15">
      <c r="A25" s="102"/>
      <c r="B25" s="105"/>
      <c r="C25" s="108"/>
      <c r="D25" s="108"/>
      <c r="E25" s="34" t="s">
        <v>29</v>
      </c>
      <c r="F25" s="31">
        <f t="shared" si="0"/>
        <v>186700</v>
      </c>
      <c r="G25" s="59"/>
      <c r="H25" s="60"/>
      <c r="I25" s="36"/>
      <c r="J25" s="61">
        <v>21700</v>
      </c>
      <c r="K25" s="36">
        <v>100000</v>
      </c>
      <c r="L25" s="32">
        <f>H25+I25+J25+K25</f>
        <v>121700</v>
      </c>
      <c r="M25" s="36">
        <v>50000</v>
      </c>
      <c r="N25" s="36">
        <v>15000</v>
      </c>
      <c r="O25" s="36"/>
      <c r="P25" s="36"/>
      <c r="Q25" s="33">
        <f t="shared" si="2"/>
        <v>65000</v>
      </c>
    </row>
    <row r="26" spans="1:17" s="3" customFormat="1" ht="15">
      <c r="A26" s="102"/>
      <c r="B26" s="105"/>
      <c r="C26" s="108"/>
      <c r="D26" s="108"/>
      <c r="E26" s="34" t="s">
        <v>30</v>
      </c>
      <c r="F26" s="31">
        <f t="shared" si="0"/>
        <v>0</v>
      </c>
      <c r="G26" s="60"/>
      <c r="H26" s="60"/>
      <c r="I26" s="60"/>
      <c r="J26" s="60"/>
      <c r="K26" s="60"/>
      <c r="L26" s="32">
        <f t="shared" si="1"/>
        <v>0</v>
      </c>
      <c r="M26" s="36"/>
      <c r="N26" s="36"/>
      <c r="O26" s="36"/>
      <c r="P26" s="36"/>
      <c r="Q26" s="33">
        <f t="shared" si="2"/>
        <v>0</v>
      </c>
    </row>
    <row r="27" spans="1:17" s="3" customFormat="1" ht="15">
      <c r="A27" s="102"/>
      <c r="B27" s="105"/>
      <c r="C27" s="108"/>
      <c r="D27" s="108"/>
      <c r="E27" s="34" t="s">
        <v>31</v>
      </c>
      <c r="F27" s="31">
        <f t="shared" si="0"/>
        <v>0</v>
      </c>
      <c r="G27" s="60"/>
      <c r="H27" s="60"/>
      <c r="I27" s="60"/>
      <c r="J27" s="60"/>
      <c r="K27" s="60"/>
      <c r="L27" s="32">
        <f t="shared" si="1"/>
        <v>0</v>
      </c>
      <c r="M27" s="36"/>
      <c r="N27" s="36"/>
      <c r="O27" s="36"/>
      <c r="P27" s="36"/>
      <c r="Q27" s="33">
        <f t="shared" si="2"/>
        <v>0</v>
      </c>
    </row>
    <row r="28" spans="1:17" s="3" customFormat="1" ht="15">
      <c r="A28" s="102"/>
      <c r="B28" s="105"/>
      <c r="C28" s="108"/>
      <c r="D28" s="108"/>
      <c r="E28" s="34" t="s">
        <v>32</v>
      </c>
      <c r="F28" s="31">
        <f t="shared" si="0"/>
        <v>0</v>
      </c>
      <c r="G28" s="60"/>
      <c r="H28" s="60"/>
      <c r="I28" s="60"/>
      <c r="J28" s="60"/>
      <c r="K28" s="60"/>
      <c r="L28" s="32">
        <f t="shared" si="1"/>
        <v>0</v>
      </c>
      <c r="M28" s="36"/>
      <c r="N28" s="36"/>
      <c r="O28" s="36"/>
      <c r="P28" s="36"/>
      <c r="Q28" s="33">
        <f t="shared" si="2"/>
        <v>0</v>
      </c>
    </row>
    <row r="29" spans="1:17" s="3" customFormat="1" ht="15">
      <c r="A29" s="102"/>
      <c r="B29" s="105"/>
      <c r="C29" s="108"/>
      <c r="D29" s="108"/>
      <c r="E29" s="34" t="s">
        <v>33</v>
      </c>
      <c r="F29" s="31">
        <f t="shared" si="0"/>
        <v>0</v>
      </c>
      <c r="G29" s="60"/>
      <c r="H29" s="60"/>
      <c r="I29" s="60"/>
      <c r="J29" s="60"/>
      <c r="K29" s="60"/>
      <c r="L29" s="32">
        <f t="shared" si="1"/>
        <v>0</v>
      </c>
      <c r="M29" s="36"/>
      <c r="N29" s="36"/>
      <c r="O29" s="36"/>
      <c r="P29" s="36"/>
      <c r="Q29" s="33">
        <f t="shared" si="2"/>
        <v>0</v>
      </c>
    </row>
    <row r="30" spans="1:17" s="3" customFormat="1" ht="15">
      <c r="A30" s="102"/>
      <c r="B30" s="105"/>
      <c r="C30" s="108"/>
      <c r="D30" s="108"/>
      <c r="E30" s="34" t="s">
        <v>34</v>
      </c>
      <c r="F30" s="31">
        <f t="shared" si="0"/>
        <v>0</v>
      </c>
      <c r="G30" s="60"/>
      <c r="H30" s="60"/>
      <c r="I30" s="60"/>
      <c r="J30" s="60"/>
      <c r="K30" s="60"/>
      <c r="L30" s="32">
        <f t="shared" si="1"/>
        <v>0</v>
      </c>
      <c r="M30" s="36"/>
      <c r="N30" s="36"/>
      <c r="O30" s="36"/>
      <c r="P30" s="36"/>
      <c r="Q30" s="33">
        <f t="shared" si="2"/>
        <v>0</v>
      </c>
    </row>
    <row r="31" spans="1:17" s="3" customFormat="1" ht="16">
      <c r="A31" s="102"/>
      <c r="B31" s="105"/>
      <c r="C31" s="108"/>
      <c r="D31" s="108"/>
      <c r="E31" s="30" t="s">
        <v>35</v>
      </c>
      <c r="F31" s="31">
        <f t="shared" si="0"/>
        <v>42941</v>
      </c>
      <c r="G31" s="31">
        <f>G32+G33</f>
        <v>0</v>
      </c>
      <c r="H31" s="31">
        <f>H32+H33</f>
        <v>0</v>
      </c>
      <c r="I31" s="31">
        <f>I32+I33</f>
        <v>0</v>
      </c>
      <c r="J31" s="31">
        <f>J32+J33</f>
        <v>4991</v>
      </c>
      <c r="K31" s="31">
        <f>K32+K33</f>
        <v>23000</v>
      </c>
      <c r="L31" s="32">
        <f t="shared" si="1"/>
        <v>27991</v>
      </c>
      <c r="M31" s="32">
        <f>M32+M33</f>
        <v>11500</v>
      </c>
      <c r="N31" s="32">
        <f>N32+N33</f>
        <v>3450</v>
      </c>
      <c r="O31" s="32">
        <f>O32+O33</f>
        <v>0</v>
      </c>
      <c r="P31" s="32">
        <f>P32+P33</f>
        <v>0</v>
      </c>
      <c r="Q31" s="33">
        <f t="shared" si="2"/>
        <v>14950</v>
      </c>
    </row>
    <row r="32" spans="1:17" s="3" customFormat="1" ht="15">
      <c r="A32" s="102"/>
      <c r="B32" s="105"/>
      <c r="C32" s="108"/>
      <c r="D32" s="108"/>
      <c r="E32" s="34" t="s">
        <v>36</v>
      </c>
      <c r="F32" s="31">
        <f t="shared" si="0"/>
        <v>42941</v>
      </c>
      <c r="G32" s="36"/>
      <c r="H32" s="36"/>
      <c r="I32" s="36"/>
      <c r="J32" s="36">
        <f>(J25*1.23)-J25</f>
        <v>4991</v>
      </c>
      <c r="K32" s="36">
        <f>(K25*1.23)-K25</f>
        <v>23000</v>
      </c>
      <c r="L32" s="32">
        <f>H32+I32+J32+K32</f>
        <v>27991</v>
      </c>
      <c r="M32" s="36">
        <v>11500</v>
      </c>
      <c r="N32" s="36">
        <v>3450</v>
      </c>
      <c r="O32" s="36"/>
      <c r="P32" s="36"/>
      <c r="Q32" s="33">
        <f t="shared" si="2"/>
        <v>14950</v>
      </c>
    </row>
    <row r="33" spans="1:18" s="3" customFormat="1" ht="16" thickBot="1">
      <c r="A33" s="103"/>
      <c r="B33" s="106"/>
      <c r="C33" s="109"/>
      <c r="D33" s="109"/>
      <c r="E33" s="37" t="s">
        <v>37</v>
      </c>
      <c r="F33" s="38">
        <f t="shared" si="0"/>
        <v>0</v>
      </c>
      <c r="G33" s="39"/>
      <c r="H33" s="39"/>
      <c r="I33" s="39"/>
      <c r="J33" s="39"/>
      <c r="K33" s="39"/>
      <c r="L33" s="40">
        <f t="shared" si="1"/>
        <v>0</v>
      </c>
      <c r="M33" s="39"/>
      <c r="N33" s="39"/>
      <c r="O33" s="39"/>
      <c r="P33" s="39"/>
      <c r="Q33" s="41">
        <f t="shared" si="2"/>
        <v>0</v>
      </c>
    </row>
    <row r="34" spans="1:18" s="3" customFormat="1" ht="16">
      <c r="A34" s="101">
        <v>3</v>
      </c>
      <c r="B34" s="104" t="s">
        <v>65</v>
      </c>
      <c r="C34" s="110" t="s">
        <v>26</v>
      </c>
      <c r="D34" s="110">
        <v>9</v>
      </c>
      <c r="E34" s="26" t="s">
        <v>27</v>
      </c>
      <c r="F34" s="27">
        <f t="shared" si="0"/>
        <v>373920</v>
      </c>
      <c r="G34" s="28">
        <f>G35+G42</f>
        <v>0</v>
      </c>
      <c r="H34" s="28">
        <f>H35+H42</f>
        <v>0</v>
      </c>
      <c r="I34" s="28">
        <f>I35+I42</f>
        <v>0</v>
      </c>
      <c r="J34" s="28">
        <f>J35+J42</f>
        <v>0</v>
      </c>
      <c r="K34" s="28">
        <f>K35+K42</f>
        <v>0</v>
      </c>
      <c r="L34" s="28">
        <f t="shared" si="1"/>
        <v>0</v>
      </c>
      <c r="M34" s="28">
        <f>M35+M42</f>
        <v>0</v>
      </c>
      <c r="N34" s="28">
        <f>N35+N42</f>
        <v>74784</v>
      </c>
      <c r="O34" s="28">
        <f>O35+O42</f>
        <v>224352</v>
      </c>
      <c r="P34" s="28">
        <f>P35+P42</f>
        <v>74784</v>
      </c>
      <c r="Q34" s="29">
        <f t="shared" si="2"/>
        <v>373920</v>
      </c>
    </row>
    <row r="35" spans="1:18" s="3" customFormat="1" ht="16">
      <c r="A35" s="102"/>
      <c r="B35" s="105"/>
      <c r="C35" s="108"/>
      <c r="D35" s="108"/>
      <c r="E35" s="30" t="s">
        <v>28</v>
      </c>
      <c r="F35" s="31">
        <f t="shared" si="0"/>
        <v>304000</v>
      </c>
      <c r="G35" s="32">
        <f>G37+G38+G39+G40+G41+G36</f>
        <v>0</v>
      </c>
      <c r="H35" s="32">
        <f>H37+H38+H39+H40+H41+H36</f>
        <v>0</v>
      </c>
      <c r="I35" s="32">
        <f>I37+I38+I39+I40+I41+I36</f>
        <v>0</v>
      </c>
      <c r="J35" s="32">
        <f>J37+J38+J39+J40+J41+J36</f>
        <v>0</v>
      </c>
      <c r="K35" s="32">
        <f>K37+K38+K39+K40+K41+K36</f>
        <v>0</v>
      </c>
      <c r="L35" s="32">
        <f t="shared" si="1"/>
        <v>0</v>
      </c>
      <c r="M35" s="32">
        <f>M36+M37+M38+M39+M40+M41</f>
        <v>0</v>
      </c>
      <c r="N35" s="32">
        <f>N36+N37+N38+N39+N40+N41</f>
        <v>60800</v>
      </c>
      <c r="O35" s="32">
        <f>O36+O37+O38+O39+O40+O41</f>
        <v>182400</v>
      </c>
      <c r="P35" s="32">
        <f>P36+P37+P38+P39+P40+P41</f>
        <v>60800</v>
      </c>
      <c r="Q35" s="33">
        <f t="shared" si="2"/>
        <v>304000</v>
      </c>
    </row>
    <row r="36" spans="1:18" s="3" customFormat="1" ht="15">
      <c r="A36" s="102"/>
      <c r="B36" s="105"/>
      <c r="C36" s="108"/>
      <c r="D36" s="108"/>
      <c r="E36" s="34" t="s">
        <v>29</v>
      </c>
      <c r="F36" s="31">
        <f t="shared" si="0"/>
        <v>304000</v>
      </c>
      <c r="G36" s="35"/>
      <c r="H36" s="36"/>
      <c r="I36" s="36"/>
      <c r="J36" s="36"/>
      <c r="K36" s="36"/>
      <c r="L36" s="32">
        <f t="shared" si="1"/>
        <v>0</v>
      </c>
      <c r="M36" s="36">
        <v>0</v>
      </c>
      <c r="N36" s="36">
        <v>60800</v>
      </c>
      <c r="O36" s="36">
        <v>182400</v>
      </c>
      <c r="P36" s="36">
        <v>60800</v>
      </c>
      <c r="Q36" s="33">
        <f t="shared" si="2"/>
        <v>304000</v>
      </c>
    </row>
    <row r="37" spans="1:18" s="3" customFormat="1" ht="15">
      <c r="A37" s="102"/>
      <c r="B37" s="105"/>
      <c r="C37" s="108"/>
      <c r="D37" s="108"/>
      <c r="E37" s="34" t="s">
        <v>30</v>
      </c>
      <c r="F37" s="31">
        <f t="shared" si="0"/>
        <v>0</v>
      </c>
      <c r="G37" s="36"/>
      <c r="H37" s="36"/>
      <c r="I37" s="36"/>
      <c r="J37" s="36"/>
      <c r="K37" s="36"/>
      <c r="L37" s="32">
        <f t="shared" si="1"/>
        <v>0</v>
      </c>
      <c r="M37" s="36"/>
      <c r="N37" s="36"/>
      <c r="O37" s="36"/>
      <c r="P37" s="36"/>
      <c r="Q37" s="33">
        <f t="shared" si="2"/>
        <v>0</v>
      </c>
    </row>
    <row r="38" spans="1:18" s="3" customFormat="1" ht="15">
      <c r="A38" s="102"/>
      <c r="B38" s="105"/>
      <c r="C38" s="108"/>
      <c r="D38" s="108"/>
      <c r="E38" s="34" t="s">
        <v>31</v>
      </c>
      <c r="F38" s="31">
        <f t="shared" si="0"/>
        <v>0</v>
      </c>
      <c r="G38" s="36"/>
      <c r="H38" s="36"/>
      <c r="I38" s="36"/>
      <c r="J38" s="36"/>
      <c r="K38" s="36"/>
      <c r="L38" s="32">
        <f t="shared" si="1"/>
        <v>0</v>
      </c>
      <c r="M38" s="36"/>
      <c r="N38" s="36"/>
      <c r="O38" s="36"/>
      <c r="P38" s="36"/>
      <c r="Q38" s="33">
        <f t="shared" si="2"/>
        <v>0</v>
      </c>
    </row>
    <row r="39" spans="1:18" s="3" customFormat="1" ht="15">
      <c r="A39" s="102"/>
      <c r="B39" s="105"/>
      <c r="C39" s="108"/>
      <c r="D39" s="108"/>
      <c r="E39" s="34" t="s">
        <v>32</v>
      </c>
      <c r="F39" s="31">
        <f t="shared" si="0"/>
        <v>0</v>
      </c>
      <c r="G39" s="36"/>
      <c r="H39" s="36"/>
      <c r="I39" s="36"/>
      <c r="J39" s="36"/>
      <c r="K39" s="36"/>
      <c r="L39" s="32">
        <f t="shared" si="1"/>
        <v>0</v>
      </c>
      <c r="M39" s="36"/>
      <c r="N39" s="36"/>
      <c r="O39" s="36"/>
      <c r="P39" s="36"/>
      <c r="Q39" s="33">
        <f t="shared" si="2"/>
        <v>0</v>
      </c>
    </row>
    <row r="40" spans="1:18" s="3" customFormat="1" ht="15">
      <c r="A40" s="102"/>
      <c r="B40" s="105"/>
      <c r="C40" s="108"/>
      <c r="D40" s="108"/>
      <c r="E40" s="34" t="s">
        <v>33</v>
      </c>
      <c r="F40" s="31">
        <f t="shared" si="0"/>
        <v>0</v>
      </c>
      <c r="G40" s="36"/>
      <c r="H40" s="36"/>
      <c r="I40" s="36"/>
      <c r="J40" s="36"/>
      <c r="K40" s="36"/>
      <c r="L40" s="32">
        <f t="shared" si="1"/>
        <v>0</v>
      </c>
      <c r="M40" s="36"/>
      <c r="N40" s="36"/>
      <c r="O40" s="36"/>
      <c r="P40" s="36"/>
      <c r="Q40" s="33">
        <f t="shared" si="2"/>
        <v>0</v>
      </c>
    </row>
    <row r="41" spans="1:18" s="3" customFormat="1" ht="15">
      <c r="A41" s="102"/>
      <c r="B41" s="105"/>
      <c r="C41" s="108"/>
      <c r="D41" s="108"/>
      <c r="E41" s="34" t="s">
        <v>34</v>
      </c>
      <c r="F41" s="31">
        <f t="shared" si="0"/>
        <v>0</v>
      </c>
      <c r="G41" s="36"/>
      <c r="H41" s="36"/>
      <c r="I41" s="36"/>
      <c r="J41" s="36"/>
      <c r="K41" s="36"/>
      <c r="L41" s="32">
        <f t="shared" si="1"/>
        <v>0</v>
      </c>
      <c r="M41" s="36"/>
      <c r="N41" s="36"/>
      <c r="O41" s="36"/>
      <c r="P41" s="36"/>
      <c r="Q41" s="33">
        <f t="shared" si="2"/>
        <v>0</v>
      </c>
    </row>
    <row r="42" spans="1:18" s="3" customFormat="1" ht="16">
      <c r="A42" s="102"/>
      <c r="B42" s="105"/>
      <c r="C42" s="108"/>
      <c r="D42" s="108"/>
      <c r="E42" s="30" t="s">
        <v>35</v>
      </c>
      <c r="F42" s="31">
        <f t="shared" si="0"/>
        <v>69920</v>
      </c>
      <c r="G42" s="31">
        <f>G43+G44</f>
        <v>0</v>
      </c>
      <c r="H42" s="31">
        <f>H43+H44</f>
        <v>0</v>
      </c>
      <c r="I42" s="31">
        <f>I43+I44</f>
        <v>0</v>
      </c>
      <c r="J42" s="31">
        <f>J43+J44</f>
        <v>0</v>
      </c>
      <c r="K42" s="31">
        <f>K43+K44</f>
        <v>0</v>
      </c>
      <c r="L42" s="32">
        <f t="shared" si="1"/>
        <v>0</v>
      </c>
      <c r="M42" s="31">
        <f>M43+M44</f>
        <v>0</v>
      </c>
      <c r="N42" s="31">
        <f>N43+N44</f>
        <v>13984</v>
      </c>
      <c r="O42" s="32">
        <f>O43+O44</f>
        <v>41952</v>
      </c>
      <c r="P42" s="32">
        <f>P43+P44</f>
        <v>13984</v>
      </c>
      <c r="Q42" s="33">
        <f t="shared" si="2"/>
        <v>69920</v>
      </c>
    </row>
    <row r="43" spans="1:18" s="3" customFormat="1" ht="15">
      <c r="A43" s="102"/>
      <c r="B43" s="105"/>
      <c r="C43" s="108"/>
      <c r="D43" s="108"/>
      <c r="E43" s="34" t="s">
        <v>36</v>
      </c>
      <c r="F43" s="31">
        <f t="shared" si="0"/>
        <v>69920</v>
      </c>
      <c r="G43" s="36"/>
      <c r="H43" s="36"/>
      <c r="I43" s="36"/>
      <c r="J43" s="36">
        <f>(J36*1.23)-J36</f>
        <v>0</v>
      </c>
      <c r="K43" s="36">
        <f>(K36*1.23)-K36</f>
        <v>0</v>
      </c>
      <c r="L43" s="32">
        <f t="shared" si="1"/>
        <v>0</v>
      </c>
      <c r="M43" s="36">
        <f>(M36*1.23)-M36</f>
        <v>0</v>
      </c>
      <c r="N43" s="36">
        <f>(N36*1.23)-N36</f>
        <v>13984</v>
      </c>
      <c r="O43" s="36">
        <f>(O36*1.23)-O36</f>
        <v>41952</v>
      </c>
      <c r="P43" s="36">
        <f>(P36*1.23)-P36</f>
        <v>13984</v>
      </c>
      <c r="Q43" s="33">
        <f t="shared" si="2"/>
        <v>69920</v>
      </c>
    </row>
    <row r="44" spans="1:18" s="3" customFormat="1" ht="16" thickBot="1">
      <c r="A44" s="103"/>
      <c r="B44" s="106"/>
      <c r="C44" s="109"/>
      <c r="D44" s="109"/>
      <c r="E44" s="37" t="s">
        <v>37</v>
      </c>
      <c r="F44" s="38">
        <f t="shared" ref="F44:F75" si="3">G44+L44+Q44</f>
        <v>0</v>
      </c>
      <c r="G44" s="39"/>
      <c r="H44" s="39"/>
      <c r="I44" s="39"/>
      <c r="J44" s="39"/>
      <c r="K44" s="39"/>
      <c r="L44" s="40">
        <f t="shared" ref="L44:L75" si="4">H44+I44+J44+K44</f>
        <v>0</v>
      </c>
      <c r="M44" s="39"/>
      <c r="N44" s="39"/>
      <c r="O44" s="39"/>
      <c r="P44" s="39"/>
      <c r="Q44" s="41">
        <f t="shared" ref="Q44:Q75" si="5">M44+N44+O44+P44</f>
        <v>0</v>
      </c>
    </row>
    <row r="45" spans="1:18" s="3" customFormat="1" ht="16">
      <c r="A45" s="113" t="s">
        <v>38</v>
      </c>
      <c r="B45" s="104" t="s">
        <v>68</v>
      </c>
      <c r="C45" s="110" t="s">
        <v>39</v>
      </c>
      <c r="D45" s="110">
        <v>1</v>
      </c>
      <c r="E45" s="26" t="s">
        <v>27</v>
      </c>
      <c r="F45" s="27">
        <f t="shared" si="3"/>
        <v>7020525.1200000001</v>
      </c>
      <c r="G45" s="28">
        <f>G46+G53</f>
        <v>0</v>
      </c>
      <c r="H45" s="28">
        <f>H46+H53</f>
        <v>0</v>
      </c>
      <c r="I45" s="28">
        <f>I46+I53</f>
        <v>0</v>
      </c>
      <c r="J45" s="28">
        <f>J46+J53</f>
        <v>0</v>
      </c>
      <c r="K45" s="28">
        <f>K46+K53</f>
        <v>0</v>
      </c>
      <c r="L45" s="28">
        <f t="shared" si="4"/>
        <v>0</v>
      </c>
      <c r="M45" s="28">
        <f>M46+M53</f>
        <v>0</v>
      </c>
      <c r="N45" s="28">
        <f>N46+N53</f>
        <v>3827946.96</v>
      </c>
      <c r="O45" s="28">
        <f>O46+O53</f>
        <v>2946578.16</v>
      </c>
      <c r="P45" s="28">
        <f>P46+P53</f>
        <v>246000</v>
      </c>
      <c r="Q45" s="29">
        <f t="shared" si="5"/>
        <v>7020525.1200000001</v>
      </c>
    </row>
    <row r="46" spans="1:18" s="3" customFormat="1" ht="16">
      <c r="A46" s="102"/>
      <c r="B46" s="105"/>
      <c r="C46" s="108"/>
      <c r="D46" s="108"/>
      <c r="E46" s="30" t="s">
        <v>28</v>
      </c>
      <c r="F46" s="31">
        <f t="shared" si="3"/>
        <v>5707744</v>
      </c>
      <c r="G46" s="32">
        <f>G48+G49+G50+G51+G52+G47</f>
        <v>0</v>
      </c>
      <c r="H46" s="32">
        <f>H48+H49+H50+H51+H52+H47</f>
        <v>0</v>
      </c>
      <c r="I46" s="32">
        <f>I48+I49+I50+I51+I52+I47</f>
        <v>0</v>
      </c>
      <c r="J46" s="32">
        <f>J48+J49+J50+J51+J52+J47</f>
        <v>0</v>
      </c>
      <c r="K46" s="32">
        <f>K48+K49+K50+K51+K52+K47</f>
        <v>0</v>
      </c>
      <c r="L46" s="32">
        <f t="shared" si="4"/>
        <v>0</v>
      </c>
      <c r="M46" s="32">
        <f>M47+M48+M49+M50+M51+M52</f>
        <v>0</v>
      </c>
      <c r="N46" s="32">
        <f>N47+N48+N49+N50+N51+N52</f>
        <v>3112152</v>
      </c>
      <c r="O46" s="32">
        <f>O47+O48+O49+O50+O51+O52</f>
        <v>2395592</v>
      </c>
      <c r="P46" s="32">
        <f>P47+P48+P49+P50+P51+P52</f>
        <v>200000</v>
      </c>
      <c r="Q46" s="33">
        <f t="shared" si="5"/>
        <v>5707744</v>
      </c>
      <c r="R46" s="72"/>
    </row>
    <row r="47" spans="1:18" s="3" customFormat="1" ht="15">
      <c r="A47" s="102"/>
      <c r="B47" s="105"/>
      <c r="C47" s="108"/>
      <c r="D47" s="108"/>
      <c r="E47" s="34" t="s">
        <v>29</v>
      </c>
      <c r="F47" s="68">
        <f t="shared" si="3"/>
        <v>5707744</v>
      </c>
      <c r="G47" s="35"/>
      <c r="H47" s="36"/>
      <c r="I47" s="36"/>
      <c r="J47" s="36"/>
      <c r="K47" s="36"/>
      <c r="L47" s="31">
        <f t="shared" si="4"/>
        <v>0</v>
      </c>
      <c r="M47" s="35">
        <v>0</v>
      </c>
      <c r="N47" s="35">
        <v>3112152</v>
      </c>
      <c r="O47" s="36">
        <v>2395592</v>
      </c>
      <c r="P47" s="36">
        <v>200000</v>
      </c>
      <c r="Q47" s="33">
        <f t="shared" si="5"/>
        <v>5707744</v>
      </c>
      <c r="R47" s="72"/>
    </row>
    <row r="48" spans="1:18" s="3" customFormat="1" ht="15">
      <c r="A48" s="102"/>
      <c r="B48" s="105"/>
      <c r="C48" s="108"/>
      <c r="D48" s="108"/>
      <c r="E48" s="34" t="s">
        <v>30</v>
      </c>
      <c r="F48" s="31">
        <f t="shared" si="3"/>
        <v>0</v>
      </c>
      <c r="G48" s="36"/>
      <c r="H48" s="36"/>
      <c r="I48" s="36"/>
      <c r="J48" s="36"/>
      <c r="K48" s="36"/>
      <c r="L48" s="31">
        <f t="shared" si="4"/>
        <v>0</v>
      </c>
      <c r="M48" s="36"/>
      <c r="N48" s="36"/>
      <c r="O48" s="36"/>
      <c r="P48" s="36"/>
      <c r="Q48" s="33">
        <f t="shared" si="5"/>
        <v>0</v>
      </c>
    </row>
    <row r="49" spans="1:17" s="3" customFormat="1" ht="15">
      <c r="A49" s="102"/>
      <c r="B49" s="105"/>
      <c r="C49" s="108"/>
      <c r="D49" s="108"/>
      <c r="E49" s="34" t="s">
        <v>31</v>
      </c>
      <c r="F49" s="31">
        <f t="shared" si="3"/>
        <v>0</v>
      </c>
      <c r="G49" s="36"/>
      <c r="H49" s="36"/>
      <c r="I49" s="36"/>
      <c r="J49" s="60"/>
      <c r="K49" s="36"/>
      <c r="L49" s="31">
        <f t="shared" si="4"/>
        <v>0</v>
      </c>
      <c r="M49" s="36"/>
      <c r="N49" s="36"/>
      <c r="O49" s="36"/>
      <c r="P49" s="36"/>
      <c r="Q49" s="33">
        <f t="shared" si="5"/>
        <v>0</v>
      </c>
    </row>
    <row r="50" spans="1:17" s="3" customFormat="1" ht="15">
      <c r="A50" s="102"/>
      <c r="B50" s="105"/>
      <c r="C50" s="108"/>
      <c r="D50" s="108"/>
      <c r="E50" s="34" t="s">
        <v>32</v>
      </c>
      <c r="F50" s="31">
        <f t="shared" si="3"/>
        <v>0</v>
      </c>
      <c r="G50" s="36"/>
      <c r="H50" s="36"/>
      <c r="I50" s="36"/>
      <c r="J50" s="36"/>
      <c r="K50" s="36"/>
      <c r="L50" s="31">
        <f t="shared" si="4"/>
        <v>0</v>
      </c>
      <c r="M50" s="36"/>
      <c r="N50" s="36"/>
      <c r="O50" s="36"/>
      <c r="P50" s="36"/>
      <c r="Q50" s="33">
        <f t="shared" si="5"/>
        <v>0</v>
      </c>
    </row>
    <row r="51" spans="1:17" s="3" customFormat="1" ht="15">
      <c r="A51" s="102"/>
      <c r="B51" s="105"/>
      <c r="C51" s="108"/>
      <c r="D51" s="108"/>
      <c r="E51" s="34" t="s">
        <v>33</v>
      </c>
      <c r="F51" s="31">
        <f t="shared" si="3"/>
        <v>0</v>
      </c>
      <c r="G51" s="36"/>
      <c r="H51" s="36"/>
      <c r="I51" s="36"/>
      <c r="J51" s="36"/>
      <c r="K51" s="36"/>
      <c r="L51" s="31">
        <f t="shared" si="4"/>
        <v>0</v>
      </c>
      <c r="M51" s="36"/>
      <c r="N51" s="36"/>
      <c r="O51" s="36"/>
      <c r="P51" s="36"/>
      <c r="Q51" s="33">
        <f t="shared" si="5"/>
        <v>0</v>
      </c>
    </row>
    <row r="52" spans="1:17" s="3" customFormat="1" ht="15">
      <c r="A52" s="102"/>
      <c r="B52" s="105"/>
      <c r="C52" s="108"/>
      <c r="D52" s="108"/>
      <c r="E52" s="34" t="s">
        <v>34</v>
      </c>
      <c r="F52" s="31">
        <f t="shared" si="3"/>
        <v>0</v>
      </c>
      <c r="G52" s="36"/>
      <c r="H52" s="36"/>
      <c r="I52" s="36"/>
      <c r="J52" s="36"/>
      <c r="K52" s="36"/>
      <c r="L52" s="31">
        <f t="shared" si="4"/>
        <v>0</v>
      </c>
      <c r="M52" s="36"/>
      <c r="N52" s="36"/>
      <c r="O52" s="36"/>
      <c r="P52" s="36"/>
      <c r="Q52" s="33">
        <f t="shared" si="5"/>
        <v>0</v>
      </c>
    </row>
    <row r="53" spans="1:17" s="3" customFormat="1" ht="16">
      <c r="A53" s="102"/>
      <c r="B53" s="105"/>
      <c r="C53" s="108"/>
      <c r="D53" s="108"/>
      <c r="E53" s="30" t="s">
        <v>35</v>
      </c>
      <c r="F53" s="31">
        <f t="shared" si="3"/>
        <v>1312781.1200000001</v>
      </c>
      <c r="G53" s="31">
        <f>G54+G55</f>
        <v>0</v>
      </c>
      <c r="H53" s="31">
        <f>H54+H55</f>
        <v>0</v>
      </c>
      <c r="I53" s="31">
        <f>I54+I55</f>
        <v>0</v>
      </c>
      <c r="J53" s="31">
        <f>J54+J55</f>
        <v>0</v>
      </c>
      <c r="K53" s="31">
        <f>K54+K55</f>
        <v>0</v>
      </c>
      <c r="L53" s="31">
        <f t="shared" si="4"/>
        <v>0</v>
      </c>
      <c r="M53" s="31">
        <f>M54+M55</f>
        <v>0</v>
      </c>
      <c r="N53" s="31">
        <f>N54+N55</f>
        <v>715794.96000000008</v>
      </c>
      <c r="O53" s="32">
        <f>O54+O55</f>
        <v>550986.16</v>
      </c>
      <c r="P53" s="32">
        <f>P54+P55</f>
        <v>46000</v>
      </c>
      <c r="Q53" s="33">
        <f t="shared" si="5"/>
        <v>1312781.1200000001</v>
      </c>
    </row>
    <row r="54" spans="1:17" s="3" customFormat="1" ht="15">
      <c r="A54" s="102"/>
      <c r="B54" s="105"/>
      <c r="C54" s="108"/>
      <c r="D54" s="108"/>
      <c r="E54" s="34" t="s">
        <v>36</v>
      </c>
      <c r="F54" s="31">
        <f t="shared" si="3"/>
        <v>1312781.1200000001</v>
      </c>
      <c r="G54" s="36"/>
      <c r="H54" s="36"/>
      <c r="I54" s="36"/>
      <c r="J54" s="36"/>
      <c r="K54" s="36">
        <f>(K47*1.23)-K47</f>
        <v>0</v>
      </c>
      <c r="L54" s="31">
        <f t="shared" si="4"/>
        <v>0</v>
      </c>
      <c r="M54" s="36">
        <f>M47*0.23</f>
        <v>0</v>
      </c>
      <c r="N54" s="36">
        <f>N47*0.23</f>
        <v>715794.96000000008</v>
      </c>
      <c r="O54" s="36">
        <f>O47*0.23</f>
        <v>550986.16</v>
      </c>
      <c r="P54" s="36">
        <f>P47*0.23</f>
        <v>46000</v>
      </c>
      <c r="Q54" s="33">
        <f t="shared" si="5"/>
        <v>1312781.1200000001</v>
      </c>
    </row>
    <row r="55" spans="1:17" s="3" customFormat="1" ht="60" customHeight="1" thickBot="1">
      <c r="A55" s="103"/>
      <c r="B55" s="106"/>
      <c r="C55" s="109"/>
      <c r="D55" s="109"/>
      <c r="E55" s="37" t="s">
        <v>37</v>
      </c>
      <c r="F55" s="38">
        <f t="shared" si="3"/>
        <v>0</v>
      </c>
      <c r="G55" s="39"/>
      <c r="H55" s="39"/>
      <c r="I55" s="39"/>
      <c r="J55" s="39"/>
      <c r="K55" s="39"/>
      <c r="L55" s="40">
        <f t="shared" si="4"/>
        <v>0</v>
      </c>
      <c r="M55" s="39"/>
      <c r="N55" s="39"/>
      <c r="O55" s="39"/>
      <c r="P55" s="39"/>
      <c r="Q55" s="41">
        <f t="shared" si="5"/>
        <v>0</v>
      </c>
    </row>
    <row r="56" spans="1:17" s="3" customFormat="1" ht="16">
      <c r="A56" s="101" t="s">
        <v>40</v>
      </c>
      <c r="B56" s="104" t="s">
        <v>69</v>
      </c>
      <c r="C56" s="110" t="s">
        <v>39</v>
      </c>
      <c r="D56" s="110">
        <v>1</v>
      </c>
      <c r="E56" s="26" t="s">
        <v>27</v>
      </c>
      <c r="F56" s="27">
        <f t="shared" si="3"/>
        <v>10252585.148400001</v>
      </c>
      <c r="G56" s="28">
        <f>G57+G64</f>
        <v>0</v>
      </c>
      <c r="H56" s="28">
        <f>H57+H64</f>
        <v>0</v>
      </c>
      <c r="I56" s="28">
        <f>I57+I64</f>
        <v>0</v>
      </c>
      <c r="J56" s="28">
        <f>J57+J64</f>
        <v>0</v>
      </c>
      <c r="K56" s="28">
        <f>K57+K64</f>
        <v>0</v>
      </c>
      <c r="L56" s="28">
        <f t="shared" si="4"/>
        <v>0</v>
      </c>
      <c r="M56" s="28">
        <f>M57+M64</f>
        <v>0</v>
      </c>
      <c r="N56" s="28">
        <f>N57+N64</f>
        <v>4369689.3899999997</v>
      </c>
      <c r="O56" s="28">
        <f>O57+O64</f>
        <v>5329395.7584000006</v>
      </c>
      <c r="P56" s="28">
        <f>P57+P64</f>
        <v>553500</v>
      </c>
      <c r="Q56" s="29">
        <f t="shared" si="5"/>
        <v>10252585.148400001</v>
      </c>
    </row>
    <row r="57" spans="1:17" s="3" customFormat="1" ht="16">
      <c r="A57" s="102"/>
      <c r="B57" s="105"/>
      <c r="C57" s="111"/>
      <c r="D57" s="108"/>
      <c r="E57" s="30" t="s">
        <v>28</v>
      </c>
      <c r="F57" s="31">
        <f t="shared" si="3"/>
        <v>8335435.0800000001</v>
      </c>
      <c r="G57" s="32">
        <f>G59+G60+G61+G62+G63+G58</f>
        <v>0</v>
      </c>
      <c r="H57" s="32">
        <f>H59+H60+H61+H62+H63+H58</f>
        <v>0</v>
      </c>
      <c r="I57" s="32">
        <f>I59+I60+I61+I62+I63+I58</f>
        <v>0</v>
      </c>
      <c r="J57" s="32">
        <f>J59+J60+J61+J62+J63+J58</f>
        <v>0</v>
      </c>
      <c r="K57" s="32">
        <f>K59+K60+K61+K62+K63+K58</f>
        <v>0</v>
      </c>
      <c r="L57" s="32">
        <f t="shared" si="4"/>
        <v>0</v>
      </c>
      <c r="M57" s="32">
        <f>M58+M59+M60+M61+M62+M63</f>
        <v>0</v>
      </c>
      <c r="N57" s="32">
        <f>N58+N59+N60+N61+N62+N63</f>
        <v>3552593</v>
      </c>
      <c r="O57" s="32">
        <f>O58+O59+O60+O61+O62+O63</f>
        <v>4332842.08</v>
      </c>
      <c r="P57" s="32">
        <f>P58+P59+P60+P61+P62+P63</f>
        <v>450000</v>
      </c>
      <c r="Q57" s="33">
        <f t="shared" si="5"/>
        <v>8335435.0800000001</v>
      </c>
    </row>
    <row r="58" spans="1:17" s="3" customFormat="1" ht="48" customHeight="1">
      <c r="A58" s="102"/>
      <c r="B58" s="105"/>
      <c r="C58" s="111"/>
      <c r="D58" s="108"/>
      <c r="E58" s="34" t="s">
        <v>29</v>
      </c>
      <c r="F58" s="31">
        <f t="shared" si="3"/>
        <v>8335435.0800000001</v>
      </c>
      <c r="G58" s="35"/>
      <c r="H58" s="36"/>
      <c r="I58" s="36"/>
      <c r="J58" s="36"/>
      <c r="K58" s="36"/>
      <c r="L58" s="31">
        <f t="shared" si="4"/>
        <v>0</v>
      </c>
      <c r="M58" s="36">
        <v>0</v>
      </c>
      <c r="N58" s="36">
        <v>3552593</v>
      </c>
      <c r="O58" s="36">
        <v>4332842.08</v>
      </c>
      <c r="P58" s="36">
        <v>450000</v>
      </c>
      <c r="Q58" s="33">
        <f t="shared" si="5"/>
        <v>8335435.0800000001</v>
      </c>
    </row>
    <row r="59" spans="1:17" s="3" customFormat="1" ht="15">
      <c r="A59" s="102"/>
      <c r="B59" s="105"/>
      <c r="C59" s="111"/>
      <c r="D59" s="108"/>
      <c r="E59" s="34" t="s">
        <v>30</v>
      </c>
      <c r="F59" s="31">
        <f t="shared" si="3"/>
        <v>0</v>
      </c>
      <c r="G59" s="36"/>
      <c r="H59" s="36"/>
      <c r="I59" s="36"/>
      <c r="J59" s="36"/>
      <c r="K59" s="36"/>
      <c r="L59" s="31">
        <f t="shared" si="4"/>
        <v>0</v>
      </c>
      <c r="M59" s="36"/>
      <c r="N59" s="36"/>
      <c r="O59" s="36"/>
      <c r="P59" s="36"/>
      <c r="Q59" s="33">
        <f t="shared" si="5"/>
        <v>0</v>
      </c>
    </row>
    <row r="60" spans="1:17" s="3" customFormat="1" ht="15">
      <c r="A60" s="102"/>
      <c r="B60" s="105"/>
      <c r="C60" s="111"/>
      <c r="D60" s="108"/>
      <c r="E60" s="34" t="s">
        <v>31</v>
      </c>
      <c r="F60" s="31">
        <f t="shared" si="3"/>
        <v>0</v>
      </c>
      <c r="G60" s="36"/>
      <c r="H60" s="36"/>
      <c r="I60" s="36"/>
      <c r="J60" s="36"/>
      <c r="K60" s="36"/>
      <c r="L60" s="31">
        <f t="shared" si="4"/>
        <v>0</v>
      </c>
      <c r="M60" s="36"/>
      <c r="N60" s="36"/>
      <c r="O60" s="36"/>
      <c r="P60" s="36"/>
      <c r="Q60" s="33">
        <f t="shared" si="5"/>
        <v>0</v>
      </c>
    </row>
    <row r="61" spans="1:17" s="3" customFormat="1" ht="15">
      <c r="A61" s="102"/>
      <c r="B61" s="105"/>
      <c r="C61" s="111"/>
      <c r="D61" s="108"/>
      <c r="E61" s="34" t="s">
        <v>32</v>
      </c>
      <c r="F61" s="31">
        <f t="shared" si="3"/>
        <v>0</v>
      </c>
      <c r="G61" s="36"/>
      <c r="H61" s="36"/>
      <c r="I61" s="36"/>
      <c r="J61" s="36"/>
      <c r="K61" s="36"/>
      <c r="L61" s="31">
        <f t="shared" si="4"/>
        <v>0</v>
      </c>
      <c r="M61" s="36"/>
      <c r="N61" s="36"/>
      <c r="O61" s="36"/>
      <c r="P61" s="36"/>
      <c r="Q61" s="33">
        <f t="shared" si="5"/>
        <v>0</v>
      </c>
    </row>
    <row r="62" spans="1:17" s="3" customFormat="1" ht="15">
      <c r="A62" s="102"/>
      <c r="B62" s="105"/>
      <c r="C62" s="111"/>
      <c r="D62" s="108"/>
      <c r="E62" s="34" t="s">
        <v>33</v>
      </c>
      <c r="F62" s="31">
        <f t="shared" si="3"/>
        <v>0</v>
      </c>
      <c r="G62" s="36"/>
      <c r="H62" s="36"/>
      <c r="I62" s="36"/>
      <c r="J62" s="36"/>
      <c r="K62" s="36"/>
      <c r="L62" s="31">
        <f t="shared" si="4"/>
        <v>0</v>
      </c>
      <c r="M62" s="36"/>
      <c r="N62" s="36"/>
      <c r="O62" s="36"/>
      <c r="P62" s="36"/>
      <c r="Q62" s="33">
        <f t="shared" si="5"/>
        <v>0</v>
      </c>
    </row>
    <row r="63" spans="1:17" s="3" customFormat="1" ht="15">
      <c r="A63" s="102"/>
      <c r="B63" s="105"/>
      <c r="C63" s="111"/>
      <c r="D63" s="108"/>
      <c r="E63" s="34" t="s">
        <v>34</v>
      </c>
      <c r="F63" s="31">
        <f t="shared" si="3"/>
        <v>0</v>
      </c>
      <c r="G63" s="36"/>
      <c r="H63" s="36"/>
      <c r="I63" s="36"/>
      <c r="J63" s="36"/>
      <c r="K63" s="36"/>
      <c r="L63" s="31">
        <f t="shared" si="4"/>
        <v>0</v>
      </c>
      <c r="M63" s="36"/>
      <c r="N63" s="36"/>
      <c r="O63" s="36"/>
      <c r="P63" s="36"/>
      <c r="Q63" s="33">
        <f t="shared" si="5"/>
        <v>0</v>
      </c>
    </row>
    <row r="64" spans="1:17" s="3" customFormat="1" ht="16">
      <c r="A64" s="102"/>
      <c r="B64" s="105"/>
      <c r="C64" s="111"/>
      <c r="D64" s="108"/>
      <c r="E64" s="30" t="s">
        <v>35</v>
      </c>
      <c r="F64" s="31">
        <f t="shared" si="3"/>
        <v>1917150.0684000002</v>
      </c>
      <c r="G64" s="31">
        <f>G65+G66</f>
        <v>0</v>
      </c>
      <c r="H64" s="31">
        <f>H65+H66</f>
        <v>0</v>
      </c>
      <c r="I64" s="31">
        <f>I65+I66</f>
        <v>0</v>
      </c>
      <c r="J64" s="31">
        <f>J65+J66</f>
        <v>0</v>
      </c>
      <c r="K64" s="31">
        <f>K65+K66</f>
        <v>0</v>
      </c>
      <c r="L64" s="31">
        <f t="shared" si="4"/>
        <v>0</v>
      </c>
      <c r="M64" s="31">
        <f>M65+M66</f>
        <v>0</v>
      </c>
      <c r="N64" s="31">
        <f>N65+N66</f>
        <v>817096.39</v>
      </c>
      <c r="O64" s="32">
        <f>O65+O66</f>
        <v>996553.67840000009</v>
      </c>
      <c r="P64" s="32">
        <f>P65+P66</f>
        <v>103500</v>
      </c>
      <c r="Q64" s="33">
        <f t="shared" si="5"/>
        <v>1917150.0684000002</v>
      </c>
    </row>
    <row r="65" spans="1:17" s="3" customFormat="1" ht="15">
      <c r="A65" s="102"/>
      <c r="B65" s="105"/>
      <c r="C65" s="111"/>
      <c r="D65" s="108"/>
      <c r="E65" s="34" t="s">
        <v>36</v>
      </c>
      <c r="F65" s="31">
        <f t="shared" si="3"/>
        <v>1917150.0684000002</v>
      </c>
      <c r="G65" s="36"/>
      <c r="H65" s="36"/>
      <c r="I65" s="36"/>
      <c r="J65" s="36"/>
      <c r="K65" s="36">
        <f>(K58*1.23)-K58</f>
        <v>0</v>
      </c>
      <c r="L65" s="31">
        <f t="shared" si="4"/>
        <v>0</v>
      </c>
      <c r="M65" s="36">
        <f>M58*0.23</f>
        <v>0</v>
      </c>
      <c r="N65" s="36">
        <f>N58*0.23</f>
        <v>817096.39</v>
      </c>
      <c r="O65" s="36">
        <f>O58*0.23</f>
        <v>996553.67840000009</v>
      </c>
      <c r="P65" s="36">
        <f>P58*0.23</f>
        <v>103500</v>
      </c>
      <c r="Q65" s="33">
        <f t="shared" si="5"/>
        <v>1917150.0684000002</v>
      </c>
    </row>
    <row r="66" spans="1:17" s="3" customFormat="1" ht="65.25" customHeight="1" thickBot="1">
      <c r="A66" s="103"/>
      <c r="B66" s="106"/>
      <c r="C66" s="112"/>
      <c r="D66" s="109"/>
      <c r="E66" s="37" t="s">
        <v>37</v>
      </c>
      <c r="F66" s="38">
        <f t="shared" si="3"/>
        <v>0</v>
      </c>
      <c r="G66" s="39"/>
      <c r="H66" s="39"/>
      <c r="I66" s="39"/>
      <c r="J66" s="39"/>
      <c r="K66" s="39"/>
      <c r="L66" s="40">
        <f t="shared" si="4"/>
        <v>0</v>
      </c>
      <c r="M66" s="39"/>
      <c r="N66" s="39"/>
      <c r="O66" s="39"/>
      <c r="P66" s="39"/>
      <c r="Q66" s="41">
        <f t="shared" si="5"/>
        <v>0</v>
      </c>
    </row>
    <row r="67" spans="1:17" s="3" customFormat="1" ht="16">
      <c r="A67" s="113" t="s">
        <v>41</v>
      </c>
      <c r="B67" s="114" t="s">
        <v>70</v>
      </c>
      <c r="C67" s="110" t="s">
        <v>39</v>
      </c>
      <c r="D67" s="110">
        <v>1</v>
      </c>
      <c r="E67" s="26" t="s">
        <v>27</v>
      </c>
      <c r="F67" s="27">
        <f t="shared" si="3"/>
        <v>1391256.69</v>
      </c>
      <c r="G67" s="28">
        <f>G68+G75</f>
        <v>0</v>
      </c>
      <c r="H67" s="28">
        <f>H68+H75</f>
        <v>0</v>
      </c>
      <c r="I67" s="28">
        <f>I68+I75</f>
        <v>0</v>
      </c>
      <c r="J67" s="28">
        <f>J68+J75</f>
        <v>0</v>
      </c>
      <c r="K67" s="28">
        <f>K68+K75</f>
        <v>0</v>
      </c>
      <c r="L67" s="28">
        <f t="shared" si="4"/>
        <v>0</v>
      </c>
      <c r="M67" s="28">
        <f>M68+M75</f>
        <v>0</v>
      </c>
      <c r="N67" s="28">
        <f>N68+N75</f>
        <v>1160907.21</v>
      </c>
      <c r="O67" s="28">
        <f>O68+O75</f>
        <v>230349.48</v>
      </c>
      <c r="P67" s="28">
        <f>P68+P75</f>
        <v>0</v>
      </c>
      <c r="Q67" s="29">
        <f t="shared" si="5"/>
        <v>1391256.69</v>
      </c>
    </row>
    <row r="68" spans="1:17" s="3" customFormat="1" ht="16">
      <c r="A68" s="102"/>
      <c r="B68" s="105"/>
      <c r="C68" s="108"/>
      <c r="D68" s="108"/>
      <c r="E68" s="30" t="s">
        <v>28</v>
      </c>
      <c r="F68" s="31">
        <f t="shared" si="3"/>
        <v>1131103</v>
      </c>
      <c r="G68" s="32">
        <f>G70+G71+G72+G73+G74+G69</f>
        <v>0</v>
      </c>
      <c r="H68" s="32">
        <f>H70+H71+H72+H73+H74+H69</f>
        <v>0</v>
      </c>
      <c r="I68" s="32">
        <f>I70+I71+I72+I73+I74+I69</f>
        <v>0</v>
      </c>
      <c r="J68" s="32">
        <f>J70+J71+J72+J73+J74+J69</f>
        <v>0</v>
      </c>
      <c r="K68" s="32">
        <f>K70+K71+K72+K73+K74+K69</f>
        <v>0</v>
      </c>
      <c r="L68" s="32">
        <f t="shared" si="4"/>
        <v>0</v>
      </c>
      <c r="M68" s="32">
        <f>M69+M70+M71+M72+M73+M74</f>
        <v>0</v>
      </c>
      <c r="N68" s="32">
        <f>N69+N70+N71+N72+N73+N74</f>
        <v>943827</v>
      </c>
      <c r="O68" s="32">
        <f>O69+O70+O71+O72+O73+O74</f>
        <v>187276</v>
      </c>
      <c r="P68" s="32">
        <f>P69+P70+P71+P72+P73+P74</f>
        <v>0</v>
      </c>
      <c r="Q68" s="33">
        <f t="shared" si="5"/>
        <v>1131103</v>
      </c>
    </row>
    <row r="69" spans="1:17" s="3" customFormat="1" ht="15">
      <c r="A69" s="102"/>
      <c r="B69" s="105"/>
      <c r="C69" s="108"/>
      <c r="D69" s="108"/>
      <c r="E69" s="34" t="s">
        <v>29</v>
      </c>
      <c r="F69" s="31">
        <f t="shared" si="3"/>
        <v>1131103</v>
      </c>
      <c r="G69" s="35"/>
      <c r="H69" s="36"/>
      <c r="I69" s="36"/>
      <c r="J69" s="36"/>
      <c r="K69" s="36"/>
      <c r="L69" s="31">
        <f t="shared" si="4"/>
        <v>0</v>
      </c>
      <c r="M69" s="36">
        <v>0</v>
      </c>
      <c r="N69" s="36">
        <v>943827</v>
      </c>
      <c r="O69" s="36">
        <v>187276</v>
      </c>
      <c r="P69" s="36"/>
      <c r="Q69" s="33">
        <f t="shared" si="5"/>
        <v>1131103</v>
      </c>
    </row>
    <row r="70" spans="1:17" s="3" customFormat="1" ht="15">
      <c r="A70" s="102"/>
      <c r="B70" s="105"/>
      <c r="C70" s="108"/>
      <c r="D70" s="108"/>
      <c r="E70" s="34" t="s">
        <v>30</v>
      </c>
      <c r="F70" s="31">
        <f t="shared" si="3"/>
        <v>0</v>
      </c>
      <c r="G70" s="36"/>
      <c r="H70" s="36"/>
      <c r="I70" s="36"/>
      <c r="J70" s="36"/>
      <c r="K70" s="36"/>
      <c r="L70" s="31">
        <f t="shared" si="4"/>
        <v>0</v>
      </c>
      <c r="M70" s="36"/>
      <c r="N70" s="36"/>
      <c r="O70" s="36"/>
      <c r="P70" s="36"/>
      <c r="Q70" s="33">
        <f t="shared" si="5"/>
        <v>0</v>
      </c>
    </row>
    <row r="71" spans="1:17" s="3" customFormat="1" ht="15">
      <c r="A71" s="102"/>
      <c r="B71" s="105"/>
      <c r="C71" s="108"/>
      <c r="D71" s="108"/>
      <c r="E71" s="34" t="s">
        <v>31</v>
      </c>
      <c r="F71" s="31">
        <f t="shared" si="3"/>
        <v>0</v>
      </c>
      <c r="G71" s="36"/>
      <c r="H71" s="36"/>
      <c r="I71" s="36"/>
      <c r="J71" s="36"/>
      <c r="K71" s="36"/>
      <c r="L71" s="31">
        <f t="shared" si="4"/>
        <v>0</v>
      </c>
      <c r="M71" s="36"/>
      <c r="N71" s="36"/>
      <c r="O71" s="36"/>
      <c r="P71" s="36"/>
      <c r="Q71" s="33">
        <f t="shared" si="5"/>
        <v>0</v>
      </c>
    </row>
    <row r="72" spans="1:17" s="3" customFormat="1" ht="15">
      <c r="A72" s="102"/>
      <c r="B72" s="105"/>
      <c r="C72" s="108"/>
      <c r="D72" s="108"/>
      <c r="E72" s="34" t="s">
        <v>32</v>
      </c>
      <c r="F72" s="31">
        <f t="shared" si="3"/>
        <v>0</v>
      </c>
      <c r="G72" s="36"/>
      <c r="H72" s="36"/>
      <c r="I72" s="36"/>
      <c r="J72" s="36"/>
      <c r="K72" s="36"/>
      <c r="L72" s="31">
        <f t="shared" si="4"/>
        <v>0</v>
      </c>
      <c r="M72" s="36"/>
      <c r="N72" s="36"/>
      <c r="O72" s="36"/>
      <c r="P72" s="36"/>
      <c r="Q72" s="33">
        <f t="shared" si="5"/>
        <v>0</v>
      </c>
    </row>
    <row r="73" spans="1:17" s="3" customFormat="1" ht="15">
      <c r="A73" s="102"/>
      <c r="B73" s="105"/>
      <c r="C73" s="108"/>
      <c r="D73" s="108"/>
      <c r="E73" s="34" t="s">
        <v>33</v>
      </c>
      <c r="F73" s="31">
        <f t="shared" si="3"/>
        <v>0</v>
      </c>
      <c r="G73" s="36"/>
      <c r="H73" s="36"/>
      <c r="I73" s="36"/>
      <c r="J73" s="36"/>
      <c r="K73" s="36"/>
      <c r="L73" s="31">
        <f t="shared" si="4"/>
        <v>0</v>
      </c>
      <c r="M73" s="36"/>
      <c r="N73" s="36"/>
      <c r="O73" s="36"/>
      <c r="P73" s="36"/>
      <c r="Q73" s="33">
        <f t="shared" si="5"/>
        <v>0</v>
      </c>
    </row>
    <row r="74" spans="1:17" s="3" customFormat="1" ht="15">
      <c r="A74" s="102"/>
      <c r="B74" s="105"/>
      <c r="C74" s="108"/>
      <c r="D74" s="108"/>
      <c r="E74" s="34" t="s">
        <v>34</v>
      </c>
      <c r="F74" s="31">
        <f t="shared" si="3"/>
        <v>0</v>
      </c>
      <c r="G74" s="36"/>
      <c r="H74" s="36"/>
      <c r="I74" s="36"/>
      <c r="J74" s="36"/>
      <c r="K74" s="36"/>
      <c r="L74" s="31">
        <f t="shared" si="4"/>
        <v>0</v>
      </c>
      <c r="M74" s="36"/>
      <c r="N74" s="36"/>
      <c r="O74" s="36"/>
      <c r="P74" s="36"/>
      <c r="Q74" s="33">
        <f t="shared" si="5"/>
        <v>0</v>
      </c>
    </row>
    <row r="75" spans="1:17" s="3" customFormat="1" ht="16">
      <c r="A75" s="102"/>
      <c r="B75" s="105"/>
      <c r="C75" s="108"/>
      <c r="D75" s="108"/>
      <c r="E75" s="30" t="s">
        <v>35</v>
      </c>
      <c r="F75" s="31">
        <f t="shared" si="3"/>
        <v>260153.69000000003</v>
      </c>
      <c r="G75" s="31">
        <f>G76+G77</f>
        <v>0</v>
      </c>
      <c r="H75" s="31">
        <f>H76+H77</f>
        <v>0</v>
      </c>
      <c r="I75" s="31">
        <f>I76+I77</f>
        <v>0</v>
      </c>
      <c r="J75" s="31">
        <f>J76+J77</f>
        <v>0</v>
      </c>
      <c r="K75" s="31">
        <f>K76+K77</f>
        <v>0</v>
      </c>
      <c r="L75" s="31">
        <f t="shared" si="4"/>
        <v>0</v>
      </c>
      <c r="M75" s="31">
        <f>M76+M77</f>
        <v>0</v>
      </c>
      <c r="N75" s="31">
        <f>N76+N77</f>
        <v>217080.21000000002</v>
      </c>
      <c r="O75" s="32">
        <f>O76+O77</f>
        <v>43073.48</v>
      </c>
      <c r="P75" s="32">
        <f>P76+P77</f>
        <v>0</v>
      </c>
      <c r="Q75" s="33">
        <f t="shared" si="5"/>
        <v>260153.69000000003</v>
      </c>
    </row>
    <row r="76" spans="1:17" s="3" customFormat="1" ht="15">
      <c r="A76" s="102"/>
      <c r="B76" s="105"/>
      <c r="C76" s="108"/>
      <c r="D76" s="108"/>
      <c r="E76" s="34" t="s">
        <v>36</v>
      </c>
      <c r="F76" s="31">
        <f t="shared" ref="F76:F107" si="6">G76+L76+Q76</f>
        <v>260153.69000000003</v>
      </c>
      <c r="G76" s="36"/>
      <c r="H76" s="36"/>
      <c r="I76" s="36"/>
      <c r="J76" s="36"/>
      <c r="K76" s="36">
        <f>(K69*1.23)-K69</f>
        <v>0</v>
      </c>
      <c r="L76" s="31">
        <f t="shared" ref="L76:L107" si="7">H76+I76+J76+K76</f>
        <v>0</v>
      </c>
      <c r="M76" s="36">
        <f>M69*0.23</f>
        <v>0</v>
      </c>
      <c r="N76" s="36">
        <f>N69*0.23</f>
        <v>217080.21000000002</v>
      </c>
      <c r="O76" s="36">
        <f>O69*0.23</f>
        <v>43073.48</v>
      </c>
      <c r="P76" s="36"/>
      <c r="Q76" s="33">
        <f t="shared" ref="Q76:Q107" si="8">M76+N76+O76+P76</f>
        <v>260153.69000000003</v>
      </c>
    </row>
    <row r="77" spans="1:17" s="3" customFormat="1" ht="64.5" customHeight="1" thickBot="1">
      <c r="A77" s="103"/>
      <c r="B77" s="106"/>
      <c r="C77" s="109"/>
      <c r="D77" s="109"/>
      <c r="E77" s="37" t="s">
        <v>37</v>
      </c>
      <c r="F77" s="38">
        <f t="shared" si="6"/>
        <v>0</v>
      </c>
      <c r="G77" s="39"/>
      <c r="H77" s="39"/>
      <c r="I77" s="39"/>
      <c r="J77" s="39"/>
      <c r="K77" s="39"/>
      <c r="L77" s="40">
        <f t="shared" si="7"/>
        <v>0</v>
      </c>
      <c r="M77" s="39"/>
      <c r="N77" s="39"/>
      <c r="O77" s="39"/>
      <c r="P77" s="39"/>
      <c r="Q77" s="41">
        <f t="shared" si="8"/>
        <v>0</v>
      </c>
    </row>
    <row r="78" spans="1:17" s="3" customFormat="1" ht="16">
      <c r="A78" s="101" t="s">
        <v>42</v>
      </c>
      <c r="B78" s="114" t="s">
        <v>71</v>
      </c>
      <c r="C78" s="110" t="s">
        <v>39</v>
      </c>
      <c r="D78" s="110">
        <v>1</v>
      </c>
      <c r="E78" s="26" t="s">
        <v>27</v>
      </c>
      <c r="F78" s="27">
        <f t="shared" si="6"/>
        <v>4887972.03</v>
      </c>
      <c r="G78" s="28">
        <f>G79+G86</f>
        <v>0</v>
      </c>
      <c r="H78" s="28">
        <f>H79+H86</f>
        <v>0</v>
      </c>
      <c r="I78" s="28">
        <f>I79+I86</f>
        <v>0</v>
      </c>
      <c r="J78" s="28">
        <f>J79+J86</f>
        <v>0</v>
      </c>
      <c r="K78" s="28">
        <f>K79+K86</f>
        <v>0</v>
      </c>
      <c r="L78" s="28">
        <f t="shared" si="7"/>
        <v>0</v>
      </c>
      <c r="M78" s="28">
        <f>M79+M86</f>
        <v>0</v>
      </c>
      <c r="N78" s="28">
        <f>N79+N86</f>
        <v>1768548.12</v>
      </c>
      <c r="O78" s="28">
        <f>O79+O86</f>
        <v>2627423.91</v>
      </c>
      <c r="P78" s="28">
        <f>P79+P86</f>
        <v>492000</v>
      </c>
      <c r="Q78" s="29">
        <f t="shared" si="8"/>
        <v>4887972.03</v>
      </c>
    </row>
    <row r="79" spans="1:17" s="3" customFormat="1" ht="16">
      <c r="A79" s="102"/>
      <c r="B79" s="105"/>
      <c r="C79" s="108"/>
      <c r="D79" s="108"/>
      <c r="E79" s="30" t="s">
        <v>28</v>
      </c>
      <c r="F79" s="31">
        <f t="shared" si="6"/>
        <v>3973961</v>
      </c>
      <c r="G79" s="32">
        <f>G81+G82+G83+G84+G85+G80</f>
        <v>0</v>
      </c>
      <c r="H79" s="32">
        <f>H81+H82+H83+H84+H85+H80</f>
        <v>0</v>
      </c>
      <c r="I79" s="32">
        <f>I81+I82+I83+I84+I85+I80</f>
        <v>0</v>
      </c>
      <c r="J79" s="32">
        <f>J81+J82+J83+J84+J85+J80</f>
        <v>0</v>
      </c>
      <c r="K79" s="32">
        <f>K81+K82+K83+K84+K85+K80</f>
        <v>0</v>
      </c>
      <c r="L79" s="32">
        <f t="shared" si="7"/>
        <v>0</v>
      </c>
      <c r="M79" s="32">
        <f>M80+M81+M82+M83+M84+M85</f>
        <v>0</v>
      </c>
      <c r="N79" s="32">
        <f>N80+N81+N82+N83+N84+N85</f>
        <v>1437844</v>
      </c>
      <c r="O79" s="32">
        <f>O80+O81+O82+O83+O84+O85</f>
        <v>2136117</v>
      </c>
      <c r="P79" s="32">
        <f>P80+P81+P82+P83+P84+P85</f>
        <v>400000</v>
      </c>
      <c r="Q79" s="33">
        <f t="shared" si="8"/>
        <v>3973961</v>
      </c>
    </row>
    <row r="80" spans="1:17" s="3" customFormat="1" ht="15">
      <c r="A80" s="102"/>
      <c r="B80" s="105"/>
      <c r="C80" s="108"/>
      <c r="D80" s="108"/>
      <c r="E80" s="34" t="s">
        <v>29</v>
      </c>
      <c r="F80" s="31">
        <f t="shared" si="6"/>
        <v>3973961</v>
      </c>
      <c r="G80" s="35"/>
      <c r="H80" s="36"/>
      <c r="I80" s="36"/>
      <c r="J80" s="36"/>
      <c r="K80" s="36"/>
      <c r="L80" s="31">
        <f t="shared" si="7"/>
        <v>0</v>
      </c>
      <c r="M80" s="36">
        <v>0</v>
      </c>
      <c r="N80" s="36">
        <v>1437844</v>
      </c>
      <c r="O80" s="36">
        <v>2136117</v>
      </c>
      <c r="P80" s="36">
        <v>400000</v>
      </c>
      <c r="Q80" s="33">
        <f t="shared" si="8"/>
        <v>3973961</v>
      </c>
    </row>
    <row r="81" spans="1:17" s="3" customFormat="1" ht="15">
      <c r="A81" s="102"/>
      <c r="B81" s="105"/>
      <c r="C81" s="108"/>
      <c r="D81" s="108"/>
      <c r="E81" s="34" t="s">
        <v>30</v>
      </c>
      <c r="F81" s="31">
        <f t="shared" si="6"/>
        <v>0</v>
      </c>
      <c r="G81" s="36"/>
      <c r="H81" s="36"/>
      <c r="I81" s="36"/>
      <c r="J81" s="36"/>
      <c r="K81" s="36"/>
      <c r="L81" s="31">
        <f t="shared" si="7"/>
        <v>0</v>
      </c>
      <c r="M81" s="36"/>
      <c r="N81" s="36"/>
      <c r="O81" s="36"/>
      <c r="P81" s="36"/>
      <c r="Q81" s="33">
        <f t="shared" si="8"/>
        <v>0</v>
      </c>
    </row>
    <row r="82" spans="1:17" s="3" customFormat="1" ht="15">
      <c r="A82" s="102"/>
      <c r="B82" s="105"/>
      <c r="C82" s="108"/>
      <c r="D82" s="108"/>
      <c r="E82" s="34" t="s">
        <v>31</v>
      </c>
      <c r="F82" s="31">
        <f t="shared" si="6"/>
        <v>0</v>
      </c>
      <c r="G82" s="36"/>
      <c r="H82" s="36"/>
      <c r="I82" s="36"/>
      <c r="J82" s="36"/>
      <c r="K82" s="36"/>
      <c r="L82" s="31">
        <f t="shared" si="7"/>
        <v>0</v>
      </c>
      <c r="M82" s="36"/>
      <c r="N82" s="36"/>
      <c r="O82" s="36"/>
      <c r="P82" s="36"/>
      <c r="Q82" s="33">
        <f t="shared" si="8"/>
        <v>0</v>
      </c>
    </row>
    <row r="83" spans="1:17" s="3" customFormat="1" ht="15">
      <c r="A83" s="102"/>
      <c r="B83" s="105"/>
      <c r="C83" s="108"/>
      <c r="D83" s="108"/>
      <c r="E83" s="34" t="s">
        <v>32</v>
      </c>
      <c r="F83" s="31">
        <f t="shared" si="6"/>
        <v>0</v>
      </c>
      <c r="G83" s="36"/>
      <c r="H83" s="36"/>
      <c r="I83" s="36"/>
      <c r="J83" s="36"/>
      <c r="K83" s="36"/>
      <c r="L83" s="31">
        <f t="shared" si="7"/>
        <v>0</v>
      </c>
      <c r="M83" s="36"/>
      <c r="N83" s="36"/>
      <c r="O83" s="36"/>
      <c r="P83" s="36"/>
      <c r="Q83" s="33">
        <f t="shared" si="8"/>
        <v>0</v>
      </c>
    </row>
    <row r="84" spans="1:17" s="3" customFormat="1" ht="15">
      <c r="A84" s="102"/>
      <c r="B84" s="105"/>
      <c r="C84" s="108"/>
      <c r="D84" s="108"/>
      <c r="E84" s="34" t="s">
        <v>33</v>
      </c>
      <c r="F84" s="31">
        <f t="shared" si="6"/>
        <v>0</v>
      </c>
      <c r="G84" s="36"/>
      <c r="H84" s="36"/>
      <c r="I84" s="36"/>
      <c r="J84" s="36"/>
      <c r="K84" s="36"/>
      <c r="L84" s="31">
        <f t="shared" si="7"/>
        <v>0</v>
      </c>
      <c r="M84" s="36"/>
      <c r="N84" s="36"/>
      <c r="O84" s="36"/>
      <c r="P84" s="36"/>
      <c r="Q84" s="33">
        <f t="shared" si="8"/>
        <v>0</v>
      </c>
    </row>
    <row r="85" spans="1:17" s="3" customFormat="1" ht="15">
      <c r="A85" s="102"/>
      <c r="B85" s="105"/>
      <c r="C85" s="108"/>
      <c r="D85" s="108"/>
      <c r="E85" s="34" t="s">
        <v>34</v>
      </c>
      <c r="F85" s="31">
        <f t="shared" si="6"/>
        <v>0</v>
      </c>
      <c r="G85" s="36"/>
      <c r="H85" s="36"/>
      <c r="I85" s="36"/>
      <c r="J85" s="36"/>
      <c r="K85" s="36"/>
      <c r="L85" s="31">
        <f t="shared" si="7"/>
        <v>0</v>
      </c>
      <c r="M85" s="36"/>
      <c r="N85" s="36"/>
      <c r="O85" s="36"/>
      <c r="P85" s="36"/>
      <c r="Q85" s="33">
        <f t="shared" si="8"/>
        <v>0</v>
      </c>
    </row>
    <row r="86" spans="1:17" s="3" customFormat="1" ht="16">
      <c r="A86" s="102"/>
      <c r="B86" s="105"/>
      <c r="C86" s="108"/>
      <c r="D86" s="108"/>
      <c r="E86" s="30" t="s">
        <v>35</v>
      </c>
      <c r="F86" s="31">
        <f t="shared" si="6"/>
        <v>914011.03</v>
      </c>
      <c r="G86" s="31">
        <f>G87+G88</f>
        <v>0</v>
      </c>
      <c r="H86" s="31">
        <f>H87+H88</f>
        <v>0</v>
      </c>
      <c r="I86" s="31">
        <f>I87+I88</f>
        <v>0</v>
      </c>
      <c r="J86" s="31">
        <f>J87+J88</f>
        <v>0</v>
      </c>
      <c r="K86" s="31">
        <f>K87+K88</f>
        <v>0</v>
      </c>
      <c r="L86" s="31">
        <f t="shared" si="7"/>
        <v>0</v>
      </c>
      <c r="M86" s="31">
        <f>M87+M88</f>
        <v>0</v>
      </c>
      <c r="N86" s="31">
        <f>N87+N88</f>
        <v>330704.12</v>
      </c>
      <c r="O86" s="32">
        <f>O87+O88</f>
        <v>491306.91000000003</v>
      </c>
      <c r="P86" s="32">
        <f>P87+P88</f>
        <v>92000</v>
      </c>
      <c r="Q86" s="33">
        <f t="shared" si="8"/>
        <v>914011.03</v>
      </c>
    </row>
    <row r="87" spans="1:17" s="3" customFormat="1" ht="15">
      <c r="A87" s="102"/>
      <c r="B87" s="105"/>
      <c r="C87" s="108"/>
      <c r="D87" s="108"/>
      <c r="E87" s="34" t="s">
        <v>36</v>
      </c>
      <c r="F87" s="31">
        <f t="shared" si="6"/>
        <v>914011.03</v>
      </c>
      <c r="G87" s="36"/>
      <c r="H87" s="36"/>
      <c r="I87" s="36"/>
      <c r="J87" s="36"/>
      <c r="K87" s="36">
        <f>(K80*1.23)-K80</f>
        <v>0</v>
      </c>
      <c r="L87" s="31">
        <f t="shared" si="7"/>
        <v>0</v>
      </c>
      <c r="M87" s="36">
        <f>M80*0.23</f>
        <v>0</v>
      </c>
      <c r="N87" s="36">
        <f>N80*0.23</f>
        <v>330704.12</v>
      </c>
      <c r="O87" s="36">
        <f>O80*0.23</f>
        <v>491306.91000000003</v>
      </c>
      <c r="P87" s="36">
        <f>P80*0.23</f>
        <v>92000</v>
      </c>
      <c r="Q87" s="33">
        <f t="shared" si="8"/>
        <v>914011.03</v>
      </c>
    </row>
    <row r="88" spans="1:17" s="3" customFormat="1" ht="122.25" customHeight="1" thickBot="1">
      <c r="A88" s="103"/>
      <c r="B88" s="106"/>
      <c r="C88" s="109"/>
      <c r="D88" s="109"/>
      <c r="E88" s="37" t="s">
        <v>37</v>
      </c>
      <c r="F88" s="38">
        <f t="shared" si="6"/>
        <v>0</v>
      </c>
      <c r="G88" s="39"/>
      <c r="H88" s="39"/>
      <c r="I88" s="39"/>
      <c r="J88" s="39"/>
      <c r="K88" s="62"/>
      <c r="L88" s="40">
        <f t="shared" si="7"/>
        <v>0</v>
      </c>
      <c r="M88" s="39"/>
      <c r="N88" s="39"/>
      <c r="O88" s="39"/>
      <c r="P88" s="39"/>
      <c r="Q88" s="41">
        <f t="shared" si="8"/>
        <v>0</v>
      </c>
    </row>
    <row r="89" spans="1:17" s="3" customFormat="1" ht="16">
      <c r="A89" s="123" t="s">
        <v>43</v>
      </c>
      <c r="B89" s="114" t="s">
        <v>72</v>
      </c>
      <c r="C89" s="110" t="s">
        <v>39</v>
      </c>
      <c r="D89" s="110">
        <v>1</v>
      </c>
      <c r="E89" s="26" t="s">
        <v>27</v>
      </c>
      <c r="F89" s="27">
        <f t="shared" si="6"/>
        <v>4400856.3599999994</v>
      </c>
      <c r="G89" s="28">
        <f>G90+G97</f>
        <v>0</v>
      </c>
      <c r="H89" s="28">
        <f>H90+H97</f>
        <v>0</v>
      </c>
      <c r="I89" s="28">
        <f>I90+I97</f>
        <v>0</v>
      </c>
      <c r="J89" s="28">
        <f>J90+J97</f>
        <v>0</v>
      </c>
      <c r="K89" s="28">
        <f>K90+K97</f>
        <v>0</v>
      </c>
      <c r="L89" s="28">
        <f t="shared" si="7"/>
        <v>0</v>
      </c>
      <c r="M89" s="28">
        <f>M90+M97</f>
        <v>0</v>
      </c>
      <c r="N89" s="28">
        <f>N90+N97</f>
        <v>2098721.94</v>
      </c>
      <c r="O89" s="28">
        <f>O90+O97</f>
        <v>1687134.42</v>
      </c>
      <c r="P89" s="28">
        <f>P90+P97</f>
        <v>615000</v>
      </c>
      <c r="Q89" s="29">
        <f t="shared" si="8"/>
        <v>4400856.3599999994</v>
      </c>
    </row>
    <row r="90" spans="1:17" s="3" customFormat="1" ht="16">
      <c r="A90" s="102"/>
      <c r="B90" s="105"/>
      <c r="C90" s="108"/>
      <c r="D90" s="108"/>
      <c r="E90" s="30" t="s">
        <v>28</v>
      </c>
      <c r="F90" s="31">
        <f t="shared" si="6"/>
        <v>3577932</v>
      </c>
      <c r="G90" s="32">
        <f>G92+G93+G94+G95+G96+G91</f>
        <v>0</v>
      </c>
      <c r="H90" s="32">
        <f>H92+H93+H94+H95+H96+H91</f>
        <v>0</v>
      </c>
      <c r="I90" s="32">
        <f>I92+I93+I94+I95+I96+I91</f>
        <v>0</v>
      </c>
      <c r="J90" s="32">
        <f>J92+J93+J94+J95+J96+J91</f>
        <v>0</v>
      </c>
      <c r="K90" s="32">
        <f>K92+K93+K94+K95+K96+K91</f>
        <v>0</v>
      </c>
      <c r="L90" s="32">
        <f t="shared" si="7"/>
        <v>0</v>
      </c>
      <c r="M90" s="32">
        <f>M91+M92+M93+M94+M95+M96</f>
        <v>0</v>
      </c>
      <c r="N90" s="32">
        <f>N91+N92+N93+N94+N95+N96</f>
        <v>1706278</v>
      </c>
      <c r="O90" s="32">
        <f>O91+O92+O93+O94+O95+O96</f>
        <v>1371654</v>
      </c>
      <c r="P90" s="32">
        <f>P91+P92+P93+P94+P95+P96</f>
        <v>500000</v>
      </c>
      <c r="Q90" s="33">
        <f t="shared" si="8"/>
        <v>3577932</v>
      </c>
    </row>
    <row r="91" spans="1:17" s="3" customFormat="1" ht="15">
      <c r="A91" s="102"/>
      <c r="B91" s="105"/>
      <c r="C91" s="108"/>
      <c r="D91" s="108"/>
      <c r="E91" s="34" t="s">
        <v>29</v>
      </c>
      <c r="F91" s="31">
        <f t="shared" si="6"/>
        <v>3577932</v>
      </c>
      <c r="G91" s="35"/>
      <c r="H91" s="36"/>
      <c r="I91" s="36"/>
      <c r="J91" s="36"/>
      <c r="K91" s="36"/>
      <c r="L91" s="31">
        <f t="shared" si="7"/>
        <v>0</v>
      </c>
      <c r="M91" s="36">
        <v>0</v>
      </c>
      <c r="N91" s="36">
        <v>1706278</v>
      </c>
      <c r="O91" s="36">
        <v>1371654</v>
      </c>
      <c r="P91" s="36">
        <v>500000</v>
      </c>
      <c r="Q91" s="33">
        <f t="shared" si="8"/>
        <v>3577932</v>
      </c>
    </row>
    <row r="92" spans="1:17" s="3" customFormat="1" ht="15">
      <c r="A92" s="102"/>
      <c r="B92" s="105"/>
      <c r="C92" s="108"/>
      <c r="D92" s="108"/>
      <c r="E92" s="34" t="s">
        <v>30</v>
      </c>
      <c r="F92" s="31">
        <f t="shared" si="6"/>
        <v>0</v>
      </c>
      <c r="G92" s="36"/>
      <c r="H92" s="36"/>
      <c r="I92" s="36"/>
      <c r="J92" s="36"/>
      <c r="K92" s="36"/>
      <c r="L92" s="31">
        <f t="shared" si="7"/>
        <v>0</v>
      </c>
      <c r="M92" s="36"/>
      <c r="N92" s="36"/>
      <c r="O92" s="36"/>
      <c r="P92" s="36"/>
      <c r="Q92" s="33">
        <f t="shared" si="8"/>
        <v>0</v>
      </c>
    </row>
    <row r="93" spans="1:17" s="3" customFormat="1" ht="15">
      <c r="A93" s="102"/>
      <c r="B93" s="105"/>
      <c r="C93" s="108"/>
      <c r="D93" s="108"/>
      <c r="E93" s="34" t="s">
        <v>31</v>
      </c>
      <c r="F93" s="31">
        <f t="shared" si="6"/>
        <v>0</v>
      </c>
      <c r="G93" s="36"/>
      <c r="H93" s="36"/>
      <c r="I93" s="36"/>
      <c r="J93" s="36"/>
      <c r="K93" s="36"/>
      <c r="L93" s="31">
        <f t="shared" si="7"/>
        <v>0</v>
      </c>
      <c r="M93" s="36"/>
      <c r="N93" s="36"/>
      <c r="O93" s="36"/>
      <c r="P93" s="36"/>
      <c r="Q93" s="33">
        <f t="shared" si="8"/>
        <v>0</v>
      </c>
    </row>
    <row r="94" spans="1:17" s="3" customFormat="1" ht="15">
      <c r="A94" s="102"/>
      <c r="B94" s="105"/>
      <c r="C94" s="108"/>
      <c r="D94" s="108"/>
      <c r="E94" s="34" t="s">
        <v>32</v>
      </c>
      <c r="F94" s="31">
        <f t="shared" si="6"/>
        <v>0</v>
      </c>
      <c r="G94" s="36"/>
      <c r="H94" s="36"/>
      <c r="I94" s="36"/>
      <c r="J94" s="36"/>
      <c r="K94" s="36"/>
      <c r="L94" s="31">
        <f t="shared" si="7"/>
        <v>0</v>
      </c>
      <c r="M94" s="36"/>
      <c r="N94" s="36"/>
      <c r="O94" s="36"/>
      <c r="P94" s="36"/>
      <c r="Q94" s="33">
        <f t="shared" si="8"/>
        <v>0</v>
      </c>
    </row>
    <row r="95" spans="1:17" s="3" customFormat="1" ht="15">
      <c r="A95" s="102"/>
      <c r="B95" s="105"/>
      <c r="C95" s="108"/>
      <c r="D95" s="108"/>
      <c r="E95" s="34" t="s">
        <v>33</v>
      </c>
      <c r="F95" s="31">
        <f t="shared" si="6"/>
        <v>0</v>
      </c>
      <c r="G95" s="36"/>
      <c r="H95" s="36"/>
      <c r="I95" s="36"/>
      <c r="J95" s="36"/>
      <c r="K95" s="36"/>
      <c r="L95" s="31">
        <f t="shared" si="7"/>
        <v>0</v>
      </c>
      <c r="M95" s="36"/>
      <c r="N95" s="36"/>
      <c r="O95" s="36"/>
      <c r="P95" s="36"/>
      <c r="Q95" s="33">
        <f t="shared" si="8"/>
        <v>0</v>
      </c>
    </row>
    <row r="96" spans="1:17" s="3" customFormat="1" ht="15">
      <c r="A96" s="102"/>
      <c r="B96" s="105"/>
      <c r="C96" s="108"/>
      <c r="D96" s="108"/>
      <c r="E96" s="34" t="s">
        <v>34</v>
      </c>
      <c r="F96" s="31">
        <f t="shared" si="6"/>
        <v>0</v>
      </c>
      <c r="G96" s="36"/>
      <c r="H96" s="36"/>
      <c r="I96" s="36"/>
      <c r="J96" s="36"/>
      <c r="K96" s="36"/>
      <c r="L96" s="31">
        <f t="shared" si="7"/>
        <v>0</v>
      </c>
      <c r="M96" s="36"/>
      <c r="N96" s="36"/>
      <c r="O96" s="36"/>
      <c r="P96" s="36"/>
      <c r="Q96" s="33">
        <f t="shared" si="8"/>
        <v>0</v>
      </c>
    </row>
    <row r="97" spans="1:17" s="3" customFormat="1" ht="16">
      <c r="A97" s="102"/>
      <c r="B97" s="105"/>
      <c r="C97" s="108"/>
      <c r="D97" s="108"/>
      <c r="E97" s="30" t="s">
        <v>35</v>
      </c>
      <c r="F97" s="31">
        <f t="shared" si="6"/>
        <v>822924.3600000001</v>
      </c>
      <c r="G97" s="31">
        <f>G98+G99</f>
        <v>0</v>
      </c>
      <c r="H97" s="31">
        <f>H98+H99</f>
        <v>0</v>
      </c>
      <c r="I97" s="31">
        <f>I98+I99</f>
        <v>0</v>
      </c>
      <c r="J97" s="31">
        <f>J98+J99</f>
        <v>0</v>
      </c>
      <c r="K97" s="31">
        <f>K98+K99</f>
        <v>0</v>
      </c>
      <c r="L97" s="31">
        <f t="shared" si="7"/>
        <v>0</v>
      </c>
      <c r="M97" s="31">
        <f>M98+M99</f>
        <v>0</v>
      </c>
      <c r="N97" s="31">
        <f>N98+N99</f>
        <v>392443.94</v>
      </c>
      <c r="O97" s="32">
        <f>O98+O99</f>
        <v>315480.42000000004</v>
      </c>
      <c r="P97" s="32">
        <f>P98+P99</f>
        <v>115000</v>
      </c>
      <c r="Q97" s="33">
        <f t="shared" si="8"/>
        <v>822924.3600000001</v>
      </c>
    </row>
    <row r="98" spans="1:17" s="3" customFormat="1" ht="15">
      <c r="A98" s="102"/>
      <c r="B98" s="105"/>
      <c r="C98" s="108"/>
      <c r="D98" s="108"/>
      <c r="E98" s="34" t="s">
        <v>36</v>
      </c>
      <c r="F98" s="31">
        <f t="shared" si="6"/>
        <v>822924.3600000001</v>
      </c>
      <c r="G98" s="36"/>
      <c r="H98" s="36"/>
      <c r="I98" s="36"/>
      <c r="J98" s="36"/>
      <c r="K98" s="36">
        <f>(K91*1.23)-K91</f>
        <v>0</v>
      </c>
      <c r="L98" s="31">
        <f t="shared" si="7"/>
        <v>0</v>
      </c>
      <c r="M98" s="36">
        <f>M91*0.23</f>
        <v>0</v>
      </c>
      <c r="N98" s="36">
        <f>N91*0.23</f>
        <v>392443.94</v>
      </c>
      <c r="O98" s="36">
        <f>O91*0.23</f>
        <v>315480.42000000004</v>
      </c>
      <c r="P98" s="36">
        <f>P91*0.23</f>
        <v>115000</v>
      </c>
      <c r="Q98" s="33">
        <f t="shared" si="8"/>
        <v>822924.3600000001</v>
      </c>
    </row>
    <row r="99" spans="1:17" s="3" customFormat="1" ht="135.75" customHeight="1" thickBot="1">
      <c r="A99" s="103"/>
      <c r="B99" s="106"/>
      <c r="C99" s="109"/>
      <c r="D99" s="109"/>
      <c r="E99" s="37" t="s">
        <v>37</v>
      </c>
      <c r="F99" s="38">
        <f t="shared" si="6"/>
        <v>0</v>
      </c>
      <c r="G99" s="39"/>
      <c r="H99" s="39"/>
      <c r="I99" s="39"/>
      <c r="J99" s="39"/>
      <c r="K99" s="62"/>
      <c r="L99" s="40">
        <f t="shared" si="7"/>
        <v>0</v>
      </c>
      <c r="M99" s="39"/>
      <c r="N99" s="39"/>
      <c r="O99" s="39"/>
      <c r="P99" s="39"/>
      <c r="Q99" s="41">
        <f t="shared" si="8"/>
        <v>0</v>
      </c>
    </row>
    <row r="100" spans="1:17" s="3" customFormat="1" ht="16">
      <c r="A100" s="115" t="s">
        <v>44</v>
      </c>
      <c r="B100" s="118" t="s">
        <v>73</v>
      </c>
      <c r="C100" s="107" t="s">
        <v>39</v>
      </c>
      <c r="D100" s="107">
        <v>1</v>
      </c>
      <c r="E100" s="26" t="s">
        <v>27</v>
      </c>
      <c r="F100" s="27">
        <f t="shared" si="6"/>
        <v>7260343.1399999997</v>
      </c>
      <c r="G100" s="28">
        <f>G101+G108</f>
        <v>0</v>
      </c>
      <c r="H100" s="28">
        <f>H101+H108</f>
        <v>0</v>
      </c>
      <c r="I100" s="28">
        <f>I101+I108</f>
        <v>0</v>
      </c>
      <c r="J100" s="28">
        <f>J101+J108</f>
        <v>0</v>
      </c>
      <c r="K100" s="28">
        <f>K101+K108</f>
        <v>0</v>
      </c>
      <c r="L100" s="28">
        <f t="shared" si="7"/>
        <v>0</v>
      </c>
      <c r="M100" s="28">
        <f>M101+M108</f>
        <v>0</v>
      </c>
      <c r="N100" s="28">
        <f>N101+N108</f>
        <v>2945621.2199999997</v>
      </c>
      <c r="O100" s="28">
        <f>O101+O108</f>
        <v>3945721.92</v>
      </c>
      <c r="P100" s="28">
        <f>P101+P108</f>
        <v>369000</v>
      </c>
      <c r="Q100" s="29">
        <f t="shared" si="8"/>
        <v>7260343.1399999997</v>
      </c>
    </row>
    <row r="101" spans="1:17" s="3" customFormat="1" ht="16">
      <c r="A101" s="116"/>
      <c r="B101" s="119"/>
      <c r="C101" s="121"/>
      <c r="D101" s="121"/>
      <c r="E101" s="30" t="s">
        <v>28</v>
      </c>
      <c r="F101" s="31">
        <f t="shared" si="6"/>
        <v>5902718</v>
      </c>
      <c r="G101" s="32">
        <f>G103+G104+G105+G106+G107+G102</f>
        <v>0</v>
      </c>
      <c r="H101" s="32">
        <f>H103+H104+H105+H106+H107+H102</f>
        <v>0</v>
      </c>
      <c r="I101" s="32">
        <f>I103+I104+I105+I106+I107+I102</f>
        <v>0</v>
      </c>
      <c r="J101" s="32">
        <f>J103+J104+J105+J106+J107+J102</f>
        <v>0</v>
      </c>
      <c r="K101" s="32">
        <f>K103+K104+K105+K106+K107+K102</f>
        <v>0</v>
      </c>
      <c r="L101" s="32">
        <f t="shared" si="7"/>
        <v>0</v>
      </c>
      <c r="M101" s="32">
        <f>M102+M103+M104+M105+M106+M107</f>
        <v>0</v>
      </c>
      <c r="N101" s="32">
        <f>N102+N103+N104+N105+N106+N107</f>
        <v>2394814</v>
      </c>
      <c r="O101" s="32">
        <f>O102+O103+O104+O105+O106+O107</f>
        <v>3207904</v>
      </c>
      <c r="P101" s="32">
        <f>P102+P103+P104+P105+P106+P107</f>
        <v>300000</v>
      </c>
      <c r="Q101" s="33">
        <f t="shared" si="8"/>
        <v>5902718</v>
      </c>
    </row>
    <row r="102" spans="1:17" s="3" customFormat="1" ht="15">
      <c r="A102" s="116"/>
      <c r="B102" s="119"/>
      <c r="C102" s="121"/>
      <c r="D102" s="121"/>
      <c r="E102" s="34" t="s">
        <v>29</v>
      </c>
      <c r="F102" s="31">
        <f t="shared" si="6"/>
        <v>5902718</v>
      </c>
      <c r="G102" s="35"/>
      <c r="H102" s="36"/>
      <c r="I102" s="36"/>
      <c r="J102" s="36"/>
      <c r="K102" s="36"/>
      <c r="L102" s="31">
        <f t="shared" si="7"/>
        <v>0</v>
      </c>
      <c r="M102" s="36">
        <v>0</v>
      </c>
      <c r="N102" s="36">
        <v>2394814</v>
      </c>
      <c r="O102" s="36">
        <v>3207904</v>
      </c>
      <c r="P102" s="36">
        <v>300000</v>
      </c>
      <c r="Q102" s="33">
        <f t="shared" si="8"/>
        <v>5902718</v>
      </c>
    </row>
    <row r="103" spans="1:17" s="3" customFormat="1" ht="15">
      <c r="A103" s="116"/>
      <c r="B103" s="119"/>
      <c r="C103" s="121"/>
      <c r="D103" s="121"/>
      <c r="E103" s="34" t="s">
        <v>30</v>
      </c>
      <c r="F103" s="31">
        <f t="shared" si="6"/>
        <v>0</v>
      </c>
      <c r="G103" s="36"/>
      <c r="H103" s="36"/>
      <c r="I103" s="36"/>
      <c r="J103" s="36"/>
      <c r="K103" s="36"/>
      <c r="L103" s="31">
        <f t="shared" si="7"/>
        <v>0</v>
      </c>
      <c r="M103" s="36"/>
      <c r="N103" s="36"/>
      <c r="O103" s="36"/>
      <c r="P103" s="36"/>
      <c r="Q103" s="33">
        <f t="shared" si="8"/>
        <v>0</v>
      </c>
    </row>
    <row r="104" spans="1:17" s="3" customFormat="1" ht="15">
      <c r="A104" s="116"/>
      <c r="B104" s="119"/>
      <c r="C104" s="121"/>
      <c r="D104" s="121"/>
      <c r="E104" s="34" t="s">
        <v>31</v>
      </c>
      <c r="F104" s="31">
        <f t="shared" si="6"/>
        <v>0</v>
      </c>
      <c r="G104" s="36"/>
      <c r="H104" s="36"/>
      <c r="I104" s="36"/>
      <c r="J104" s="36"/>
      <c r="K104" s="36"/>
      <c r="L104" s="31">
        <f t="shared" si="7"/>
        <v>0</v>
      </c>
      <c r="M104" s="36"/>
      <c r="N104" s="36"/>
      <c r="O104" s="36"/>
      <c r="P104" s="36"/>
      <c r="Q104" s="33">
        <f t="shared" si="8"/>
        <v>0</v>
      </c>
    </row>
    <row r="105" spans="1:17" s="3" customFormat="1" ht="15">
      <c r="A105" s="116"/>
      <c r="B105" s="119"/>
      <c r="C105" s="121"/>
      <c r="D105" s="121"/>
      <c r="E105" s="34" t="s">
        <v>32</v>
      </c>
      <c r="F105" s="31">
        <f t="shared" si="6"/>
        <v>0</v>
      </c>
      <c r="G105" s="36"/>
      <c r="H105" s="36"/>
      <c r="I105" s="36"/>
      <c r="J105" s="36"/>
      <c r="K105" s="36"/>
      <c r="L105" s="31">
        <f t="shared" si="7"/>
        <v>0</v>
      </c>
      <c r="M105" s="36"/>
      <c r="N105" s="36"/>
      <c r="O105" s="36"/>
      <c r="P105" s="36"/>
      <c r="Q105" s="33">
        <f t="shared" si="8"/>
        <v>0</v>
      </c>
    </row>
    <row r="106" spans="1:17" s="3" customFormat="1" ht="15">
      <c r="A106" s="116"/>
      <c r="B106" s="119"/>
      <c r="C106" s="121"/>
      <c r="D106" s="121"/>
      <c r="E106" s="34" t="s">
        <v>33</v>
      </c>
      <c r="F106" s="31">
        <f t="shared" si="6"/>
        <v>0</v>
      </c>
      <c r="G106" s="36"/>
      <c r="H106" s="36"/>
      <c r="I106" s="36"/>
      <c r="J106" s="36"/>
      <c r="K106" s="36"/>
      <c r="L106" s="31">
        <f t="shared" si="7"/>
        <v>0</v>
      </c>
      <c r="M106" s="36"/>
      <c r="N106" s="36"/>
      <c r="O106" s="36"/>
      <c r="P106" s="36"/>
      <c r="Q106" s="33">
        <f t="shared" si="8"/>
        <v>0</v>
      </c>
    </row>
    <row r="107" spans="1:17" s="3" customFormat="1" ht="15">
      <c r="A107" s="116"/>
      <c r="B107" s="119"/>
      <c r="C107" s="121"/>
      <c r="D107" s="121"/>
      <c r="E107" s="34" t="s">
        <v>34</v>
      </c>
      <c r="F107" s="31">
        <f t="shared" si="6"/>
        <v>0</v>
      </c>
      <c r="G107" s="36"/>
      <c r="H107" s="36"/>
      <c r="I107" s="36"/>
      <c r="J107" s="36"/>
      <c r="K107" s="36"/>
      <c r="L107" s="31">
        <f t="shared" si="7"/>
        <v>0</v>
      </c>
      <c r="M107" s="36"/>
      <c r="N107" s="36"/>
      <c r="O107" s="36"/>
      <c r="P107" s="36"/>
      <c r="Q107" s="33">
        <f t="shared" si="8"/>
        <v>0</v>
      </c>
    </row>
    <row r="108" spans="1:17" s="3" customFormat="1" ht="16">
      <c r="A108" s="116"/>
      <c r="B108" s="119"/>
      <c r="C108" s="121"/>
      <c r="D108" s="121"/>
      <c r="E108" s="30" t="s">
        <v>35</v>
      </c>
      <c r="F108" s="31">
        <f t="shared" ref="F108:F139" si="9">G108+L108+Q108</f>
        <v>1357625.1400000001</v>
      </c>
      <c r="G108" s="31">
        <f>G109+G110</f>
        <v>0</v>
      </c>
      <c r="H108" s="31">
        <f>H109+H110</f>
        <v>0</v>
      </c>
      <c r="I108" s="31">
        <f>I109+I110</f>
        <v>0</v>
      </c>
      <c r="J108" s="31">
        <f>J109+J110</f>
        <v>0</v>
      </c>
      <c r="K108" s="31">
        <f>K109+K110</f>
        <v>0</v>
      </c>
      <c r="L108" s="31">
        <f t="shared" ref="L108:L139" si="10">H108+I108+J108+K108</f>
        <v>0</v>
      </c>
      <c r="M108" s="31">
        <f>M109+M110</f>
        <v>0</v>
      </c>
      <c r="N108" s="31">
        <f>N109+N110</f>
        <v>550807.22</v>
      </c>
      <c r="O108" s="32">
        <f>O109+O110</f>
        <v>737817.92</v>
      </c>
      <c r="P108" s="32">
        <f>P109+P110</f>
        <v>69000</v>
      </c>
      <c r="Q108" s="33">
        <f t="shared" ref="Q108:Q139" si="11">M108+N108+O108+P108</f>
        <v>1357625.1400000001</v>
      </c>
    </row>
    <row r="109" spans="1:17" s="3" customFormat="1" ht="15">
      <c r="A109" s="116"/>
      <c r="B109" s="119"/>
      <c r="C109" s="121"/>
      <c r="D109" s="121"/>
      <c r="E109" s="34" t="s">
        <v>36</v>
      </c>
      <c r="F109" s="31">
        <f t="shared" si="9"/>
        <v>1357625.1400000001</v>
      </c>
      <c r="G109" s="36"/>
      <c r="H109" s="36"/>
      <c r="I109" s="36"/>
      <c r="J109" s="36"/>
      <c r="K109" s="36">
        <f>(K102*1.23)-K102</f>
        <v>0</v>
      </c>
      <c r="L109" s="31">
        <f t="shared" si="10"/>
        <v>0</v>
      </c>
      <c r="M109" s="36">
        <f>M102*0.23</f>
        <v>0</v>
      </c>
      <c r="N109" s="36">
        <f>N102*0.23</f>
        <v>550807.22</v>
      </c>
      <c r="O109" s="36">
        <f>O102*0.23</f>
        <v>737817.92</v>
      </c>
      <c r="P109" s="36">
        <f>P102*0.23</f>
        <v>69000</v>
      </c>
      <c r="Q109" s="33">
        <f t="shared" si="11"/>
        <v>1357625.1400000001</v>
      </c>
    </row>
    <row r="110" spans="1:17" s="3" customFormat="1" ht="108.75" customHeight="1" thickBot="1">
      <c r="A110" s="117"/>
      <c r="B110" s="120"/>
      <c r="C110" s="122"/>
      <c r="D110" s="122"/>
      <c r="E110" s="37" t="s">
        <v>37</v>
      </c>
      <c r="F110" s="38">
        <f t="shared" si="9"/>
        <v>0</v>
      </c>
      <c r="G110" s="39"/>
      <c r="H110" s="39"/>
      <c r="I110" s="39"/>
      <c r="J110" s="39"/>
      <c r="K110" s="39"/>
      <c r="L110" s="40">
        <f t="shared" si="10"/>
        <v>0</v>
      </c>
      <c r="M110" s="39"/>
      <c r="N110" s="39"/>
      <c r="O110" s="39"/>
      <c r="P110" s="39"/>
      <c r="Q110" s="41">
        <f t="shared" si="11"/>
        <v>0</v>
      </c>
    </row>
    <row r="111" spans="1:17" s="3" customFormat="1" ht="16">
      <c r="A111" s="101" t="s">
        <v>45</v>
      </c>
      <c r="B111" s="114" t="s">
        <v>74</v>
      </c>
      <c r="C111" s="110" t="s">
        <v>39</v>
      </c>
      <c r="D111" s="110">
        <v>1</v>
      </c>
      <c r="E111" s="26" t="s">
        <v>27</v>
      </c>
      <c r="F111" s="27">
        <f t="shared" si="9"/>
        <v>2458904.0700000003</v>
      </c>
      <c r="G111" s="28">
        <f>G112+G119</f>
        <v>0</v>
      </c>
      <c r="H111" s="28">
        <f>H112+H119</f>
        <v>0</v>
      </c>
      <c r="I111" s="28">
        <f>I112+I119</f>
        <v>0</v>
      </c>
      <c r="J111" s="28">
        <f>J112+J119</f>
        <v>0</v>
      </c>
      <c r="K111" s="28">
        <f>K112+K119</f>
        <v>0</v>
      </c>
      <c r="L111" s="28">
        <f t="shared" si="10"/>
        <v>0</v>
      </c>
      <c r="M111" s="28">
        <f>M112+M119</f>
        <v>0</v>
      </c>
      <c r="N111" s="28">
        <f>N112+N119</f>
        <v>1248739.05</v>
      </c>
      <c r="O111" s="28">
        <f>O112+O119</f>
        <v>1210165.02</v>
      </c>
      <c r="P111" s="28">
        <f>P112+P119</f>
        <v>0</v>
      </c>
      <c r="Q111" s="29">
        <f t="shared" si="11"/>
        <v>2458904.0700000003</v>
      </c>
    </row>
    <row r="112" spans="1:17" s="3" customFormat="1" ht="16">
      <c r="A112" s="102"/>
      <c r="B112" s="105"/>
      <c r="C112" s="108"/>
      <c r="D112" s="108"/>
      <c r="E112" s="30" t="s">
        <v>28</v>
      </c>
      <c r="F112" s="31">
        <f t="shared" si="9"/>
        <v>1999109</v>
      </c>
      <c r="G112" s="32">
        <f>G114+G115+G116+G117+G118+G113</f>
        <v>0</v>
      </c>
      <c r="H112" s="32">
        <f>H114+H115+H116+H117+H118+H113</f>
        <v>0</v>
      </c>
      <c r="I112" s="32">
        <f>I114+I115+I116+I117+I118+I113</f>
        <v>0</v>
      </c>
      <c r="J112" s="32">
        <f>J114+J115+J116+J117+J118+J113</f>
        <v>0</v>
      </c>
      <c r="K112" s="32">
        <f>K114+K115+K116+K117+K118+K113</f>
        <v>0</v>
      </c>
      <c r="L112" s="32">
        <f t="shared" si="10"/>
        <v>0</v>
      </c>
      <c r="M112" s="32">
        <f>M113+M114+M115+M116+M117+M118</f>
        <v>0</v>
      </c>
      <c r="N112" s="32">
        <f>N113+N114+N115+N116+N117+N118</f>
        <v>1015235</v>
      </c>
      <c r="O112" s="32">
        <f>O113+O114+O115+O116+O117+O118</f>
        <v>983874</v>
      </c>
      <c r="P112" s="32">
        <f>P113+P114+P115+P116+P117+P118</f>
        <v>0</v>
      </c>
      <c r="Q112" s="33">
        <f t="shared" si="11"/>
        <v>1999109</v>
      </c>
    </row>
    <row r="113" spans="1:17" s="3" customFormat="1" ht="15">
      <c r="A113" s="102"/>
      <c r="B113" s="105"/>
      <c r="C113" s="108"/>
      <c r="D113" s="108"/>
      <c r="E113" s="34" t="s">
        <v>29</v>
      </c>
      <c r="F113" s="31">
        <f t="shared" si="9"/>
        <v>1999109</v>
      </c>
      <c r="G113" s="35"/>
      <c r="H113" s="36"/>
      <c r="I113" s="36"/>
      <c r="J113" s="36"/>
      <c r="K113" s="61"/>
      <c r="L113" s="32">
        <f t="shared" si="10"/>
        <v>0</v>
      </c>
      <c r="M113" s="61">
        <v>0</v>
      </c>
      <c r="N113" s="61">
        <v>1015235</v>
      </c>
      <c r="O113" s="36">
        <v>983874</v>
      </c>
      <c r="P113" s="36">
        <v>0</v>
      </c>
      <c r="Q113" s="33">
        <f t="shared" si="11"/>
        <v>1999109</v>
      </c>
    </row>
    <row r="114" spans="1:17" s="3" customFormat="1" ht="15">
      <c r="A114" s="102"/>
      <c r="B114" s="105"/>
      <c r="C114" s="108"/>
      <c r="D114" s="108"/>
      <c r="E114" s="34" t="s">
        <v>30</v>
      </c>
      <c r="F114" s="31">
        <f t="shared" si="9"/>
        <v>0</v>
      </c>
      <c r="G114" s="36"/>
      <c r="H114" s="36"/>
      <c r="I114" s="36"/>
      <c r="J114" s="36"/>
      <c r="K114" s="36"/>
      <c r="L114" s="32">
        <f t="shared" si="10"/>
        <v>0</v>
      </c>
      <c r="M114" s="36"/>
      <c r="N114" s="36"/>
      <c r="O114" s="36"/>
      <c r="P114" s="36"/>
      <c r="Q114" s="33">
        <f t="shared" si="11"/>
        <v>0</v>
      </c>
    </row>
    <row r="115" spans="1:17" s="3" customFormat="1" ht="15">
      <c r="A115" s="102"/>
      <c r="B115" s="105"/>
      <c r="C115" s="108"/>
      <c r="D115" s="108"/>
      <c r="E115" s="34" t="s">
        <v>31</v>
      </c>
      <c r="F115" s="31">
        <f t="shared" si="9"/>
        <v>0</v>
      </c>
      <c r="G115" s="36"/>
      <c r="H115" s="36"/>
      <c r="I115" s="36"/>
      <c r="J115" s="36"/>
      <c r="K115" s="36"/>
      <c r="L115" s="32">
        <f t="shared" si="10"/>
        <v>0</v>
      </c>
      <c r="M115" s="36"/>
      <c r="N115" s="36"/>
      <c r="O115" s="36"/>
      <c r="P115" s="36"/>
      <c r="Q115" s="33">
        <f t="shared" si="11"/>
        <v>0</v>
      </c>
    </row>
    <row r="116" spans="1:17" s="3" customFormat="1" ht="15">
      <c r="A116" s="102"/>
      <c r="B116" s="105"/>
      <c r="C116" s="108"/>
      <c r="D116" s="108"/>
      <c r="E116" s="34" t="s">
        <v>32</v>
      </c>
      <c r="F116" s="31">
        <f t="shared" si="9"/>
        <v>0</v>
      </c>
      <c r="G116" s="36"/>
      <c r="H116" s="36"/>
      <c r="I116" s="36"/>
      <c r="J116" s="36"/>
      <c r="K116" s="36"/>
      <c r="L116" s="32">
        <f t="shared" si="10"/>
        <v>0</v>
      </c>
      <c r="M116" s="36"/>
      <c r="N116" s="36"/>
      <c r="O116" s="36"/>
      <c r="P116" s="36"/>
      <c r="Q116" s="33">
        <f t="shared" si="11"/>
        <v>0</v>
      </c>
    </row>
    <row r="117" spans="1:17" s="3" customFormat="1" ht="15">
      <c r="A117" s="102"/>
      <c r="B117" s="105"/>
      <c r="C117" s="108"/>
      <c r="D117" s="108"/>
      <c r="E117" s="34" t="s">
        <v>33</v>
      </c>
      <c r="F117" s="31">
        <f t="shared" si="9"/>
        <v>0</v>
      </c>
      <c r="G117" s="36"/>
      <c r="H117" s="36"/>
      <c r="I117" s="36"/>
      <c r="J117" s="36"/>
      <c r="K117" s="36"/>
      <c r="L117" s="32">
        <f t="shared" si="10"/>
        <v>0</v>
      </c>
      <c r="M117" s="36"/>
      <c r="N117" s="36"/>
      <c r="O117" s="36"/>
      <c r="P117" s="36"/>
      <c r="Q117" s="33">
        <f t="shared" si="11"/>
        <v>0</v>
      </c>
    </row>
    <row r="118" spans="1:17" s="3" customFormat="1" ht="15">
      <c r="A118" s="102"/>
      <c r="B118" s="105"/>
      <c r="C118" s="108"/>
      <c r="D118" s="108"/>
      <c r="E118" s="34" t="s">
        <v>34</v>
      </c>
      <c r="F118" s="31">
        <f t="shared" si="9"/>
        <v>0</v>
      </c>
      <c r="G118" s="36"/>
      <c r="H118" s="36"/>
      <c r="I118" s="36"/>
      <c r="J118" s="36"/>
      <c r="K118" s="36"/>
      <c r="L118" s="32">
        <f t="shared" si="10"/>
        <v>0</v>
      </c>
      <c r="M118" s="36"/>
      <c r="N118" s="36"/>
      <c r="O118" s="36"/>
      <c r="P118" s="36"/>
      <c r="Q118" s="33">
        <f t="shared" si="11"/>
        <v>0</v>
      </c>
    </row>
    <row r="119" spans="1:17" s="3" customFormat="1" ht="16">
      <c r="A119" s="102"/>
      <c r="B119" s="105"/>
      <c r="C119" s="108"/>
      <c r="D119" s="108"/>
      <c r="E119" s="30" t="s">
        <v>35</v>
      </c>
      <c r="F119" s="31">
        <f t="shared" si="9"/>
        <v>459795.07000000007</v>
      </c>
      <c r="G119" s="31">
        <f>G120+G121</f>
        <v>0</v>
      </c>
      <c r="H119" s="31">
        <f>H120+H121</f>
        <v>0</v>
      </c>
      <c r="I119" s="31">
        <f>I120+I121</f>
        <v>0</v>
      </c>
      <c r="J119" s="31">
        <f>J120+J121</f>
        <v>0</v>
      </c>
      <c r="K119" s="31">
        <f>K120+K121</f>
        <v>0</v>
      </c>
      <c r="L119" s="32">
        <f t="shared" si="10"/>
        <v>0</v>
      </c>
      <c r="M119" s="32">
        <f>M120+M121</f>
        <v>0</v>
      </c>
      <c r="N119" s="32">
        <f>N120+N121</f>
        <v>233504.05000000002</v>
      </c>
      <c r="O119" s="32">
        <f>O120+O121</f>
        <v>226291.02000000002</v>
      </c>
      <c r="P119" s="32">
        <f>P120+P121</f>
        <v>0</v>
      </c>
      <c r="Q119" s="33">
        <f t="shared" si="11"/>
        <v>459795.07000000007</v>
      </c>
    </row>
    <row r="120" spans="1:17" s="3" customFormat="1" ht="15">
      <c r="A120" s="102"/>
      <c r="B120" s="105"/>
      <c r="C120" s="108"/>
      <c r="D120" s="108"/>
      <c r="E120" s="34" t="s">
        <v>36</v>
      </c>
      <c r="F120" s="31">
        <f t="shared" si="9"/>
        <v>459795.07000000007</v>
      </c>
      <c r="G120" s="36"/>
      <c r="H120" s="36"/>
      <c r="I120" s="36"/>
      <c r="J120" s="36"/>
      <c r="K120" s="61">
        <f>(K113*1.23)-K113</f>
        <v>0</v>
      </c>
      <c r="L120" s="64">
        <f t="shared" si="10"/>
        <v>0</v>
      </c>
      <c r="M120" s="61">
        <f>M113*0.23</f>
        <v>0</v>
      </c>
      <c r="N120" s="61">
        <f>N113*0.23</f>
        <v>233504.05000000002</v>
      </c>
      <c r="O120" s="61">
        <f>O113*0.23</f>
        <v>226291.02000000002</v>
      </c>
      <c r="P120" s="61">
        <f>P113*0.23</f>
        <v>0</v>
      </c>
      <c r="Q120" s="33">
        <f t="shared" si="11"/>
        <v>459795.07000000007</v>
      </c>
    </row>
    <row r="121" spans="1:17" s="3" customFormat="1" ht="135.75" customHeight="1" thickBot="1">
      <c r="A121" s="103"/>
      <c r="B121" s="106"/>
      <c r="C121" s="109"/>
      <c r="D121" s="109"/>
      <c r="E121" s="37" t="s">
        <v>37</v>
      </c>
      <c r="F121" s="38">
        <f t="shared" si="9"/>
        <v>0</v>
      </c>
      <c r="G121" s="39"/>
      <c r="H121" s="39"/>
      <c r="I121" s="39"/>
      <c r="J121" s="39"/>
      <c r="K121" s="39"/>
      <c r="L121" s="40">
        <f t="shared" si="10"/>
        <v>0</v>
      </c>
      <c r="M121" s="39"/>
      <c r="N121" s="39"/>
      <c r="O121" s="39"/>
      <c r="P121" s="39"/>
      <c r="Q121" s="41">
        <f t="shared" si="11"/>
        <v>0</v>
      </c>
    </row>
    <row r="122" spans="1:17" s="3" customFormat="1" ht="16">
      <c r="A122" s="101" t="s">
        <v>46</v>
      </c>
      <c r="B122" s="114" t="s">
        <v>75</v>
      </c>
      <c r="C122" s="110" t="s">
        <v>39</v>
      </c>
      <c r="D122" s="110">
        <v>1</v>
      </c>
      <c r="E122" s="26" t="s">
        <v>27</v>
      </c>
      <c r="F122" s="27">
        <f t="shared" si="9"/>
        <v>7271330.7300000004</v>
      </c>
      <c r="G122" s="28">
        <f>G123+G130</f>
        <v>0</v>
      </c>
      <c r="H122" s="28">
        <f>H123+H130</f>
        <v>0</v>
      </c>
      <c r="I122" s="28">
        <f>I123+I130</f>
        <v>0</v>
      </c>
      <c r="J122" s="28">
        <f>J123+J130</f>
        <v>0</v>
      </c>
      <c r="K122" s="28">
        <f>K123+K130</f>
        <v>0</v>
      </c>
      <c r="L122" s="28">
        <f t="shared" si="10"/>
        <v>0</v>
      </c>
      <c r="M122" s="28">
        <f>M123+M130</f>
        <v>0</v>
      </c>
      <c r="N122" s="28">
        <f>N123+N130</f>
        <v>2614018.14</v>
      </c>
      <c r="O122" s="28">
        <f>O123+O130</f>
        <v>4411312.59</v>
      </c>
      <c r="P122" s="28">
        <f>P123+P130</f>
        <v>246000</v>
      </c>
      <c r="Q122" s="29">
        <f t="shared" si="11"/>
        <v>7271330.7300000004</v>
      </c>
    </row>
    <row r="123" spans="1:17" s="3" customFormat="1" ht="16">
      <c r="A123" s="102"/>
      <c r="B123" s="105"/>
      <c r="C123" s="108"/>
      <c r="D123" s="108"/>
      <c r="E123" s="30" t="s">
        <v>28</v>
      </c>
      <c r="F123" s="31">
        <f t="shared" si="9"/>
        <v>5911651</v>
      </c>
      <c r="G123" s="32">
        <f>G125+G126+G127+G128+G129+G124</f>
        <v>0</v>
      </c>
      <c r="H123" s="32">
        <f>H125+H126+H127+H128+H129+H124</f>
        <v>0</v>
      </c>
      <c r="I123" s="32">
        <f>I125+I126+I127+I128+I129+I124</f>
        <v>0</v>
      </c>
      <c r="J123" s="32">
        <f>J125+J126+J127+J128+J129+J124</f>
        <v>0</v>
      </c>
      <c r="K123" s="32">
        <f>K125+K126+K127+K128+K129+K124</f>
        <v>0</v>
      </c>
      <c r="L123" s="32">
        <f t="shared" si="10"/>
        <v>0</v>
      </c>
      <c r="M123" s="32">
        <f>M124+M125+M126+M127+M128+M129</f>
        <v>0</v>
      </c>
      <c r="N123" s="32">
        <f>N124+N125+N126+N127+N128+N129</f>
        <v>2125218</v>
      </c>
      <c r="O123" s="32">
        <f>O124+O125+O126+O127+O128+O129</f>
        <v>3586433</v>
      </c>
      <c r="P123" s="32">
        <f>P124+P125+P126+P127+P128+P129</f>
        <v>200000</v>
      </c>
      <c r="Q123" s="33">
        <f t="shared" si="11"/>
        <v>5911651</v>
      </c>
    </row>
    <row r="124" spans="1:17" s="3" customFormat="1" ht="15">
      <c r="A124" s="102"/>
      <c r="B124" s="105"/>
      <c r="C124" s="108"/>
      <c r="D124" s="108"/>
      <c r="E124" s="34" t="s">
        <v>29</v>
      </c>
      <c r="F124" s="31">
        <f t="shared" si="9"/>
        <v>5911651</v>
      </c>
      <c r="G124" s="35"/>
      <c r="H124" s="36"/>
      <c r="I124" s="36"/>
      <c r="J124" s="36"/>
      <c r="K124" s="61"/>
      <c r="L124" s="32">
        <f t="shared" si="10"/>
        <v>0</v>
      </c>
      <c r="M124" s="61">
        <v>0</v>
      </c>
      <c r="N124" s="61">
        <v>2125218</v>
      </c>
      <c r="O124" s="36">
        <v>3586433</v>
      </c>
      <c r="P124" s="36">
        <v>200000</v>
      </c>
      <c r="Q124" s="33">
        <f t="shared" si="11"/>
        <v>5911651</v>
      </c>
    </row>
    <row r="125" spans="1:17" s="3" customFormat="1" ht="15">
      <c r="A125" s="102"/>
      <c r="B125" s="105"/>
      <c r="C125" s="108"/>
      <c r="D125" s="108"/>
      <c r="E125" s="34" t="s">
        <v>30</v>
      </c>
      <c r="F125" s="31">
        <f t="shared" si="9"/>
        <v>0</v>
      </c>
      <c r="G125" s="36"/>
      <c r="H125" s="36"/>
      <c r="I125" s="36"/>
      <c r="J125" s="36"/>
      <c r="K125" s="36"/>
      <c r="L125" s="32">
        <f t="shared" si="10"/>
        <v>0</v>
      </c>
      <c r="M125" s="36"/>
      <c r="N125" s="36"/>
      <c r="O125" s="36"/>
      <c r="P125" s="36"/>
      <c r="Q125" s="33">
        <f t="shared" si="11"/>
        <v>0</v>
      </c>
    </row>
    <row r="126" spans="1:17" s="3" customFormat="1" ht="15">
      <c r="A126" s="102"/>
      <c r="B126" s="105"/>
      <c r="C126" s="108"/>
      <c r="D126" s="108"/>
      <c r="E126" s="34" t="s">
        <v>31</v>
      </c>
      <c r="F126" s="31">
        <f t="shared" si="9"/>
        <v>0</v>
      </c>
      <c r="G126" s="36"/>
      <c r="H126" s="36"/>
      <c r="I126" s="36"/>
      <c r="J126" s="36"/>
      <c r="K126" s="36"/>
      <c r="L126" s="32">
        <f t="shared" si="10"/>
        <v>0</v>
      </c>
      <c r="M126" s="36"/>
      <c r="N126" s="36"/>
      <c r="O126" s="36"/>
      <c r="P126" s="36"/>
      <c r="Q126" s="33">
        <f t="shared" si="11"/>
        <v>0</v>
      </c>
    </row>
    <row r="127" spans="1:17" s="3" customFormat="1" ht="15">
      <c r="A127" s="102"/>
      <c r="B127" s="105"/>
      <c r="C127" s="108"/>
      <c r="D127" s="108"/>
      <c r="E127" s="34" t="s">
        <v>32</v>
      </c>
      <c r="F127" s="31">
        <f t="shared" si="9"/>
        <v>0</v>
      </c>
      <c r="G127" s="36"/>
      <c r="H127" s="36"/>
      <c r="I127" s="36"/>
      <c r="J127" s="36"/>
      <c r="K127" s="36"/>
      <c r="L127" s="32">
        <f t="shared" si="10"/>
        <v>0</v>
      </c>
      <c r="M127" s="36"/>
      <c r="N127" s="36"/>
      <c r="O127" s="36"/>
      <c r="P127" s="36"/>
      <c r="Q127" s="33">
        <f t="shared" si="11"/>
        <v>0</v>
      </c>
    </row>
    <row r="128" spans="1:17" s="3" customFormat="1" ht="15">
      <c r="A128" s="102"/>
      <c r="B128" s="105"/>
      <c r="C128" s="108"/>
      <c r="D128" s="108"/>
      <c r="E128" s="34" t="s">
        <v>33</v>
      </c>
      <c r="F128" s="31">
        <f t="shared" si="9"/>
        <v>0</v>
      </c>
      <c r="G128" s="36"/>
      <c r="H128" s="36"/>
      <c r="I128" s="36"/>
      <c r="J128" s="36"/>
      <c r="K128" s="36"/>
      <c r="L128" s="32">
        <f t="shared" si="10"/>
        <v>0</v>
      </c>
      <c r="M128" s="36"/>
      <c r="N128" s="36"/>
      <c r="O128" s="36"/>
      <c r="P128" s="36"/>
      <c r="Q128" s="33">
        <f t="shared" si="11"/>
        <v>0</v>
      </c>
    </row>
    <row r="129" spans="1:17" s="3" customFormat="1" ht="15">
      <c r="A129" s="102"/>
      <c r="B129" s="105"/>
      <c r="C129" s="108"/>
      <c r="D129" s="108"/>
      <c r="E129" s="34" t="s">
        <v>34</v>
      </c>
      <c r="F129" s="31">
        <f t="shared" si="9"/>
        <v>0</v>
      </c>
      <c r="G129" s="36"/>
      <c r="H129" s="36"/>
      <c r="I129" s="36"/>
      <c r="J129" s="36"/>
      <c r="K129" s="36"/>
      <c r="L129" s="32">
        <f t="shared" si="10"/>
        <v>0</v>
      </c>
      <c r="M129" s="36"/>
      <c r="N129" s="36"/>
      <c r="O129" s="36"/>
      <c r="P129" s="36"/>
      <c r="Q129" s="33">
        <f t="shared" si="11"/>
        <v>0</v>
      </c>
    </row>
    <row r="130" spans="1:17" s="3" customFormat="1" ht="16">
      <c r="A130" s="102"/>
      <c r="B130" s="105"/>
      <c r="C130" s="108"/>
      <c r="D130" s="108"/>
      <c r="E130" s="30" t="s">
        <v>35</v>
      </c>
      <c r="F130" s="31">
        <f t="shared" si="9"/>
        <v>1359679.73</v>
      </c>
      <c r="G130" s="31">
        <f>G131+G132</f>
        <v>0</v>
      </c>
      <c r="H130" s="31">
        <f>H131+H132</f>
        <v>0</v>
      </c>
      <c r="I130" s="31">
        <f>I131+I132</f>
        <v>0</v>
      </c>
      <c r="J130" s="31">
        <f>J131+J132</f>
        <v>0</v>
      </c>
      <c r="K130" s="31">
        <f>K131+K132</f>
        <v>0</v>
      </c>
      <c r="L130" s="32">
        <f t="shared" si="10"/>
        <v>0</v>
      </c>
      <c r="M130" s="32">
        <f>M131+M132</f>
        <v>0</v>
      </c>
      <c r="N130" s="32">
        <f>N131+N132</f>
        <v>488800.14</v>
      </c>
      <c r="O130" s="32">
        <f>O131+O132</f>
        <v>824879.59000000008</v>
      </c>
      <c r="P130" s="32">
        <f>P131+P132</f>
        <v>46000</v>
      </c>
      <c r="Q130" s="33">
        <f t="shared" si="11"/>
        <v>1359679.73</v>
      </c>
    </row>
    <row r="131" spans="1:17" s="3" customFormat="1" ht="15">
      <c r="A131" s="102"/>
      <c r="B131" s="105"/>
      <c r="C131" s="108"/>
      <c r="D131" s="108"/>
      <c r="E131" s="34" t="s">
        <v>36</v>
      </c>
      <c r="F131" s="31">
        <f t="shared" si="9"/>
        <v>1359679.73</v>
      </c>
      <c r="G131" s="36"/>
      <c r="H131" s="36"/>
      <c r="I131" s="36"/>
      <c r="J131" s="36"/>
      <c r="K131" s="61">
        <f>(K124*1.23)-K124</f>
        <v>0</v>
      </c>
      <c r="L131" s="64">
        <f t="shared" si="10"/>
        <v>0</v>
      </c>
      <c r="M131" s="61">
        <f>M124*0.23</f>
        <v>0</v>
      </c>
      <c r="N131" s="61">
        <f>N124*0.23</f>
        <v>488800.14</v>
      </c>
      <c r="O131" s="61">
        <f>O124*0.23</f>
        <v>824879.59000000008</v>
      </c>
      <c r="P131" s="61">
        <f>P124*0.23</f>
        <v>46000</v>
      </c>
      <c r="Q131" s="33">
        <f t="shared" si="11"/>
        <v>1359679.73</v>
      </c>
    </row>
    <row r="132" spans="1:17" s="3" customFormat="1" ht="111" customHeight="1" thickBot="1">
      <c r="A132" s="103"/>
      <c r="B132" s="106"/>
      <c r="C132" s="109"/>
      <c r="D132" s="109"/>
      <c r="E132" s="37" t="s">
        <v>37</v>
      </c>
      <c r="F132" s="38">
        <f t="shared" si="9"/>
        <v>0</v>
      </c>
      <c r="G132" s="39"/>
      <c r="H132" s="39"/>
      <c r="I132" s="39"/>
      <c r="J132" s="39"/>
      <c r="K132" s="39"/>
      <c r="L132" s="40">
        <f t="shared" si="10"/>
        <v>0</v>
      </c>
      <c r="M132" s="39"/>
      <c r="N132" s="39"/>
      <c r="O132" s="39"/>
      <c r="P132" s="39"/>
      <c r="Q132" s="41">
        <f t="shared" si="11"/>
        <v>0</v>
      </c>
    </row>
    <row r="133" spans="1:17" s="3" customFormat="1" ht="16">
      <c r="A133" s="101" t="s">
        <v>47</v>
      </c>
      <c r="B133" s="114" t="s">
        <v>76</v>
      </c>
      <c r="C133" s="110" t="s">
        <v>39</v>
      </c>
      <c r="D133" s="110">
        <v>1</v>
      </c>
      <c r="E133" s="26" t="s">
        <v>27</v>
      </c>
      <c r="F133" s="27">
        <f t="shared" si="9"/>
        <v>1138544.58</v>
      </c>
      <c r="G133" s="28">
        <f>G134+G141</f>
        <v>0</v>
      </c>
      <c r="H133" s="28">
        <f>H134+H141</f>
        <v>0</v>
      </c>
      <c r="I133" s="28">
        <f>I134+I141</f>
        <v>0</v>
      </c>
      <c r="J133" s="28">
        <f>J134+J141</f>
        <v>0</v>
      </c>
      <c r="K133" s="28">
        <f>K134+K141</f>
        <v>0</v>
      </c>
      <c r="L133" s="28">
        <f t="shared" si="10"/>
        <v>0</v>
      </c>
      <c r="M133" s="28">
        <f>M134+M141</f>
        <v>0</v>
      </c>
      <c r="N133" s="28">
        <f>N134+N141</f>
        <v>859776.15</v>
      </c>
      <c r="O133" s="28">
        <f>O134+O141</f>
        <v>278768.43</v>
      </c>
      <c r="P133" s="28">
        <f>P134+P141</f>
        <v>0</v>
      </c>
      <c r="Q133" s="29">
        <f t="shared" si="11"/>
        <v>1138544.58</v>
      </c>
    </row>
    <row r="134" spans="1:17" s="3" customFormat="1" ht="16">
      <c r="A134" s="102"/>
      <c r="B134" s="105"/>
      <c r="C134" s="108"/>
      <c r="D134" s="108"/>
      <c r="E134" s="30" t="s">
        <v>28</v>
      </c>
      <c r="F134" s="31">
        <f t="shared" si="9"/>
        <v>925646</v>
      </c>
      <c r="G134" s="32">
        <f>G136+G137+G138+G139+G140+G135</f>
        <v>0</v>
      </c>
      <c r="H134" s="32">
        <f>H136+H137+H138+H139+H140+H135</f>
        <v>0</v>
      </c>
      <c r="I134" s="32">
        <f>I136+I137+I138+I139+I140+I135</f>
        <v>0</v>
      </c>
      <c r="J134" s="32">
        <f>J136+J137+J138+J139+J140+J135</f>
        <v>0</v>
      </c>
      <c r="K134" s="32">
        <f>K136+K137+K138+K139+K140+K135</f>
        <v>0</v>
      </c>
      <c r="L134" s="32">
        <f t="shared" si="10"/>
        <v>0</v>
      </c>
      <c r="M134" s="32">
        <f>M135+M136+M137+M138+M139+M140</f>
        <v>0</v>
      </c>
      <c r="N134" s="32">
        <f>N135+N136+N137+N138+N139+N140</f>
        <v>699005</v>
      </c>
      <c r="O134" s="32">
        <f>O135+O136+O137+O138+O139+O140</f>
        <v>226641</v>
      </c>
      <c r="P134" s="32">
        <f>P135+P136+P137+P138+P139+P140</f>
        <v>0</v>
      </c>
      <c r="Q134" s="33">
        <f t="shared" si="11"/>
        <v>925646</v>
      </c>
    </row>
    <row r="135" spans="1:17" s="3" customFormat="1" ht="15">
      <c r="A135" s="102"/>
      <c r="B135" s="105"/>
      <c r="C135" s="108"/>
      <c r="D135" s="108"/>
      <c r="E135" s="34" t="s">
        <v>29</v>
      </c>
      <c r="F135" s="31">
        <f t="shared" si="9"/>
        <v>925646</v>
      </c>
      <c r="G135" s="35"/>
      <c r="H135" s="36"/>
      <c r="I135" s="36"/>
      <c r="J135" s="36"/>
      <c r="K135" s="61"/>
      <c r="L135" s="32">
        <f t="shared" si="10"/>
        <v>0</v>
      </c>
      <c r="M135" s="61">
        <v>0</v>
      </c>
      <c r="N135" s="61">
        <v>699005</v>
      </c>
      <c r="O135" s="36">
        <v>226641</v>
      </c>
      <c r="P135" s="36"/>
      <c r="Q135" s="33">
        <f t="shared" si="11"/>
        <v>925646</v>
      </c>
    </row>
    <row r="136" spans="1:17" s="3" customFormat="1" ht="15">
      <c r="A136" s="102"/>
      <c r="B136" s="105"/>
      <c r="C136" s="108"/>
      <c r="D136" s="108"/>
      <c r="E136" s="34" t="s">
        <v>30</v>
      </c>
      <c r="F136" s="31">
        <f t="shared" si="9"/>
        <v>0</v>
      </c>
      <c r="G136" s="36"/>
      <c r="H136" s="36"/>
      <c r="I136" s="36"/>
      <c r="J136" s="36"/>
      <c r="K136" s="36"/>
      <c r="L136" s="32">
        <f t="shared" si="10"/>
        <v>0</v>
      </c>
      <c r="M136" s="36"/>
      <c r="N136" s="36"/>
      <c r="O136" s="36"/>
      <c r="P136" s="36"/>
      <c r="Q136" s="33">
        <f t="shared" si="11"/>
        <v>0</v>
      </c>
    </row>
    <row r="137" spans="1:17" s="3" customFormat="1" ht="15">
      <c r="A137" s="102"/>
      <c r="B137" s="105"/>
      <c r="C137" s="108"/>
      <c r="D137" s="108"/>
      <c r="E137" s="34" t="s">
        <v>31</v>
      </c>
      <c r="F137" s="31">
        <f t="shared" si="9"/>
        <v>0</v>
      </c>
      <c r="G137" s="36"/>
      <c r="H137" s="36"/>
      <c r="I137" s="36"/>
      <c r="J137" s="36"/>
      <c r="K137" s="36"/>
      <c r="L137" s="32">
        <f t="shared" si="10"/>
        <v>0</v>
      </c>
      <c r="M137" s="36"/>
      <c r="N137" s="36"/>
      <c r="O137" s="36"/>
      <c r="P137" s="36"/>
      <c r="Q137" s="33">
        <f t="shared" si="11"/>
        <v>0</v>
      </c>
    </row>
    <row r="138" spans="1:17" s="3" customFormat="1" ht="15">
      <c r="A138" s="102"/>
      <c r="B138" s="105"/>
      <c r="C138" s="108"/>
      <c r="D138" s="108"/>
      <c r="E138" s="34" t="s">
        <v>32</v>
      </c>
      <c r="F138" s="31">
        <f t="shared" si="9"/>
        <v>0</v>
      </c>
      <c r="G138" s="36"/>
      <c r="H138" s="36"/>
      <c r="I138" s="36"/>
      <c r="J138" s="36"/>
      <c r="K138" s="36"/>
      <c r="L138" s="32">
        <f t="shared" si="10"/>
        <v>0</v>
      </c>
      <c r="M138" s="36"/>
      <c r="N138" s="36"/>
      <c r="O138" s="36"/>
      <c r="P138" s="36"/>
      <c r="Q138" s="33">
        <f t="shared" si="11"/>
        <v>0</v>
      </c>
    </row>
    <row r="139" spans="1:17" s="3" customFormat="1" ht="15">
      <c r="A139" s="102"/>
      <c r="B139" s="105"/>
      <c r="C139" s="108"/>
      <c r="D139" s="108"/>
      <c r="E139" s="34" t="s">
        <v>33</v>
      </c>
      <c r="F139" s="31">
        <f t="shared" si="9"/>
        <v>0</v>
      </c>
      <c r="G139" s="36"/>
      <c r="H139" s="36"/>
      <c r="I139" s="36"/>
      <c r="J139" s="36"/>
      <c r="K139" s="36"/>
      <c r="L139" s="32">
        <f t="shared" si="10"/>
        <v>0</v>
      </c>
      <c r="M139" s="36"/>
      <c r="N139" s="36"/>
      <c r="O139" s="36"/>
      <c r="P139" s="36"/>
      <c r="Q139" s="33">
        <f t="shared" si="11"/>
        <v>0</v>
      </c>
    </row>
    <row r="140" spans="1:17" s="3" customFormat="1" ht="14.5" customHeight="1">
      <c r="A140" s="102"/>
      <c r="B140" s="105"/>
      <c r="C140" s="108"/>
      <c r="D140" s="108"/>
      <c r="E140" s="34" t="s">
        <v>34</v>
      </c>
      <c r="F140" s="31">
        <f t="shared" ref="F140:F165" si="12">G140+L140+Q140</f>
        <v>0</v>
      </c>
      <c r="G140" s="36"/>
      <c r="H140" s="36"/>
      <c r="I140" s="36"/>
      <c r="J140" s="36"/>
      <c r="K140" s="36"/>
      <c r="L140" s="32">
        <f t="shared" ref="L140:L165" si="13">H140+I140+J140+K140</f>
        <v>0</v>
      </c>
      <c r="M140" s="36"/>
      <c r="N140" s="36"/>
      <c r="O140" s="36"/>
      <c r="P140" s="36"/>
      <c r="Q140" s="33">
        <f t="shared" ref="Q140:Q165" si="14">M140+N140+O140+P140</f>
        <v>0</v>
      </c>
    </row>
    <row r="141" spans="1:17" s="3" customFormat="1" ht="16">
      <c r="A141" s="102"/>
      <c r="B141" s="105"/>
      <c r="C141" s="108"/>
      <c r="D141" s="108"/>
      <c r="E141" s="30" t="s">
        <v>35</v>
      </c>
      <c r="F141" s="31">
        <f t="shared" si="12"/>
        <v>212898.58</v>
      </c>
      <c r="G141" s="31">
        <f>G142+G143</f>
        <v>0</v>
      </c>
      <c r="H141" s="31">
        <f>H142+H143</f>
        <v>0</v>
      </c>
      <c r="I141" s="31">
        <f>I142+I143</f>
        <v>0</v>
      </c>
      <c r="J141" s="31">
        <f>J142+J143</f>
        <v>0</v>
      </c>
      <c r="K141" s="31">
        <f>K142+K143</f>
        <v>0</v>
      </c>
      <c r="L141" s="32">
        <f t="shared" si="13"/>
        <v>0</v>
      </c>
      <c r="M141" s="32">
        <f>M142+M143</f>
        <v>0</v>
      </c>
      <c r="N141" s="32">
        <f>N142+N143</f>
        <v>160771.15</v>
      </c>
      <c r="O141" s="32">
        <f>O142+O143</f>
        <v>52127.43</v>
      </c>
      <c r="P141" s="32">
        <f>P142+P143</f>
        <v>0</v>
      </c>
      <c r="Q141" s="33">
        <f t="shared" si="14"/>
        <v>212898.58</v>
      </c>
    </row>
    <row r="142" spans="1:17" s="3" customFormat="1" ht="15">
      <c r="A142" s="102"/>
      <c r="B142" s="105"/>
      <c r="C142" s="108"/>
      <c r="D142" s="108"/>
      <c r="E142" s="34" t="s">
        <v>36</v>
      </c>
      <c r="F142" s="31">
        <f t="shared" si="12"/>
        <v>212898.58</v>
      </c>
      <c r="G142" s="36"/>
      <c r="H142" s="36"/>
      <c r="I142" s="36"/>
      <c r="J142" s="36"/>
      <c r="K142" s="61">
        <f>(K135*1.23)-K135</f>
        <v>0</v>
      </c>
      <c r="L142" s="64">
        <f t="shared" si="13"/>
        <v>0</v>
      </c>
      <c r="M142" s="61">
        <f>M135*0.23</f>
        <v>0</v>
      </c>
      <c r="N142" s="61">
        <f>N135*0.23</f>
        <v>160771.15</v>
      </c>
      <c r="O142" s="61">
        <f>O135*0.23</f>
        <v>52127.43</v>
      </c>
      <c r="P142" s="36"/>
      <c r="Q142" s="33">
        <f t="shared" si="14"/>
        <v>212898.58</v>
      </c>
    </row>
    <row r="143" spans="1:17" s="3" customFormat="1" ht="59.25" customHeight="1" thickBot="1">
      <c r="A143" s="103"/>
      <c r="B143" s="106"/>
      <c r="C143" s="109"/>
      <c r="D143" s="109"/>
      <c r="E143" s="37" t="s">
        <v>37</v>
      </c>
      <c r="F143" s="38">
        <f t="shared" si="12"/>
        <v>0</v>
      </c>
      <c r="G143" s="39"/>
      <c r="H143" s="39"/>
      <c r="I143" s="39"/>
      <c r="J143" s="39"/>
      <c r="K143" s="39"/>
      <c r="L143" s="40">
        <f t="shared" si="13"/>
        <v>0</v>
      </c>
      <c r="M143" s="39"/>
      <c r="N143" s="39"/>
      <c r="O143" s="39"/>
      <c r="P143" s="39"/>
      <c r="Q143" s="41">
        <f t="shared" si="14"/>
        <v>0</v>
      </c>
    </row>
    <row r="144" spans="1:17" s="3" customFormat="1" ht="16">
      <c r="A144" s="101">
        <v>5</v>
      </c>
      <c r="B144" s="104" t="s">
        <v>77</v>
      </c>
      <c r="C144" s="110" t="s">
        <v>26</v>
      </c>
      <c r="D144" s="110">
        <v>1</v>
      </c>
      <c r="E144" s="26" t="s">
        <v>27</v>
      </c>
      <c r="F144" s="70">
        <f>G144+L144+Q144+0.002</f>
        <v>3667781.9062999999</v>
      </c>
      <c r="G144" s="28">
        <f>G145+G152</f>
        <v>0</v>
      </c>
      <c r="H144" s="28">
        <f>H145+H152</f>
        <v>0</v>
      </c>
      <c r="I144" s="28">
        <f>I145+I152</f>
        <v>0</v>
      </c>
      <c r="J144" s="28">
        <f>J145+J152</f>
        <v>0</v>
      </c>
      <c r="K144" s="28">
        <f>K145+K152</f>
        <v>0</v>
      </c>
      <c r="L144" s="28">
        <f t="shared" si="13"/>
        <v>0</v>
      </c>
      <c r="M144" s="28">
        <f>M145+M152</f>
        <v>0</v>
      </c>
      <c r="N144" s="28">
        <f>N145+N152</f>
        <v>1783499.997</v>
      </c>
      <c r="O144" s="28">
        <f>O145+O152</f>
        <v>1414500</v>
      </c>
      <c r="P144" s="28">
        <f>P145+P152</f>
        <v>469781.90730000002</v>
      </c>
      <c r="Q144" s="29">
        <f t="shared" si="14"/>
        <v>3667781.9043000001</v>
      </c>
    </row>
    <row r="145" spans="1:17" s="3" customFormat="1" ht="16">
      <c r="A145" s="102"/>
      <c r="B145" s="105"/>
      <c r="C145" s="108"/>
      <c r="D145" s="108"/>
      <c r="E145" s="30" t="s">
        <v>28</v>
      </c>
      <c r="F145" s="31">
        <f t="shared" si="12"/>
        <v>2981936.5070000002</v>
      </c>
      <c r="G145" s="32">
        <f>G147+G148+G149+G150+G151+G146</f>
        <v>0</v>
      </c>
      <c r="H145" s="32">
        <f>H147+H148+H149+H150+H151+H146</f>
        <v>0</v>
      </c>
      <c r="I145" s="32">
        <f>I147+I148+I149+I150+I151+I146</f>
        <v>0</v>
      </c>
      <c r="J145" s="32">
        <f>J147+J148+J149+J150+J151+J146</f>
        <v>0</v>
      </c>
      <c r="K145" s="32">
        <f>K147+K148+K149+K150+K151+K146</f>
        <v>0</v>
      </c>
      <c r="L145" s="32">
        <f t="shared" si="13"/>
        <v>0</v>
      </c>
      <c r="M145" s="32">
        <f>M146+M147+M148+M149+M150+M151</f>
        <v>0</v>
      </c>
      <c r="N145" s="32">
        <f>N146+N147+N148+N149+N150+N151-0.003</f>
        <v>1449999.997</v>
      </c>
      <c r="O145" s="32">
        <f>O146+O147+O148+O149+O150+O151</f>
        <v>1150000</v>
      </c>
      <c r="P145" s="32">
        <f>P146+P147+P148+P149+P150+P151</f>
        <v>381936.51</v>
      </c>
      <c r="Q145" s="33">
        <f t="shared" si="14"/>
        <v>2981936.5070000002</v>
      </c>
    </row>
    <row r="146" spans="1:17" s="3" customFormat="1" ht="15">
      <c r="A146" s="102"/>
      <c r="B146" s="105"/>
      <c r="C146" s="108"/>
      <c r="D146" s="108"/>
      <c r="E146" s="34" t="s">
        <v>29</v>
      </c>
      <c r="F146" s="69">
        <f>G146+L146+Q146</f>
        <v>2981936.51</v>
      </c>
      <c r="G146" s="35"/>
      <c r="H146" s="36"/>
      <c r="I146" s="61"/>
      <c r="J146" s="61"/>
      <c r="K146" s="63"/>
      <c r="L146" s="69">
        <f t="shared" si="13"/>
        <v>0</v>
      </c>
      <c r="M146" s="35">
        <v>0</v>
      </c>
      <c r="N146" s="35">
        <v>1450000</v>
      </c>
      <c r="O146" s="36">
        <v>1150000</v>
      </c>
      <c r="P146" s="36">
        <v>381936.51</v>
      </c>
      <c r="Q146" s="33">
        <f t="shared" si="14"/>
        <v>2981936.51</v>
      </c>
    </row>
    <row r="147" spans="1:17" s="3" customFormat="1" ht="15">
      <c r="A147" s="102"/>
      <c r="B147" s="105"/>
      <c r="C147" s="108"/>
      <c r="D147" s="108"/>
      <c r="E147" s="34" t="s">
        <v>30</v>
      </c>
      <c r="F147" s="31">
        <f t="shared" si="12"/>
        <v>0</v>
      </c>
      <c r="G147" s="36"/>
      <c r="H147" s="36"/>
      <c r="I147" s="36"/>
      <c r="J147" s="36"/>
      <c r="K147" s="36"/>
      <c r="L147" s="32">
        <f t="shared" si="13"/>
        <v>0</v>
      </c>
      <c r="M147" s="36"/>
      <c r="N147" s="36"/>
      <c r="O147" s="36"/>
      <c r="P147" s="36"/>
      <c r="Q147" s="33">
        <f t="shared" si="14"/>
        <v>0</v>
      </c>
    </row>
    <row r="148" spans="1:17" s="3" customFormat="1" ht="15">
      <c r="A148" s="102"/>
      <c r="B148" s="105"/>
      <c r="C148" s="108"/>
      <c r="D148" s="108"/>
      <c r="E148" s="34" t="s">
        <v>31</v>
      </c>
      <c r="F148" s="31">
        <f t="shared" si="12"/>
        <v>0</v>
      </c>
      <c r="G148" s="36"/>
      <c r="H148" s="36"/>
      <c r="I148" s="36"/>
      <c r="J148" s="36"/>
      <c r="K148" s="36"/>
      <c r="L148" s="32">
        <f t="shared" si="13"/>
        <v>0</v>
      </c>
      <c r="M148" s="36"/>
      <c r="N148" s="36"/>
      <c r="O148" s="36"/>
      <c r="P148" s="36"/>
      <c r="Q148" s="33">
        <f t="shared" si="14"/>
        <v>0</v>
      </c>
    </row>
    <row r="149" spans="1:17" s="3" customFormat="1" ht="15">
      <c r="A149" s="102"/>
      <c r="B149" s="105"/>
      <c r="C149" s="108"/>
      <c r="D149" s="108"/>
      <c r="E149" s="34" t="s">
        <v>32</v>
      </c>
      <c r="F149" s="31">
        <f t="shared" si="12"/>
        <v>0</v>
      </c>
      <c r="G149" s="36"/>
      <c r="H149" s="36"/>
      <c r="I149" s="36"/>
      <c r="J149" s="36"/>
      <c r="K149" s="36"/>
      <c r="L149" s="32">
        <f t="shared" si="13"/>
        <v>0</v>
      </c>
      <c r="M149" s="36"/>
      <c r="N149" s="36"/>
      <c r="O149" s="36"/>
      <c r="P149" s="36"/>
      <c r="Q149" s="33">
        <f t="shared" si="14"/>
        <v>0</v>
      </c>
    </row>
    <row r="150" spans="1:17" s="3" customFormat="1" ht="15">
      <c r="A150" s="102"/>
      <c r="B150" s="105"/>
      <c r="C150" s="108"/>
      <c r="D150" s="108"/>
      <c r="E150" s="34" t="s">
        <v>33</v>
      </c>
      <c r="F150" s="31">
        <f t="shared" si="12"/>
        <v>0</v>
      </c>
      <c r="G150" s="36"/>
      <c r="H150" s="36"/>
      <c r="I150" s="36"/>
      <c r="J150" s="36"/>
      <c r="K150" s="36"/>
      <c r="L150" s="32">
        <f t="shared" si="13"/>
        <v>0</v>
      </c>
      <c r="M150" s="36"/>
      <c r="N150" s="36"/>
      <c r="O150" s="36"/>
      <c r="P150" s="36"/>
      <c r="Q150" s="33">
        <f t="shared" si="14"/>
        <v>0</v>
      </c>
    </row>
    <row r="151" spans="1:17" s="3" customFormat="1" ht="15">
      <c r="A151" s="102"/>
      <c r="B151" s="105"/>
      <c r="C151" s="108"/>
      <c r="D151" s="108"/>
      <c r="E151" s="34" t="s">
        <v>34</v>
      </c>
      <c r="F151" s="31">
        <f t="shared" si="12"/>
        <v>0</v>
      </c>
      <c r="G151" s="36"/>
      <c r="H151" s="36"/>
      <c r="I151" s="36"/>
      <c r="J151" s="36"/>
      <c r="K151" s="36"/>
      <c r="L151" s="32">
        <f t="shared" si="13"/>
        <v>0</v>
      </c>
      <c r="M151" s="36"/>
      <c r="N151" s="36"/>
      <c r="O151" s="36"/>
      <c r="P151" s="36"/>
      <c r="Q151" s="33">
        <f t="shared" si="14"/>
        <v>0</v>
      </c>
    </row>
    <row r="152" spans="1:17" s="3" customFormat="1" ht="16">
      <c r="A152" s="102"/>
      <c r="B152" s="105"/>
      <c r="C152" s="108"/>
      <c r="D152" s="108"/>
      <c r="E152" s="30" t="s">
        <v>35</v>
      </c>
      <c r="F152" s="31">
        <f>G152+L152+Q152</f>
        <v>685845.39730000007</v>
      </c>
      <c r="G152" s="31">
        <f>G153+G154</f>
        <v>0</v>
      </c>
      <c r="H152" s="31">
        <f>H153+H154</f>
        <v>0</v>
      </c>
      <c r="I152" s="31">
        <f>I153+I154</f>
        <v>0</v>
      </c>
      <c r="J152" s="31">
        <f>J153+J154</f>
        <v>0</v>
      </c>
      <c r="K152" s="31">
        <f>K153+K154</f>
        <v>0</v>
      </c>
      <c r="L152" s="32">
        <f t="shared" si="13"/>
        <v>0</v>
      </c>
      <c r="M152" s="32">
        <f>M153+M154</f>
        <v>0</v>
      </c>
      <c r="N152" s="32">
        <f>N153+N154</f>
        <v>333500</v>
      </c>
      <c r="O152" s="32">
        <f>O153+O154</f>
        <v>264500</v>
      </c>
      <c r="P152" s="32">
        <f>P153+P154</f>
        <v>87845.397300000011</v>
      </c>
      <c r="Q152" s="33">
        <f t="shared" si="14"/>
        <v>685845.39730000007</v>
      </c>
    </row>
    <row r="153" spans="1:17" s="3" customFormat="1" ht="15">
      <c r="A153" s="102"/>
      <c r="B153" s="105"/>
      <c r="C153" s="108"/>
      <c r="D153" s="108"/>
      <c r="E153" s="34" t="s">
        <v>36</v>
      </c>
      <c r="F153" s="31">
        <f>G153+L153+Q153</f>
        <v>685845.39730000007</v>
      </c>
      <c r="G153" s="36"/>
      <c r="H153" s="36"/>
      <c r="I153" s="61"/>
      <c r="J153" s="61">
        <f>J146*0.23</f>
        <v>0</v>
      </c>
      <c r="K153" s="61">
        <f>K146*0.23</f>
        <v>0</v>
      </c>
      <c r="L153" s="32">
        <f t="shared" si="13"/>
        <v>0</v>
      </c>
      <c r="M153" s="61">
        <f>M146*0.23</f>
        <v>0</v>
      </c>
      <c r="N153" s="61">
        <f>N146*0.23</f>
        <v>333500</v>
      </c>
      <c r="O153" s="61">
        <f>O146*0.23</f>
        <v>264500</v>
      </c>
      <c r="P153" s="61">
        <f>P146*0.23</f>
        <v>87845.397300000011</v>
      </c>
      <c r="Q153" s="33">
        <f t="shared" si="14"/>
        <v>685845.39730000007</v>
      </c>
    </row>
    <row r="154" spans="1:17" s="3" customFormat="1" ht="16" thickBot="1">
      <c r="A154" s="103"/>
      <c r="B154" s="106"/>
      <c r="C154" s="109"/>
      <c r="D154" s="109"/>
      <c r="E154" s="37" t="s">
        <v>37</v>
      </c>
      <c r="F154" s="38">
        <f t="shared" si="12"/>
        <v>0</v>
      </c>
      <c r="G154" s="39"/>
      <c r="H154" s="39"/>
      <c r="I154" s="39"/>
      <c r="J154" s="39"/>
      <c r="K154" s="39"/>
      <c r="L154" s="40">
        <f t="shared" si="13"/>
        <v>0</v>
      </c>
      <c r="M154" s="39"/>
      <c r="N154" s="39"/>
      <c r="O154" s="39"/>
      <c r="P154" s="39"/>
      <c r="Q154" s="41">
        <f t="shared" si="14"/>
        <v>0</v>
      </c>
    </row>
    <row r="155" spans="1:17" s="3" customFormat="1" ht="16">
      <c r="A155" s="101">
        <v>6</v>
      </c>
      <c r="B155" s="104" t="s">
        <v>67</v>
      </c>
      <c r="C155" s="110" t="s">
        <v>26</v>
      </c>
      <c r="D155" s="110">
        <v>9</v>
      </c>
      <c r="E155" s="26" t="s">
        <v>27</v>
      </c>
      <c r="F155" s="27">
        <f>G155+L155+Q155-0.003</f>
        <v>116849.997</v>
      </c>
      <c r="G155" s="28">
        <f>G156+G163</f>
        <v>0</v>
      </c>
      <c r="H155" s="28">
        <f>H156+H163</f>
        <v>0</v>
      </c>
      <c r="I155" s="28">
        <f>I156+I163</f>
        <v>0</v>
      </c>
      <c r="J155" s="28">
        <f>J156+J163</f>
        <v>0</v>
      </c>
      <c r="K155" s="28">
        <f>K156+K163</f>
        <v>0</v>
      </c>
      <c r="L155" s="28">
        <f t="shared" si="13"/>
        <v>0</v>
      </c>
      <c r="M155" s="28">
        <f>M156+M163</f>
        <v>0</v>
      </c>
      <c r="N155" s="28">
        <f>N156+N163</f>
        <v>116850</v>
      </c>
      <c r="O155" s="28">
        <f>O156+O163</f>
        <v>0</v>
      </c>
      <c r="P155" s="28">
        <f>P156+P163</f>
        <v>0</v>
      </c>
      <c r="Q155" s="29">
        <f t="shared" si="14"/>
        <v>116850</v>
      </c>
    </row>
    <row r="156" spans="1:17" s="3" customFormat="1" ht="16">
      <c r="A156" s="102"/>
      <c r="B156" s="105"/>
      <c r="C156" s="108"/>
      <c r="D156" s="108"/>
      <c r="E156" s="30" t="s">
        <v>28</v>
      </c>
      <c r="F156" s="31">
        <f t="shared" si="12"/>
        <v>95000</v>
      </c>
      <c r="G156" s="32">
        <f>G158+G159+G160+G161+G162+G157</f>
        <v>0</v>
      </c>
      <c r="H156" s="32">
        <f>H158+H159+H160+H161+H162+H157</f>
        <v>0</v>
      </c>
      <c r="I156" s="32">
        <f>I158+I159+I160+I161+I162+I157</f>
        <v>0</v>
      </c>
      <c r="J156" s="69">
        <f>J158+J159+J160+J161+J162+J157</f>
        <v>0</v>
      </c>
      <c r="K156" s="32">
        <f>K158+K159+K160+K161+K162+K157</f>
        <v>0</v>
      </c>
      <c r="L156" s="32">
        <f t="shared" si="13"/>
        <v>0</v>
      </c>
      <c r="M156" s="32">
        <f>M157+M158+M159+M160+M161+M162</f>
        <v>0</v>
      </c>
      <c r="N156" s="32">
        <f>N157+N158+N159+N160+N161+N162</f>
        <v>95000</v>
      </c>
      <c r="O156" s="32">
        <f>O157+O158+O159+O160+O161+O162</f>
        <v>0</v>
      </c>
      <c r="P156" s="32">
        <f>P157+P158+P159+P160+P161+P162</f>
        <v>0</v>
      </c>
      <c r="Q156" s="33">
        <f t="shared" si="14"/>
        <v>95000</v>
      </c>
    </row>
    <row r="157" spans="1:17" s="3" customFormat="1" ht="15">
      <c r="A157" s="102"/>
      <c r="B157" s="105"/>
      <c r="C157" s="108"/>
      <c r="D157" s="108"/>
      <c r="E157" s="34" t="s">
        <v>29</v>
      </c>
      <c r="F157" s="31">
        <f t="shared" si="12"/>
        <v>95000</v>
      </c>
      <c r="G157" s="35"/>
      <c r="H157" s="36"/>
      <c r="I157" s="61"/>
      <c r="J157" s="61"/>
      <c r="K157" s="36">
        <v>0</v>
      </c>
      <c r="L157" s="32">
        <f t="shared" si="13"/>
        <v>0</v>
      </c>
      <c r="M157" s="36">
        <v>0</v>
      </c>
      <c r="N157" s="36">
        <v>95000</v>
      </c>
      <c r="O157" s="36"/>
      <c r="P157" s="36"/>
      <c r="Q157" s="33">
        <f t="shared" si="14"/>
        <v>95000</v>
      </c>
    </row>
    <row r="158" spans="1:17" s="3" customFormat="1" ht="15">
      <c r="A158" s="102"/>
      <c r="B158" s="105"/>
      <c r="C158" s="108"/>
      <c r="D158" s="108"/>
      <c r="E158" s="34" t="s">
        <v>30</v>
      </c>
      <c r="F158" s="31">
        <f t="shared" si="12"/>
        <v>0</v>
      </c>
      <c r="G158" s="36"/>
      <c r="H158" s="36"/>
      <c r="I158" s="36"/>
      <c r="J158" s="36"/>
      <c r="K158" s="36"/>
      <c r="L158" s="32">
        <f t="shared" si="13"/>
        <v>0</v>
      </c>
      <c r="M158" s="36"/>
      <c r="N158" s="36"/>
      <c r="O158" s="36"/>
      <c r="P158" s="36"/>
      <c r="Q158" s="33">
        <f t="shared" si="14"/>
        <v>0</v>
      </c>
    </row>
    <row r="159" spans="1:17" s="3" customFormat="1" ht="15">
      <c r="A159" s="102"/>
      <c r="B159" s="105"/>
      <c r="C159" s="108"/>
      <c r="D159" s="108"/>
      <c r="E159" s="34" t="s">
        <v>31</v>
      </c>
      <c r="F159" s="31">
        <f t="shared" si="12"/>
        <v>0</v>
      </c>
      <c r="G159" s="36"/>
      <c r="H159" s="36"/>
      <c r="I159" s="36"/>
      <c r="J159" s="36"/>
      <c r="K159" s="36"/>
      <c r="L159" s="32">
        <f t="shared" si="13"/>
        <v>0</v>
      </c>
      <c r="M159" s="36"/>
      <c r="N159" s="36"/>
      <c r="O159" s="36"/>
      <c r="P159" s="36"/>
      <c r="Q159" s="33">
        <f t="shared" si="14"/>
        <v>0</v>
      </c>
    </row>
    <row r="160" spans="1:17" s="3" customFormat="1" ht="15">
      <c r="A160" s="102"/>
      <c r="B160" s="105"/>
      <c r="C160" s="108"/>
      <c r="D160" s="108"/>
      <c r="E160" s="34" t="s">
        <v>32</v>
      </c>
      <c r="F160" s="31">
        <f t="shared" si="12"/>
        <v>0</v>
      </c>
      <c r="G160" s="36"/>
      <c r="H160" s="36"/>
      <c r="I160" s="36"/>
      <c r="J160" s="36"/>
      <c r="K160" s="36"/>
      <c r="L160" s="32">
        <f t="shared" si="13"/>
        <v>0</v>
      </c>
      <c r="M160" s="36"/>
      <c r="N160" s="36"/>
      <c r="O160" s="36"/>
      <c r="P160" s="36"/>
      <c r="Q160" s="33">
        <f t="shared" si="14"/>
        <v>0</v>
      </c>
    </row>
    <row r="161" spans="1:17" s="3" customFormat="1" ht="15">
      <c r="A161" s="102"/>
      <c r="B161" s="105"/>
      <c r="C161" s="108"/>
      <c r="D161" s="108"/>
      <c r="E161" s="34" t="s">
        <v>33</v>
      </c>
      <c r="F161" s="31">
        <f t="shared" si="12"/>
        <v>0</v>
      </c>
      <c r="G161" s="36"/>
      <c r="H161" s="36"/>
      <c r="I161" s="36"/>
      <c r="J161" s="36"/>
      <c r="K161" s="36"/>
      <c r="L161" s="32">
        <f t="shared" si="13"/>
        <v>0</v>
      </c>
      <c r="M161" s="36"/>
      <c r="N161" s="36"/>
      <c r="O161" s="36"/>
      <c r="P161" s="36"/>
      <c r="Q161" s="33">
        <f t="shared" si="14"/>
        <v>0</v>
      </c>
    </row>
    <row r="162" spans="1:17" s="3" customFormat="1" ht="15">
      <c r="A162" s="102"/>
      <c r="B162" s="105"/>
      <c r="C162" s="108"/>
      <c r="D162" s="108"/>
      <c r="E162" s="34" t="s">
        <v>34</v>
      </c>
      <c r="F162" s="31">
        <f t="shared" si="12"/>
        <v>0</v>
      </c>
      <c r="G162" s="36"/>
      <c r="H162" s="36"/>
      <c r="I162" s="36"/>
      <c r="J162" s="36"/>
      <c r="K162" s="36"/>
      <c r="L162" s="32">
        <f t="shared" si="13"/>
        <v>0</v>
      </c>
      <c r="M162" s="36"/>
      <c r="N162" s="36"/>
      <c r="O162" s="36"/>
      <c r="P162" s="36"/>
      <c r="Q162" s="33">
        <f t="shared" si="14"/>
        <v>0</v>
      </c>
    </row>
    <row r="163" spans="1:17" s="3" customFormat="1" ht="16">
      <c r="A163" s="102"/>
      <c r="B163" s="105"/>
      <c r="C163" s="108"/>
      <c r="D163" s="108"/>
      <c r="E163" s="30" t="s">
        <v>35</v>
      </c>
      <c r="F163" s="31">
        <f>G163+L163+Q163-0.003</f>
        <v>21849.996999999999</v>
      </c>
      <c r="G163" s="31">
        <f>G164+G165</f>
        <v>0</v>
      </c>
      <c r="H163" s="31">
        <f>H164+H165</f>
        <v>0</v>
      </c>
      <c r="I163" s="31">
        <f>I164+I165</f>
        <v>0</v>
      </c>
      <c r="J163" s="31">
        <f>J164+J165</f>
        <v>0</v>
      </c>
      <c r="K163" s="31">
        <f>K164+K165</f>
        <v>0</v>
      </c>
      <c r="L163" s="32">
        <f t="shared" si="13"/>
        <v>0</v>
      </c>
      <c r="M163" s="32">
        <f>M164+M165</f>
        <v>0</v>
      </c>
      <c r="N163" s="32">
        <f>N164+N165</f>
        <v>21850</v>
      </c>
      <c r="O163" s="32">
        <f>O164+O165</f>
        <v>0</v>
      </c>
      <c r="P163" s="32">
        <f>P164+P165</f>
        <v>0</v>
      </c>
      <c r="Q163" s="33">
        <f t="shared" si="14"/>
        <v>21850</v>
      </c>
    </row>
    <row r="164" spans="1:17" s="3" customFormat="1" ht="15">
      <c r="A164" s="102"/>
      <c r="B164" s="105"/>
      <c r="C164" s="108"/>
      <c r="D164" s="108"/>
      <c r="E164" s="34" t="s">
        <v>36</v>
      </c>
      <c r="F164" s="31">
        <f>G164+L164+Q164-0.003</f>
        <v>21849.996999999999</v>
      </c>
      <c r="G164" s="36"/>
      <c r="H164" s="36"/>
      <c r="I164" s="61"/>
      <c r="J164" s="61"/>
      <c r="K164" s="36">
        <f>K157*0.23</f>
        <v>0</v>
      </c>
      <c r="L164" s="32">
        <f t="shared" si="13"/>
        <v>0</v>
      </c>
      <c r="M164" s="36">
        <f>M157*0.23</f>
        <v>0</v>
      </c>
      <c r="N164" s="36">
        <v>21850</v>
      </c>
      <c r="O164" s="36"/>
      <c r="P164" s="36"/>
      <c r="Q164" s="33">
        <f t="shared" si="14"/>
        <v>21850</v>
      </c>
    </row>
    <row r="165" spans="1:17" s="3" customFormat="1" ht="16" thickBot="1">
      <c r="A165" s="103"/>
      <c r="B165" s="106"/>
      <c r="C165" s="109"/>
      <c r="D165" s="109"/>
      <c r="E165" s="37" t="s">
        <v>37</v>
      </c>
      <c r="F165" s="38">
        <f t="shared" si="12"/>
        <v>0</v>
      </c>
      <c r="G165" s="39"/>
      <c r="H165" s="39"/>
      <c r="I165" s="39"/>
      <c r="J165" s="39"/>
      <c r="K165" s="39"/>
      <c r="L165" s="40">
        <f t="shared" si="13"/>
        <v>0</v>
      </c>
      <c r="M165" s="39"/>
      <c r="N165" s="39"/>
      <c r="O165" s="39"/>
      <c r="P165" s="39"/>
      <c r="Q165" s="41">
        <f t="shared" si="14"/>
        <v>0</v>
      </c>
    </row>
    <row r="166" spans="1:17" s="2" customFormat="1" ht="15">
      <c r="A166" s="126" t="s">
        <v>48</v>
      </c>
      <c r="B166" s="127"/>
      <c r="C166" s="127"/>
      <c r="D166" s="127"/>
      <c r="E166" s="42"/>
      <c r="F166" s="130">
        <f>F12+F23+F56+F67+F78+F89+F100+F111+F122+F144+F155+F133+F45+F34</f>
        <v>50676859.864399999</v>
      </c>
      <c r="G166" s="124">
        <f t="shared" ref="G166:P166" si="15">G12+G23+G56+G67+G78+G89+G100+G111+G122+G144+G155+G133+G45+G34</f>
        <v>117342</v>
      </c>
      <c r="H166" s="124">
        <f t="shared" si="15"/>
        <v>0</v>
      </c>
      <c r="I166" s="124">
        <f t="shared" si="15"/>
        <v>0</v>
      </c>
      <c r="J166" s="124">
        <f t="shared" si="15"/>
        <v>26691</v>
      </c>
      <c r="K166" s="124">
        <f t="shared" si="15"/>
        <v>123000</v>
      </c>
      <c r="L166" s="124">
        <f t="shared" si="15"/>
        <v>149691</v>
      </c>
      <c r="M166" s="124">
        <f>M12+M23+M56+M67+M78+M89+M100+M111+M122+M144+M155+M133+M45+M34</f>
        <v>61500</v>
      </c>
      <c r="N166" s="124">
        <f>N12+N23+N56+N67+N78+N89+N100+N111+N122+N144+N155+N133+N45+N34</f>
        <v>22887552.177000001</v>
      </c>
      <c r="O166" s="124">
        <f t="shared" si="15"/>
        <v>24394708.781100001</v>
      </c>
      <c r="P166" s="124">
        <f t="shared" si="15"/>
        <v>3066065.9073000001</v>
      </c>
      <c r="Q166" s="124">
        <f>Q12+Q23+Q56+Q67+Q78+Q89+Q100+Q111+Q122+Q144+Q155+Q133+Q45+Q34-0.01</f>
        <v>50409826.855399996</v>
      </c>
    </row>
    <row r="167" spans="1:17" s="2" customFormat="1" ht="16" thickBot="1">
      <c r="A167" s="128"/>
      <c r="B167" s="129"/>
      <c r="C167" s="129"/>
      <c r="D167" s="129"/>
      <c r="E167" s="43"/>
      <c r="F167" s="131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</row>
    <row r="168" spans="1:17" s="4" customFormat="1" ht="15">
      <c r="A168" s="155" t="s">
        <v>49</v>
      </c>
      <c r="B168" s="156"/>
      <c r="C168" s="156"/>
      <c r="D168" s="157"/>
      <c r="E168" s="44"/>
      <c r="F168" s="27">
        <f t="shared" ref="F168:P168" si="16">F13+F24+F57+F68+F79+F90+F101+F112+F123+F145+F156+F134+F46+F35</f>
        <v>41200699.077</v>
      </c>
      <c r="G168" s="27">
        <f t="shared" si="16"/>
        <v>95400</v>
      </c>
      <c r="H168" s="27">
        <f t="shared" si="16"/>
        <v>0</v>
      </c>
      <c r="I168" s="27">
        <f t="shared" si="16"/>
        <v>0</v>
      </c>
      <c r="J168" s="27">
        <f t="shared" si="16"/>
        <v>21700</v>
      </c>
      <c r="K168" s="27">
        <f t="shared" si="16"/>
        <v>100000</v>
      </c>
      <c r="L168" s="65">
        <f t="shared" si="16"/>
        <v>121700</v>
      </c>
      <c r="M168" s="27">
        <f t="shared" si="16"/>
        <v>50000</v>
      </c>
      <c r="N168" s="27">
        <f t="shared" si="16"/>
        <v>18607765.997000001</v>
      </c>
      <c r="O168" s="27">
        <f t="shared" si="16"/>
        <v>19833096.57</v>
      </c>
      <c r="P168" s="27">
        <f t="shared" si="16"/>
        <v>2492736.5099999998</v>
      </c>
      <c r="Q168" s="27">
        <f>Q13+Q24+Q57+Q68+Q79+Q90+Q101+Q112+Q123+Q145+Q156+Q134+Q46+Q35-0.01</f>
        <v>40983599.067000002</v>
      </c>
    </row>
    <row r="169" spans="1:17" s="5" customFormat="1" ht="15">
      <c r="A169" s="141" t="s">
        <v>50</v>
      </c>
      <c r="B169" s="142"/>
      <c r="C169" s="142"/>
      <c r="D169" s="143"/>
      <c r="E169" s="45"/>
      <c r="F169" s="31">
        <f>F14+F25+F58+F69+F80+F91+F102+F113+F124+F146+F157+F135+F47+F36</f>
        <v>41200699.079999998</v>
      </c>
      <c r="G169" s="31">
        <f>G14+G25+G58+G69+G80+G91+G102+G113+G124+G146+G157+G135+G47+G36</f>
        <v>95400</v>
      </c>
      <c r="H169" s="31">
        <f>H14+H25+H58+H69+H80+H91+H102+H113+H124+H146+H157</f>
        <v>0</v>
      </c>
      <c r="I169" s="31">
        <f>I14+I25+I58+I69+I80+I91+I102+I113+I124+I146+I157+I135+I47+I36</f>
        <v>0</v>
      </c>
      <c r="J169" s="31">
        <f>J14+J25+J58+J69+J80+J91+J102+J113+J124+J146+J157+J47+J36+J135</f>
        <v>21700</v>
      </c>
      <c r="K169" s="31">
        <f>K14+K25+K58+K69+K80+K91+K102+K113+K124+K146+K157+K47+K36+K135</f>
        <v>100000</v>
      </c>
      <c r="L169" s="66">
        <f>L14+L25+L58+L69+L80+L91+L102+L113+L124+L146+L157+L135+L47+L36</f>
        <v>121700</v>
      </c>
      <c r="M169" s="31">
        <f>M14+M25+M58+M69+M80+M91+M102+M113+M124+M146+M157+M135+M47+M36</f>
        <v>50000</v>
      </c>
      <c r="N169" s="31">
        <f>N14+N25+N58+N69+N80+N91+N102+N113+N124+N146+N157+N135+N47+N36</f>
        <v>18607766</v>
      </c>
      <c r="O169" s="31">
        <f>O14+O25+O58+O69+O80+O91+O102+O113+O124+O146+O157</f>
        <v>17028463.57</v>
      </c>
      <c r="P169" s="31">
        <f>P14+P25+P58+P69+P80+P91+P102+P113+P124+P146+P157</f>
        <v>2231936.5099999998</v>
      </c>
      <c r="Q169" s="31">
        <f>Q14+Q25+Q58+Q69+Q80+Q91+Q102+Q113+Q124+Q146+Q157+Q135+Q47+Q36-0.01</f>
        <v>40983599.07</v>
      </c>
    </row>
    <row r="170" spans="1:17" s="5" customFormat="1" ht="15">
      <c r="A170" s="141" t="s">
        <v>51</v>
      </c>
      <c r="B170" s="142"/>
      <c r="C170" s="142"/>
      <c r="D170" s="143"/>
      <c r="E170" s="45"/>
      <c r="F170" s="31">
        <f>F15+F26+F59+F70+F81+F92+F103+F114+F125+F147+F158</f>
        <v>0</v>
      </c>
      <c r="G170" s="31">
        <f>G15+G26+G59+G70+G81+G92+G103+G114+G125+G147+G158</f>
        <v>0</v>
      </c>
      <c r="H170" s="31">
        <f>H15+H26+H59+H70+H81+H92+H103+H114+H125+H147+H158</f>
        <v>0</v>
      </c>
      <c r="I170" s="31">
        <f t="shared" ref="I170:N170" si="17">I15+I26+I59+I70+I81+I92+I103+I114+I125+I147+I158</f>
        <v>0</v>
      </c>
      <c r="J170" s="31">
        <f t="shared" si="17"/>
        <v>0</v>
      </c>
      <c r="K170" s="31">
        <f t="shared" si="17"/>
        <v>0</v>
      </c>
      <c r="L170" s="66">
        <f t="shared" si="17"/>
        <v>0</v>
      </c>
      <c r="M170" s="31">
        <f t="shared" si="17"/>
        <v>0</v>
      </c>
      <c r="N170" s="31">
        <f t="shared" si="17"/>
        <v>0</v>
      </c>
      <c r="O170" s="31">
        <f>O15+O26+O59+O70+O81+O92+O103+O114+O125+O147+O158</f>
        <v>0</v>
      </c>
      <c r="P170" s="31">
        <f>P15+P26+P59+P70+P81+P92+P103+P114+P125+P147+P158</f>
        <v>0</v>
      </c>
      <c r="Q170" s="31">
        <f>Q15+Q26+Q59+Q70+Q81+Q92+Q103+Q114+Q125+Q147+Q158</f>
        <v>0</v>
      </c>
    </row>
    <row r="171" spans="1:17" s="5" customFormat="1" ht="15">
      <c r="A171" s="141" t="s">
        <v>52</v>
      </c>
      <c r="B171" s="142"/>
      <c r="C171" s="142"/>
      <c r="D171" s="143"/>
      <c r="E171" s="45"/>
      <c r="F171" s="31">
        <f t="shared" ref="F171:Q171" si="18">F16+F27+F60+F71+F82+F93+F104+F115+F126+F148+F159+F137+F49+F38</f>
        <v>0</v>
      </c>
      <c r="G171" s="31">
        <f t="shared" si="18"/>
        <v>0</v>
      </c>
      <c r="H171" s="31">
        <f t="shared" si="18"/>
        <v>0</v>
      </c>
      <c r="I171" s="31">
        <f t="shared" si="18"/>
        <v>0</v>
      </c>
      <c r="J171" s="31">
        <f t="shared" si="18"/>
        <v>0</v>
      </c>
      <c r="K171" s="31">
        <f t="shared" si="18"/>
        <v>0</v>
      </c>
      <c r="L171" s="66">
        <f t="shared" si="18"/>
        <v>0</v>
      </c>
      <c r="M171" s="31">
        <f t="shared" si="18"/>
        <v>0</v>
      </c>
      <c r="N171" s="31">
        <f t="shared" si="18"/>
        <v>0</v>
      </c>
      <c r="O171" s="31">
        <f t="shared" si="18"/>
        <v>0</v>
      </c>
      <c r="P171" s="31">
        <f t="shared" si="18"/>
        <v>0</v>
      </c>
      <c r="Q171" s="31">
        <f t="shared" si="18"/>
        <v>0</v>
      </c>
    </row>
    <row r="172" spans="1:17" s="5" customFormat="1" ht="15">
      <c r="A172" s="141" t="s">
        <v>53</v>
      </c>
      <c r="B172" s="142"/>
      <c r="C172" s="142"/>
      <c r="D172" s="143"/>
      <c r="E172" s="45"/>
      <c r="F172" s="31">
        <f t="shared" ref="F172:Q172" si="19">F17+F28+F61+F72+F83+F94+F105+F116+F127+F149+F160</f>
        <v>0</v>
      </c>
      <c r="G172" s="31">
        <f t="shared" si="19"/>
        <v>0</v>
      </c>
      <c r="H172" s="31">
        <f t="shared" si="19"/>
        <v>0</v>
      </c>
      <c r="I172" s="31">
        <f t="shared" si="19"/>
        <v>0</v>
      </c>
      <c r="J172" s="31">
        <f t="shared" si="19"/>
        <v>0</v>
      </c>
      <c r="K172" s="31">
        <f t="shared" si="19"/>
        <v>0</v>
      </c>
      <c r="L172" s="66">
        <f t="shared" si="19"/>
        <v>0</v>
      </c>
      <c r="M172" s="31">
        <f t="shared" si="19"/>
        <v>0</v>
      </c>
      <c r="N172" s="31">
        <f t="shared" si="19"/>
        <v>0</v>
      </c>
      <c r="O172" s="31">
        <f t="shared" si="19"/>
        <v>0</v>
      </c>
      <c r="P172" s="31">
        <f t="shared" si="19"/>
        <v>0</v>
      </c>
      <c r="Q172" s="31">
        <f t="shared" si="19"/>
        <v>0</v>
      </c>
    </row>
    <row r="173" spans="1:17" s="5" customFormat="1" ht="15">
      <c r="A173" s="141" t="s">
        <v>54</v>
      </c>
      <c r="B173" s="142"/>
      <c r="C173" s="142"/>
      <c r="D173" s="143"/>
      <c r="E173" s="45"/>
      <c r="F173" s="31">
        <f t="shared" ref="F173:Q173" si="20">F18+F29+F62+F73+F84+F95+F106+F117+F128+F150+F161</f>
        <v>0</v>
      </c>
      <c r="G173" s="31">
        <f t="shared" si="20"/>
        <v>0</v>
      </c>
      <c r="H173" s="31">
        <f t="shared" si="20"/>
        <v>0</v>
      </c>
      <c r="I173" s="31">
        <f t="shared" si="20"/>
        <v>0</v>
      </c>
      <c r="J173" s="31">
        <f t="shared" si="20"/>
        <v>0</v>
      </c>
      <c r="K173" s="31">
        <f t="shared" si="20"/>
        <v>0</v>
      </c>
      <c r="L173" s="66">
        <f t="shared" si="20"/>
        <v>0</v>
      </c>
      <c r="M173" s="31">
        <f t="shared" si="20"/>
        <v>0</v>
      </c>
      <c r="N173" s="31">
        <f t="shared" si="20"/>
        <v>0</v>
      </c>
      <c r="O173" s="31">
        <f t="shared" si="20"/>
        <v>0</v>
      </c>
      <c r="P173" s="31">
        <f t="shared" si="20"/>
        <v>0</v>
      </c>
      <c r="Q173" s="31">
        <f t="shared" si="20"/>
        <v>0</v>
      </c>
    </row>
    <row r="174" spans="1:17" s="5" customFormat="1" ht="15">
      <c r="A174" s="141" t="s">
        <v>55</v>
      </c>
      <c r="B174" s="142"/>
      <c r="C174" s="142"/>
      <c r="D174" s="143"/>
      <c r="E174" s="45"/>
      <c r="F174" s="31">
        <f t="shared" ref="F174:Q174" si="21">F19+F30+F63+F74+F85+F96+F107+F118+F129+F151+F162</f>
        <v>0</v>
      </c>
      <c r="G174" s="31">
        <f t="shared" si="21"/>
        <v>0</v>
      </c>
      <c r="H174" s="31">
        <f t="shared" si="21"/>
        <v>0</v>
      </c>
      <c r="I174" s="31">
        <f t="shared" si="21"/>
        <v>0</v>
      </c>
      <c r="J174" s="31">
        <f t="shared" si="21"/>
        <v>0</v>
      </c>
      <c r="K174" s="31">
        <f t="shared" si="21"/>
        <v>0</v>
      </c>
      <c r="L174" s="66">
        <f t="shared" si="21"/>
        <v>0</v>
      </c>
      <c r="M174" s="31">
        <f t="shared" si="21"/>
        <v>0</v>
      </c>
      <c r="N174" s="31">
        <f t="shared" si="21"/>
        <v>0</v>
      </c>
      <c r="O174" s="31">
        <f t="shared" si="21"/>
        <v>0</v>
      </c>
      <c r="P174" s="31">
        <f t="shared" si="21"/>
        <v>0</v>
      </c>
      <c r="Q174" s="31">
        <f t="shared" si="21"/>
        <v>0</v>
      </c>
    </row>
    <row r="175" spans="1:17" s="4" customFormat="1" ht="15">
      <c r="A175" s="144" t="s">
        <v>56</v>
      </c>
      <c r="B175" s="145"/>
      <c r="C175" s="145"/>
      <c r="D175" s="146"/>
      <c r="E175" s="46"/>
      <c r="F175" s="31">
        <f>F20+F31+F64+F75+F86+F97+F108+F119+F130+F152+F163+F141+F53+F42-0.01</f>
        <v>9476160.7754000034</v>
      </c>
      <c r="G175" s="31">
        <f t="shared" ref="G175:P175" si="22">G20+G31+G64+G75+G86+G97+G108+G119+G130+G152+G163+G141+G53+G42</f>
        <v>21942</v>
      </c>
      <c r="H175" s="31">
        <f t="shared" si="22"/>
        <v>0</v>
      </c>
      <c r="I175" s="31">
        <f t="shared" si="22"/>
        <v>0</v>
      </c>
      <c r="J175" s="31">
        <f t="shared" si="22"/>
        <v>4991</v>
      </c>
      <c r="K175" s="31">
        <f t="shared" si="22"/>
        <v>23000</v>
      </c>
      <c r="L175" s="66">
        <f>L20+L31+L64+L75+L86+L97+L108+L119+L130+L152+L163+L141+L53+L42</f>
        <v>27991</v>
      </c>
      <c r="M175" s="31">
        <f t="shared" si="22"/>
        <v>11500</v>
      </c>
      <c r="N175" s="31">
        <f t="shared" si="22"/>
        <v>4279786.18</v>
      </c>
      <c r="O175" s="31">
        <f t="shared" si="22"/>
        <v>4561612.2111</v>
      </c>
      <c r="P175" s="31">
        <f t="shared" si="22"/>
        <v>573329.39730000007</v>
      </c>
      <c r="Q175" s="31">
        <f>Q20+Q31+Q64+Q75+Q86+Q97+Q108+Q119+Q130+Q152+Q163+Q141+Q53+Q42-0.01</f>
        <v>9426227.778400002</v>
      </c>
    </row>
    <row r="176" spans="1:17" s="5" customFormat="1" ht="15">
      <c r="A176" s="147" t="s">
        <v>57</v>
      </c>
      <c r="B176" s="148"/>
      <c r="C176" s="148"/>
      <c r="D176" s="149"/>
      <c r="E176" s="47"/>
      <c r="F176" s="31">
        <f>F21+F32+F65+F76+F87+F98+F109+F120+F131+F153+F164+F142+F54+F43-0.01</f>
        <v>9476160.7754000034</v>
      </c>
      <c r="G176" s="31">
        <f t="shared" ref="G176:P176" si="23">G21+G32+G65+G76+G87+G98+G109+G120+G131+G153+G164+G142+G54+G43</f>
        <v>21942</v>
      </c>
      <c r="H176" s="31">
        <f t="shared" si="23"/>
        <v>0</v>
      </c>
      <c r="I176" s="31">
        <f>I21+I32+I65+I76+I87+I98+I109+I120+I131+I153+I164+I142+I54+I43</f>
        <v>0</v>
      </c>
      <c r="J176" s="31">
        <f>J21+J32+J65+J76+J87+J98+J109+J120+J131+J153+J164+J142+J54+J43</f>
        <v>4991</v>
      </c>
      <c r="K176" s="31">
        <f t="shared" si="23"/>
        <v>23000</v>
      </c>
      <c r="L176" s="66">
        <f>L21+L32+L65+L76+L87+L98+L109+L120+L131+L153+L164+L142+L54+L43</f>
        <v>27991</v>
      </c>
      <c r="M176" s="31">
        <f t="shared" si="23"/>
        <v>11500</v>
      </c>
      <c r="N176" s="31">
        <f t="shared" si="23"/>
        <v>4279786.18</v>
      </c>
      <c r="O176" s="31">
        <f t="shared" si="23"/>
        <v>4561612.2111</v>
      </c>
      <c r="P176" s="31">
        <f t="shared" si="23"/>
        <v>573329.39730000007</v>
      </c>
      <c r="Q176" s="31">
        <f>Q21+Q32+Q65+Q76+Q87+Q98+Q109+Q120+Q131+Q153+Q164+Q142+Q54+Q43-0.01</f>
        <v>9426227.778400002</v>
      </c>
    </row>
    <row r="177" spans="1:17" s="2" customFormat="1" ht="16" thickBot="1">
      <c r="A177" s="150" t="s">
        <v>58</v>
      </c>
      <c r="B177" s="151"/>
      <c r="C177" s="151"/>
      <c r="D177" s="151"/>
      <c r="E177" s="151"/>
      <c r="F177" s="38">
        <f t="shared" ref="F177:Q177" si="24">F22+F33+F66+F77+F88+F99+F110+F121+F132+F154+F165</f>
        <v>0</v>
      </c>
      <c r="G177" s="38">
        <f t="shared" si="24"/>
        <v>0</v>
      </c>
      <c r="H177" s="38">
        <f t="shared" si="24"/>
        <v>0</v>
      </c>
      <c r="I177" s="38">
        <f t="shared" si="24"/>
        <v>0</v>
      </c>
      <c r="J177" s="38">
        <f t="shared" si="24"/>
        <v>0</v>
      </c>
      <c r="K177" s="38">
        <f t="shared" si="24"/>
        <v>0</v>
      </c>
      <c r="L177" s="67">
        <f t="shared" si="24"/>
        <v>0</v>
      </c>
      <c r="M177" s="38">
        <f t="shared" si="24"/>
        <v>0</v>
      </c>
      <c r="N177" s="38">
        <f t="shared" si="24"/>
        <v>0</v>
      </c>
      <c r="O177" s="38">
        <f t="shared" si="24"/>
        <v>0</v>
      </c>
      <c r="P177" s="38">
        <f t="shared" si="24"/>
        <v>0</v>
      </c>
      <c r="Q177" s="38">
        <f t="shared" si="24"/>
        <v>0</v>
      </c>
    </row>
    <row r="178" spans="1:17" s="2" customFormat="1" ht="15">
      <c r="A178" s="48"/>
      <c r="B178" s="4" t="s">
        <v>59</v>
      </c>
      <c r="C178" s="49"/>
      <c r="D178" s="49"/>
      <c r="E178" s="50"/>
      <c r="F178" s="51">
        <f>F134+F123+F112+F101+F90+F79+F68+F57+F46</f>
        <v>37465299.079999998</v>
      </c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</row>
    <row r="179" spans="1:17" s="2" customFormat="1" ht="15">
      <c r="A179" s="48"/>
      <c r="B179" s="152" t="s">
        <v>60</v>
      </c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4"/>
    </row>
    <row r="180" spans="1:17" s="2" customFormat="1" ht="15">
      <c r="A180" s="48"/>
      <c r="B180" s="138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40"/>
    </row>
    <row r="181" spans="1:17" s="2" customFormat="1" ht="75" customHeight="1">
      <c r="B181" s="71">
        <v>45925</v>
      </c>
      <c r="C181" s="52" t="s">
        <v>61</v>
      </c>
      <c r="D181" s="53"/>
      <c r="E181" s="52"/>
      <c r="F181" s="54"/>
      <c r="G181" s="55"/>
      <c r="H181" s="55"/>
      <c r="I181" s="55"/>
      <c r="J181" s="56"/>
      <c r="K181" s="56"/>
      <c r="L181" s="56"/>
      <c r="M181" s="55"/>
      <c r="N181" s="55"/>
      <c r="O181" s="56"/>
      <c r="P181" s="56"/>
      <c r="Q181" s="56"/>
    </row>
    <row r="182" spans="1:17" s="2" customFormat="1" ht="15">
      <c r="B182" s="57" t="s">
        <v>62</v>
      </c>
      <c r="C182" s="5" t="s">
        <v>63</v>
      </c>
      <c r="D182" s="5"/>
      <c r="E182" s="5"/>
      <c r="F182" s="55"/>
      <c r="G182" s="55"/>
      <c r="H182" s="55"/>
      <c r="I182" s="55"/>
      <c r="J182" s="56"/>
      <c r="K182" s="56"/>
      <c r="L182" s="56"/>
      <c r="M182" s="55"/>
      <c r="N182" s="55"/>
      <c r="O182" s="56"/>
      <c r="P182" s="56"/>
      <c r="Q182" s="56"/>
    </row>
    <row r="183" spans="1:17" s="2" customFormat="1" ht="15">
      <c r="D183" s="49"/>
      <c r="F183" s="56">
        <f>F134+F123+F112+F101+F90+F79+F68+F57+F46</f>
        <v>37465299.079999998</v>
      </c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</row>
    <row r="184" spans="1:17" s="2" customFormat="1" ht="15">
      <c r="C184" s="49"/>
      <c r="D184" s="49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</row>
    <row r="185" spans="1:17" s="2" customFormat="1" ht="15">
      <c r="B185" s="1"/>
      <c r="C185" s="49"/>
      <c r="D185" s="49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</row>
    <row r="186" spans="1:17" s="2" customFormat="1" ht="15">
      <c r="C186" s="49"/>
      <c r="D186" s="49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</row>
    <row r="187" spans="1:17" s="2" customFormat="1" ht="15">
      <c r="C187" s="49"/>
      <c r="D187" s="49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</row>
    <row r="188" spans="1:17" s="2" customFormat="1" ht="15">
      <c r="C188" s="49"/>
      <c r="D188" s="49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</row>
    <row r="189" spans="1:17" s="2" customFormat="1" ht="15">
      <c r="C189" s="49"/>
      <c r="D189" s="49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</row>
    <row r="190" spans="1:17" s="2" customFormat="1" ht="15">
      <c r="C190" s="49"/>
      <c r="D190" s="49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</row>
    <row r="191" spans="1:17" s="2" customFormat="1" ht="15">
      <c r="C191" s="49"/>
      <c r="D191" s="49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</row>
    <row r="192" spans="1:17" s="2" customFormat="1" ht="15">
      <c r="C192" s="49"/>
      <c r="D192" s="49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</row>
    <row r="193" spans="3:17" s="2" customFormat="1" ht="15">
      <c r="C193" s="49"/>
      <c r="D193" s="49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</row>
    <row r="194" spans="3:17" s="2" customFormat="1" ht="15">
      <c r="C194" s="49"/>
      <c r="D194" s="49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</row>
    <row r="195" spans="3:17" s="2" customFormat="1" ht="15">
      <c r="C195" s="49"/>
      <c r="D195" s="49"/>
      <c r="E195" s="58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</row>
    <row r="196" spans="3:17" s="2" customFormat="1" ht="15">
      <c r="C196" s="49"/>
      <c r="D196" s="49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</row>
    <row r="197" spans="3:17" s="2" customFormat="1" ht="15">
      <c r="C197" s="49"/>
      <c r="D197" s="49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</row>
    <row r="198" spans="3:17" s="2" customFormat="1" ht="15">
      <c r="C198" s="49"/>
      <c r="D198" s="49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</row>
    <row r="199" spans="3:17" s="2" customFormat="1" ht="15">
      <c r="C199" s="49"/>
      <c r="D199" s="49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</row>
    <row r="200" spans="3:17" s="2" customFormat="1" ht="15">
      <c r="C200" s="49"/>
      <c r="D200" s="49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</row>
  </sheetData>
  <sheetProtection formatCells="0" formatColumns="0" formatRows="0" sort="0" autoFilter="0"/>
  <mergeCells count="104">
    <mergeCell ref="A1:B1"/>
    <mergeCell ref="C1:J2"/>
    <mergeCell ref="A3:B3"/>
    <mergeCell ref="C3:J3"/>
    <mergeCell ref="A4:B4"/>
    <mergeCell ref="C4:J4"/>
    <mergeCell ref="H7:Q8"/>
    <mergeCell ref="F9:F10"/>
    <mergeCell ref="G9:G10"/>
    <mergeCell ref="H9:K9"/>
    <mergeCell ref="L9:L10"/>
    <mergeCell ref="M9:P9"/>
    <mergeCell ref="Q9:Q10"/>
    <mergeCell ref="A5:B5"/>
    <mergeCell ref="C5:J5"/>
    <mergeCell ref="A6:C6"/>
    <mergeCell ref="A7:A10"/>
    <mergeCell ref="B7:B10"/>
    <mergeCell ref="C7:C10"/>
    <mergeCell ref="D7:D10"/>
    <mergeCell ref="E7:E10"/>
    <mergeCell ref="F7:F8"/>
    <mergeCell ref="G7:G8"/>
    <mergeCell ref="A34:A44"/>
    <mergeCell ref="B34:B44"/>
    <mergeCell ref="C34:C44"/>
    <mergeCell ref="D34:D44"/>
    <mergeCell ref="A45:A55"/>
    <mergeCell ref="B45:B55"/>
    <mergeCell ref="C45:C55"/>
    <mergeCell ref="D45:D55"/>
    <mergeCell ref="A12:A22"/>
    <mergeCell ref="B12:B22"/>
    <mergeCell ref="C12:C22"/>
    <mergeCell ref="D12:D22"/>
    <mergeCell ref="A23:A33"/>
    <mergeCell ref="B23:B33"/>
    <mergeCell ref="C23:C33"/>
    <mergeCell ref="D23:D33"/>
    <mergeCell ref="A78:A88"/>
    <mergeCell ref="B78:B88"/>
    <mergeCell ref="C78:C88"/>
    <mergeCell ref="D78:D88"/>
    <mergeCell ref="A89:A99"/>
    <mergeCell ref="B89:B99"/>
    <mergeCell ref="C89:C99"/>
    <mergeCell ref="D89:D99"/>
    <mergeCell ref="A56:A66"/>
    <mergeCell ref="B56:B66"/>
    <mergeCell ref="C56:C66"/>
    <mergeCell ref="D56:D66"/>
    <mergeCell ref="A67:A77"/>
    <mergeCell ref="B67:B77"/>
    <mergeCell ref="C67:C77"/>
    <mergeCell ref="D67:D77"/>
    <mergeCell ref="A122:A132"/>
    <mergeCell ref="B122:B132"/>
    <mergeCell ref="C122:C132"/>
    <mergeCell ref="D122:D132"/>
    <mergeCell ref="A133:A143"/>
    <mergeCell ref="B133:B143"/>
    <mergeCell ref="C133:C143"/>
    <mergeCell ref="D133:D143"/>
    <mergeCell ref="A100:A110"/>
    <mergeCell ref="B100:B110"/>
    <mergeCell ref="C100:C110"/>
    <mergeCell ref="D100:D110"/>
    <mergeCell ref="A111:A121"/>
    <mergeCell ref="B111:B121"/>
    <mergeCell ref="C111:C121"/>
    <mergeCell ref="D111:D121"/>
    <mergeCell ref="J166:J167"/>
    <mergeCell ref="A144:A154"/>
    <mergeCell ref="B144:B154"/>
    <mergeCell ref="C144:C154"/>
    <mergeCell ref="D144:D154"/>
    <mergeCell ref="A155:A165"/>
    <mergeCell ref="B155:B165"/>
    <mergeCell ref="C155:C165"/>
    <mergeCell ref="D155:D165"/>
    <mergeCell ref="B180:Q180"/>
    <mergeCell ref="A173:D173"/>
    <mergeCell ref="A174:D174"/>
    <mergeCell ref="A175:D175"/>
    <mergeCell ref="A176:D176"/>
    <mergeCell ref="A177:E177"/>
    <mergeCell ref="B179:Q179"/>
    <mergeCell ref="Q166:Q167"/>
    <mergeCell ref="A168:D168"/>
    <mergeCell ref="A169:D169"/>
    <mergeCell ref="A170:D170"/>
    <mergeCell ref="A171:D171"/>
    <mergeCell ref="A172:D172"/>
    <mergeCell ref="K166:K167"/>
    <mergeCell ref="L166:L167"/>
    <mergeCell ref="M166:M167"/>
    <mergeCell ref="N166:N167"/>
    <mergeCell ref="O166:O167"/>
    <mergeCell ref="P166:P167"/>
    <mergeCell ref="A166:D167"/>
    <mergeCell ref="F166:F167"/>
    <mergeCell ref="G166:G167"/>
    <mergeCell ref="H166:H167"/>
    <mergeCell ref="I166:I167"/>
  </mergeCells>
  <pageMargins left="0.70866141732283472" right="0.70866141732283472" top="0.74803149606299213" bottom="0.74803149606299213" header="0.31496062992125984" footer="0.31496062992125984"/>
  <pageSetup paperSize="9" scale="26" fitToHeight="0" orientation="portrait" horizontalDpi="1200" verticalDpi="1200" r:id="rId1"/>
  <headerFooter>
    <oddFooter>Strona &amp;P z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621-E358-428B-9967-6FAC44478AE0}">
  <dimension ref="B2:S198"/>
  <sheetViews>
    <sheetView topLeftCell="A145" workbookViewId="0">
      <selection activeCell="B8" sqref="B8:R111"/>
    </sheetView>
  </sheetViews>
  <sheetFormatPr baseColWidth="10" defaultColWidth="8.83203125" defaultRowHeight="15"/>
  <cols>
    <col min="3" max="3" width="44.1640625" customWidth="1"/>
    <col min="4" max="4" width="10" customWidth="1"/>
    <col min="5" max="5" width="10.83203125" customWidth="1"/>
    <col min="6" max="6" width="25.5" customWidth="1"/>
    <col min="7" max="7" width="18.5" customWidth="1"/>
    <col min="8" max="8" width="18" customWidth="1"/>
    <col min="9" max="10" width="13.1640625" customWidth="1"/>
    <col min="11" max="11" width="12.83203125" customWidth="1"/>
    <col min="12" max="12" width="12.6640625" customWidth="1"/>
    <col min="13" max="13" width="13.83203125" customWidth="1"/>
    <col min="14" max="14" width="12.6640625" customWidth="1"/>
    <col min="15" max="15" width="12.1640625" customWidth="1"/>
    <col min="16" max="16" width="12.6640625" customWidth="1"/>
    <col min="17" max="17" width="12.1640625" customWidth="1"/>
    <col min="18" max="18" width="14.83203125" customWidth="1"/>
    <col min="19" max="19" width="16.83203125" customWidth="1"/>
  </cols>
  <sheetData>
    <row r="2" spans="2:18">
      <c r="B2" s="74" t="s">
        <v>0</v>
      </c>
      <c r="C2" s="74"/>
      <c r="D2" s="75" t="s">
        <v>1</v>
      </c>
      <c r="E2" s="75"/>
      <c r="F2" s="75"/>
      <c r="G2" s="75"/>
      <c r="H2" s="75"/>
      <c r="I2" s="75"/>
      <c r="J2" s="75"/>
      <c r="K2" s="75"/>
      <c r="L2" s="9"/>
      <c r="M2" s="9"/>
      <c r="N2" s="9"/>
      <c r="O2" s="9"/>
      <c r="P2" s="9"/>
      <c r="Q2" s="9"/>
      <c r="R2" s="10" t="s">
        <v>2</v>
      </c>
    </row>
    <row r="3" spans="2:18">
      <c r="B3" s="8"/>
      <c r="C3" s="11"/>
      <c r="D3" s="75"/>
      <c r="E3" s="75"/>
      <c r="F3" s="75"/>
      <c r="G3" s="75"/>
      <c r="H3" s="75"/>
      <c r="I3" s="75"/>
      <c r="J3" s="75"/>
      <c r="K3" s="75"/>
      <c r="L3" s="9"/>
      <c r="M3" s="9"/>
      <c r="N3" s="9"/>
      <c r="O3" s="9"/>
      <c r="P3" s="9"/>
      <c r="Q3" s="9"/>
      <c r="R3" s="9"/>
    </row>
    <row r="4" spans="2:18">
      <c r="B4" s="76" t="s">
        <v>3</v>
      </c>
      <c r="C4" s="76"/>
      <c r="D4" s="75" t="s">
        <v>4</v>
      </c>
      <c r="E4" s="75"/>
      <c r="F4" s="75"/>
      <c r="G4" s="75"/>
      <c r="H4" s="75"/>
      <c r="I4" s="75"/>
      <c r="J4" s="75"/>
      <c r="K4" s="75"/>
      <c r="L4" s="9"/>
      <c r="M4" s="9"/>
      <c r="N4" s="9"/>
      <c r="O4" s="9"/>
      <c r="P4" s="9"/>
      <c r="Q4" s="9"/>
      <c r="R4" s="9"/>
    </row>
    <row r="5" spans="2:18">
      <c r="B5" s="77" t="s">
        <v>5</v>
      </c>
      <c r="C5" s="77"/>
      <c r="D5" s="75" t="s">
        <v>6</v>
      </c>
      <c r="E5" s="75"/>
      <c r="F5" s="75"/>
      <c r="G5" s="75"/>
      <c r="H5" s="75"/>
      <c r="I5" s="75"/>
      <c r="J5" s="75"/>
      <c r="K5" s="75"/>
      <c r="L5" s="9"/>
      <c r="M5" s="9"/>
      <c r="N5" s="9"/>
      <c r="O5" s="9"/>
      <c r="P5" s="9"/>
      <c r="Q5" s="9"/>
      <c r="R5" s="9"/>
    </row>
    <row r="6" spans="2:18">
      <c r="B6" s="76" t="s">
        <v>7</v>
      </c>
      <c r="C6" s="76"/>
      <c r="D6" s="85" t="s">
        <v>6</v>
      </c>
      <c r="E6" s="85"/>
      <c r="F6" s="85"/>
      <c r="G6" s="85"/>
      <c r="H6" s="85"/>
      <c r="I6" s="85"/>
      <c r="J6" s="85"/>
      <c r="K6" s="85"/>
      <c r="L6" s="12"/>
      <c r="M6" s="13" t="s">
        <v>8</v>
      </c>
      <c r="N6" s="12"/>
      <c r="O6" s="12"/>
      <c r="P6" s="12"/>
      <c r="Q6" s="12"/>
      <c r="R6" s="12"/>
    </row>
    <row r="7" spans="2:18" ht="16" thickBot="1">
      <c r="B7" s="86"/>
      <c r="C7" s="86"/>
      <c r="D7" s="86"/>
      <c r="E7" s="15"/>
      <c r="F7" s="14"/>
      <c r="G7" s="16"/>
      <c r="H7" s="16"/>
      <c r="I7" s="17"/>
      <c r="J7" s="17"/>
      <c r="K7" s="17"/>
      <c r="L7" s="17"/>
      <c r="M7" s="18"/>
      <c r="N7" s="19"/>
      <c r="O7" s="12"/>
      <c r="P7" s="12"/>
      <c r="Q7" s="12"/>
      <c r="R7" s="20" t="s">
        <v>9</v>
      </c>
    </row>
    <row r="8" spans="2:18">
      <c r="B8" s="87" t="s">
        <v>10</v>
      </c>
      <c r="C8" s="90" t="s">
        <v>11</v>
      </c>
      <c r="D8" s="93" t="s">
        <v>12</v>
      </c>
      <c r="E8" s="93" t="s">
        <v>13</v>
      </c>
      <c r="F8" s="93" t="s">
        <v>14</v>
      </c>
      <c r="G8" s="97" t="s">
        <v>15</v>
      </c>
      <c r="H8" s="163" t="s">
        <v>16</v>
      </c>
      <c r="I8" s="158"/>
      <c r="J8" s="158"/>
      <c r="K8" s="158"/>
      <c r="L8" s="158"/>
      <c r="M8" s="158"/>
      <c r="N8" s="158"/>
      <c r="O8" s="158"/>
      <c r="P8" s="158"/>
      <c r="Q8" s="158"/>
      <c r="R8" s="159"/>
    </row>
    <row r="9" spans="2:18" ht="66" customHeight="1">
      <c r="B9" s="88"/>
      <c r="C9" s="91"/>
      <c r="D9" s="94"/>
      <c r="E9" s="94"/>
      <c r="F9" s="95"/>
      <c r="G9" s="98"/>
      <c r="H9" s="164"/>
      <c r="I9" s="78"/>
      <c r="J9" s="78"/>
      <c r="K9" s="78"/>
      <c r="L9" s="78"/>
      <c r="M9" s="78"/>
      <c r="N9" s="78"/>
      <c r="O9" s="78"/>
      <c r="P9" s="78"/>
      <c r="Q9" s="78"/>
      <c r="R9" s="160"/>
    </row>
    <row r="10" spans="2:18">
      <c r="B10" s="88"/>
      <c r="C10" s="91"/>
      <c r="D10" s="95"/>
      <c r="E10" s="95"/>
      <c r="F10" s="95"/>
      <c r="G10" s="78" t="s">
        <v>17</v>
      </c>
      <c r="H10" s="78" t="s">
        <v>17</v>
      </c>
      <c r="I10" s="161" t="s">
        <v>18</v>
      </c>
      <c r="J10" s="82"/>
      <c r="K10" s="82"/>
      <c r="L10" s="82"/>
      <c r="M10" s="161" t="s">
        <v>19</v>
      </c>
      <c r="N10" s="161" t="s">
        <v>20</v>
      </c>
      <c r="O10" s="82"/>
      <c r="P10" s="82"/>
      <c r="Q10" s="82"/>
      <c r="R10" s="162" t="s">
        <v>21</v>
      </c>
    </row>
    <row r="11" spans="2:18" ht="16">
      <c r="B11" s="89"/>
      <c r="C11" s="92"/>
      <c r="D11" s="96"/>
      <c r="E11" s="96"/>
      <c r="F11" s="96"/>
      <c r="G11" s="79"/>
      <c r="H11" s="79"/>
      <c r="I11" s="21" t="s">
        <v>22</v>
      </c>
      <c r="J11" s="21" t="s">
        <v>23</v>
      </c>
      <c r="K11" s="21" t="s">
        <v>24</v>
      </c>
      <c r="L11" s="21" t="s">
        <v>25</v>
      </c>
      <c r="M11" s="82"/>
      <c r="N11" s="21" t="s">
        <v>22</v>
      </c>
      <c r="O11" s="21" t="s">
        <v>23</v>
      </c>
      <c r="P11" s="21" t="s">
        <v>24</v>
      </c>
      <c r="Q11" s="21" t="s">
        <v>25</v>
      </c>
      <c r="R11" s="84"/>
    </row>
    <row r="12" spans="2:18" ht="16" thickBot="1">
      <c r="B12" s="22">
        <v>1</v>
      </c>
      <c r="C12" s="23">
        <v>2</v>
      </c>
      <c r="D12" s="23">
        <v>3</v>
      </c>
      <c r="E12" s="23">
        <v>4</v>
      </c>
      <c r="F12" s="23">
        <v>5</v>
      </c>
      <c r="G12" s="24">
        <v>6</v>
      </c>
      <c r="H12" s="23">
        <v>7</v>
      </c>
      <c r="I12" s="23">
        <v>8</v>
      </c>
      <c r="J12" s="24">
        <v>9</v>
      </c>
      <c r="K12" s="23">
        <v>10</v>
      </c>
      <c r="L12" s="24">
        <v>11</v>
      </c>
      <c r="M12" s="23">
        <v>12</v>
      </c>
      <c r="N12" s="24">
        <v>13</v>
      </c>
      <c r="O12" s="23">
        <v>14</v>
      </c>
      <c r="P12" s="24">
        <v>15</v>
      </c>
      <c r="Q12" s="23">
        <v>16</v>
      </c>
      <c r="R12" s="25">
        <v>17</v>
      </c>
    </row>
    <row r="13" spans="2:18" ht="16">
      <c r="B13" s="101">
        <v>1</v>
      </c>
      <c r="C13" s="104" t="s">
        <v>66</v>
      </c>
      <c r="D13" s="107" t="s">
        <v>26</v>
      </c>
      <c r="E13" s="110">
        <v>9</v>
      </c>
      <c r="F13" s="26" t="s">
        <v>27</v>
      </c>
      <c r="G13" s="27">
        <f t="shared" ref="G13:G76" si="0">H13+M13+R13</f>
        <v>206349.09</v>
      </c>
      <c r="H13" s="28">
        <f>H14+H21</f>
        <v>117342</v>
      </c>
      <c r="I13" s="28">
        <f>I14+I21</f>
        <v>0</v>
      </c>
      <c r="J13" s="28">
        <f>J14+J21</f>
        <v>0</v>
      </c>
      <c r="K13" s="28">
        <f>K14+K21</f>
        <v>0</v>
      </c>
      <c r="L13" s="28">
        <f>L14+L21</f>
        <v>0</v>
      </c>
      <c r="M13" s="28">
        <f t="shared" ref="M13:M76" si="1">I13+J13+K13+L13</f>
        <v>0</v>
      </c>
      <c r="N13" s="28">
        <f>N14+N21</f>
        <v>0</v>
      </c>
      <c r="O13" s="28">
        <f>O14+O21</f>
        <v>0</v>
      </c>
      <c r="P13" s="28">
        <f>P14+P21</f>
        <v>0</v>
      </c>
      <c r="Q13" s="28">
        <f>Q14+Q21</f>
        <v>89007.09</v>
      </c>
      <c r="R13" s="29">
        <f t="shared" ref="R13:R76" si="2">N13+O13+P13+Q13</f>
        <v>89007.09</v>
      </c>
    </row>
    <row r="14" spans="2:18" ht="47.25" customHeight="1">
      <c r="B14" s="102"/>
      <c r="C14" s="105"/>
      <c r="D14" s="108"/>
      <c r="E14" s="108"/>
      <c r="F14" s="30" t="s">
        <v>28</v>
      </c>
      <c r="G14" s="31">
        <f t="shared" si="0"/>
        <v>167763.49</v>
      </c>
      <c r="H14" s="32">
        <f>H16+H17+H18+H19+H20+H15</f>
        <v>95400</v>
      </c>
      <c r="I14" s="32">
        <f>I16+I17+I18+I19+I20+I15</f>
        <v>0</v>
      </c>
      <c r="J14" s="32">
        <f>J16+J17+J18+J19+J20+J15</f>
        <v>0</v>
      </c>
      <c r="K14" s="32">
        <f>K16+K17+K18+K19+K20+K15</f>
        <v>0</v>
      </c>
      <c r="L14" s="32">
        <f>L16+L17+L18+L19+L20+L15</f>
        <v>0</v>
      </c>
      <c r="M14" s="32">
        <f t="shared" si="1"/>
        <v>0</v>
      </c>
      <c r="N14" s="32">
        <f>N15+N16+N17+N18+N19+N20</f>
        <v>0</v>
      </c>
      <c r="O14" s="32">
        <f>O15+O16+O17+O18+O19+O20</f>
        <v>0</v>
      </c>
      <c r="P14" s="32">
        <f>P15+P16+P17+P18+P19+P20</f>
        <v>0</v>
      </c>
      <c r="Q14" s="32">
        <f>Q15+Q16+Q17+Q18+Q19+Q20</f>
        <v>72363.490000000005</v>
      </c>
      <c r="R14" s="33">
        <f t="shared" si="2"/>
        <v>72363.490000000005</v>
      </c>
    </row>
    <row r="15" spans="2:18" ht="57.75" customHeight="1">
      <c r="B15" s="102"/>
      <c r="C15" s="105"/>
      <c r="D15" s="108"/>
      <c r="E15" s="108"/>
      <c r="F15" s="34" t="s">
        <v>29</v>
      </c>
      <c r="G15" s="31">
        <f t="shared" si="0"/>
        <v>167763.49</v>
      </c>
      <c r="H15" s="63">
        <v>95400</v>
      </c>
      <c r="I15" s="36"/>
      <c r="J15" s="36"/>
      <c r="K15" s="36"/>
      <c r="L15" s="36"/>
      <c r="M15" s="32">
        <f t="shared" si="1"/>
        <v>0</v>
      </c>
      <c r="N15" s="36"/>
      <c r="O15" s="61"/>
      <c r="P15" s="36"/>
      <c r="Q15" s="36">
        <v>72363.490000000005</v>
      </c>
      <c r="R15" s="33">
        <f t="shared" si="2"/>
        <v>72363.490000000005</v>
      </c>
    </row>
    <row r="16" spans="2:18">
      <c r="B16" s="102"/>
      <c r="C16" s="105"/>
      <c r="D16" s="108"/>
      <c r="E16" s="108"/>
      <c r="F16" s="34" t="s">
        <v>30</v>
      </c>
      <c r="G16" s="31">
        <f t="shared" si="0"/>
        <v>0</v>
      </c>
      <c r="H16" s="36"/>
      <c r="I16" s="36"/>
      <c r="J16" s="36"/>
      <c r="K16" s="36"/>
      <c r="L16" s="36"/>
      <c r="M16" s="32">
        <f t="shared" si="1"/>
        <v>0</v>
      </c>
      <c r="N16" s="36"/>
      <c r="O16" s="36"/>
      <c r="P16" s="36"/>
      <c r="Q16" s="36"/>
      <c r="R16" s="33">
        <f t="shared" si="2"/>
        <v>0</v>
      </c>
    </row>
    <row r="17" spans="2:19" ht="24" customHeight="1">
      <c r="B17" s="102"/>
      <c r="C17" s="105"/>
      <c r="D17" s="108"/>
      <c r="E17" s="108"/>
      <c r="F17" s="34" t="s">
        <v>31</v>
      </c>
      <c r="G17" s="31">
        <f t="shared" si="0"/>
        <v>0</v>
      </c>
      <c r="H17" s="36"/>
      <c r="I17" s="36"/>
      <c r="J17" s="36"/>
      <c r="K17" s="36"/>
      <c r="L17" s="36"/>
      <c r="M17" s="32">
        <f t="shared" si="1"/>
        <v>0</v>
      </c>
      <c r="N17" s="36"/>
      <c r="O17" s="36"/>
      <c r="P17" s="36"/>
      <c r="Q17" s="36"/>
      <c r="R17" s="33">
        <f t="shared" si="2"/>
        <v>0</v>
      </c>
    </row>
    <row r="18" spans="2:19" ht="28.5" customHeight="1">
      <c r="B18" s="102"/>
      <c r="C18" s="105"/>
      <c r="D18" s="108"/>
      <c r="E18" s="108"/>
      <c r="F18" s="34" t="s">
        <v>32</v>
      </c>
      <c r="G18" s="31">
        <f t="shared" si="0"/>
        <v>0</v>
      </c>
      <c r="H18" s="36"/>
      <c r="I18" s="36"/>
      <c r="J18" s="36"/>
      <c r="K18" s="36"/>
      <c r="L18" s="36"/>
      <c r="M18" s="32">
        <f t="shared" si="1"/>
        <v>0</v>
      </c>
      <c r="N18" s="36"/>
      <c r="O18" s="36"/>
      <c r="P18" s="36"/>
      <c r="Q18" s="36"/>
      <c r="R18" s="33">
        <f t="shared" si="2"/>
        <v>0</v>
      </c>
    </row>
    <row r="19" spans="2:19">
      <c r="B19" s="102"/>
      <c r="C19" s="105"/>
      <c r="D19" s="108"/>
      <c r="E19" s="108"/>
      <c r="F19" s="34" t="s">
        <v>33</v>
      </c>
      <c r="G19" s="31">
        <f t="shared" si="0"/>
        <v>0</v>
      </c>
      <c r="H19" s="36"/>
      <c r="I19" s="36"/>
      <c r="J19" s="36"/>
      <c r="K19" s="36"/>
      <c r="L19" s="36"/>
      <c r="M19" s="32">
        <f t="shared" si="1"/>
        <v>0</v>
      </c>
      <c r="N19" s="36"/>
      <c r="O19" s="36"/>
      <c r="P19" s="36"/>
      <c r="Q19" s="36"/>
      <c r="R19" s="33">
        <f t="shared" si="2"/>
        <v>0</v>
      </c>
    </row>
    <row r="20" spans="2:19">
      <c r="B20" s="102"/>
      <c r="C20" s="105"/>
      <c r="D20" s="108"/>
      <c r="E20" s="108"/>
      <c r="F20" s="34" t="s">
        <v>34</v>
      </c>
      <c r="G20" s="31">
        <f t="shared" si="0"/>
        <v>0</v>
      </c>
      <c r="H20" s="36"/>
      <c r="I20" s="36"/>
      <c r="J20" s="36"/>
      <c r="K20" s="36"/>
      <c r="L20" s="36"/>
      <c r="M20" s="32">
        <f t="shared" si="1"/>
        <v>0</v>
      </c>
      <c r="N20" s="36"/>
      <c r="O20" s="36"/>
      <c r="P20" s="36"/>
      <c r="Q20" s="36"/>
      <c r="R20" s="33">
        <f t="shared" si="2"/>
        <v>0</v>
      </c>
    </row>
    <row r="21" spans="2:19" ht="32">
      <c r="B21" s="102"/>
      <c r="C21" s="105"/>
      <c r="D21" s="108"/>
      <c r="E21" s="108"/>
      <c r="F21" s="30" t="s">
        <v>35</v>
      </c>
      <c r="G21" s="31">
        <f t="shared" si="0"/>
        <v>38585.599999999999</v>
      </c>
      <c r="H21" s="31">
        <f>H22+H23</f>
        <v>21942</v>
      </c>
      <c r="I21" s="31">
        <f>I22+I23</f>
        <v>0</v>
      </c>
      <c r="J21" s="31">
        <f>J22+J23</f>
        <v>0</v>
      </c>
      <c r="K21" s="31">
        <f>K22+K23</f>
        <v>0</v>
      </c>
      <c r="L21" s="31">
        <f>L22+L23</f>
        <v>0</v>
      </c>
      <c r="M21" s="32">
        <f t="shared" si="1"/>
        <v>0</v>
      </c>
      <c r="N21" s="32">
        <f>N22+N23</f>
        <v>0</v>
      </c>
      <c r="O21" s="32">
        <f>O22+O23</f>
        <v>0</v>
      </c>
      <c r="P21" s="32">
        <f>P22+P23</f>
        <v>0</v>
      </c>
      <c r="Q21" s="32">
        <f>Q22+Q23</f>
        <v>16643.599999999999</v>
      </c>
      <c r="R21" s="33">
        <f t="shared" si="2"/>
        <v>16643.599999999999</v>
      </c>
    </row>
    <row r="22" spans="2:19" ht="24" customHeight="1">
      <c r="B22" s="102"/>
      <c r="C22" s="105"/>
      <c r="D22" s="108"/>
      <c r="E22" s="108"/>
      <c r="F22" s="34" t="s">
        <v>36</v>
      </c>
      <c r="G22" s="31">
        <f t="shared" si="0"/>
        <v>38585.599999999999</v>
      </c>
      <c r="H22" s="36">
        <f>(H15*1.23)-H15</f>
        <v>21942</v>
      </c>
      <c r="I22" s="36"/>
      <c r="J22" s="36"/>
      <c r="K22" s="36"/>
      <c r="L22" s="36"/>
      <c r="M22" s="32">
        <f t="shared" si="1"/>
        <v>0</v>
      </c>
      <c r="N22" s="36"/>
      <c r="O22" s="36"/>
      <c r="P22" s="36"/>
      <c r="Q22" s="36">
        <v>16643.599999999999</v>
      </c>
      <c r="R22" s="33">
        <f t="shared" si="2"/>
        <v>16643.599999999999</v>
      </c>
      <c r="S22" s="73"/>
    </row>
    <row r="23" spans="2:19" ht="39" customHeight="1" thickBot="1">
      <c r="B23" s="103"/>
      <c r="C23" s="106"/>
      <c r="D23" s="109"/>
      <c r="E23" s="109"/>
      <c r="F23" s="37" t="s">
        <v>37</v>
      </c>
      <c r="G23" s="38">
        <f t="shared" si="0"/>
        <v>0</v>
      </c>
      <c r="H23" s="39"/>
      <c r="I23" s="39"/>
      <c r="J23" s="39"/>
      <c r="K23" s="39"/>
      <c r="L23" s="39"/>
      <c r="M23" s="40">
        <f t="shared" si="1"/>
        <v>0</v>
      </c>
      <c r="N23" s="39"/>
      <c r="O23" s="39"/>
      <c r="P23" s="39"/>
      <c r="Q23" s="39"/>
      <c r="R23" s="41">
        <f t="shared" si="2"/>
        <v>0</v>
      </c>
    </row>
    <row r="24" spans="2:19" ht="36" customHeight="1">
      <c r="B24" s="101">
        <v>2</v>
      </c>
      <c r="C24" s="104" t="s">
        <v>64</v>
      </c>
      <c r="D24" s="110" t="s">
        <v>26</v>
      </c>
      <c r="E24" s="110">
        <v>9</v>
      </c>
      <c r="F24" s="26" t="s">
        <v>27</v>
      </c>
      <c r="G24" s="27">
        <f t="shared" si="0"/>
        <v>229641</v>
      </c>
      <c r="H24" s="28">
        <f>H25+H32</f>
        <v>0</v>
      </c>
      <c r="I24" s="28">
        <f>I25+I32</f>
        <v>0</v>
      </c>
      <c r="J24" s="28">
        <f>J25+J32</f>
        <v>0</v>
      </c>
      <c r="K24" s="28">
        <f>K25+K32</f>
        <v>26691</v>
      </c>
      <c r="L24" s="28">
        <f>L25+L32</f>
        <v>123000</v>
      </c>
      <c r="M24" s="28">
        <f t="shared" si="1"/>
        <v>149691</v>
      </c>
      <c r="N24" s="28">
        <f>N25+N32</f>
        <v>61500</v>
      </c>
      <c r="O24" s="28">
        <f>O25+O32</f>
        <v>18450</v>
      </c>
      <c r="P24" s="28">
        <f>P25+P32</f>
        <v>0</v>
      </c>
      <c r="Q24" s="28">
        <f>Q25+Q32</f>
        <v>0</v>
      </c>
      <c r="R24" s="29">
        <f t="shared" si="2"/>
        <v>79950</v>
      </c>
    </row>
    <row r="25" spans="2:19" ht="48.75" customHeight="1">
      <c r="B25" s="102"/>
      <c r="C25" s="105"/>
      <c r="D25" s="108"/>
      <c r="E25" s="108"/>
      <c r="F25" s="30" t="s">
        <v>28</v>
      </c>
      <c r="G25" s="31">
        <f t="shared" si="0"/>
        <v>186700</v>
      </c>
      <c r="H25" s="32">
        <f>H27+H28+H29+H30+H31+H26</f>
        <v>0</v>
      </c>
      <c r="I25" s="32">
        <f>I27+I28+I29+I30+I31+I26</f>
        <v>0</v>
      </c>
      <c r="J25" s="32">
        <f>J27+J28+J29+J30+J31+J26</f>
        <v>0</v>
      </c>
      <c r="K25" s="32">
        <f>K27+K28+K29+K30+K31+K26</f>
        <v>21700</v>
      </c>
      <c r="L25" s="32">
        <f>L27+L28+L29+L30+L31+L26</f>
        <v>100000</v>
      </c>
      <c r="M25" s="32">
        <f t="shared" si="1"/>
        <v>121700</v>
      </c>
      <c r="N25" s="32">
        <f>N26+N27+N28+N29+N30+N31</f>
        <v>50000</v>
      </c>
      <c r="O25" s="32">
        <f>O26+O27+O28+O29+O30+O31</f>
        <v>15000</v>
      </c>
      <c r="P25" s="32">
        <f>P26+P27+P28+P29+P30+P31</f>
        <v>0</v>
      </c>
      <c r="Q25" s="32">
        <f>Q26+Q27+Q28+Q29+Q30+Q31</f>
        <v>0</v>
      </c>
      <c r="R25" s="33">
        <f t="shared" si="2"/>
        <v>65000</v>
      </c>
    </row>
    <row r="26" spans="2:19" ht="47.25" customHeight="1">
      <c r="B26" s="102"/>
      <c r="C26" s="105"/>
      <c r="D26" s="108"/>
      <c r="E26" s="108"/>
      <c r="F26" s="34" t="s">
        <v>29</v>
      </c>
      <c r="G26" s="31">
        <f t="shared" si="0"/>
        <v>186700</v>
      </c>
      <c r="H26" s="59"/>
      <c r="I26" s="60"/>
      <c r="J26" s="36"/>
      <c r="K26" s="61">
        <v>21700</v>
      </c>
      <c r="L26" s="36">
        <v>100000</v>
      </c>
      <c r="M26" s="32">
        <f>I26+J26+K26+L26</f>
        <v>121700</v>
      </c>
      <c r="N26" s="36">
        <v>50000</v>
      </c>
      <c r="O26" s="36">
        <v>15000</v>
      </c>
      <c r="P26" s="36"/>
      <c r="Q26" s="36"/>
      <c r="R26" s="33">
        <f t="shared" si="2"/>
        <v>65000</v>
      </c>
    </row>
    <row r="27" spans="2:19">
      <c r="B27" s="102"/>
      <c r="C27" s="105"/>
      <c r="D27" s="108"/>
      <c r="E27" s="108"/>
      <c r="F27" s="34" t="s">
        <v>30</v>
      </c>
      <c r="G27" s="31">
        <f t="shared" si="0"/>
        <v>0</v>
      </c>
      <c r="H27" s="60"/>
      <c r="I27" s="60"/>
      <c r="J27" s="60"/>
      <c r="K27" s="60"/>
      <c r="L27" s="60"/>
      <c r="M27" s="32">
        <f t="shared" si="1"/>
        <v>0</v>
      </c>
      <c r="N27" s="36"/>
      <c r="O27" s="36"/>
      <c r="P27" s="36"/>
      <c r="Q27" s="36"/>
      <c r="R27" s="33">
        <f t="shared" si="2"/>
        <v>0</v>
      </c>
    </row>
    <row r="28" spans="2:19" ht="27" customHeight="1">
      <c r="B28" s="102"/>
      <c r="C28" s="105"/>
      <c r="D28" s="108"/>
      <c r="E28" s="108"/>
      <c r="F28" s="34" t="s">
        <v>31</v>
      </c>
      <c r="G28" s="31">
        <f t="shared" si="0"/>
        <v>0</v>
      </c>
      <c r="H28" s="60"/>
      <c r="I28" s="60"/>
      <c r="J28" s="60"/>
      <c r="K28" s="60"/>
      <c r="L28" s="60"/>
      <c r="M28" s="32">
        <f t="shared" si="1"/>
        <v>0</v>
      </c>
      <c r="N28" s="36"/>
      <c r="O28" s="36"/>
      <c r="P28" s="36"/>
      <c r="Q28" s="36"/>
      <c r="R28" s="33">
        <f t="shared" si="2"/>
        <v>0</v>
      </c>
    </row>
    <row r="29" spans="2:19" ht="27.75" customHeight="1">
      <c r="B29" s="102"/>
      <c r="C29" s="105"/>
      <c r="D29" s="108"/>
      <c r="E29" s="108"/>
      <c r="F29" s="34" t="s">
        <v>32</v>
      </c>
      <c r="G29" s="31">
        <f t="shared" si="0"/>
        <v>0</v>
      </c>
      <c r="H29" s="60"/>
      <c r="I29" s="60"/>
      <c r="J29" s="60"/>
      <c r="K29" s="60"/>
      <c r="L29" s="60"/>
      <c r="M29" s="32">
        <f t="shared" si="1"/>
        <v>0</v>
      </c>
      <c r="N29" s="36"/>
      <c r="O29" s="36"/>
      <c r="P29" s="36"/>
      <c r="Q29" s="36"/>
      <c r="R29" s="33">
        <f t="shared" si="2"/>
        <v>0</v>
      </c>
    </row>
    <row r="30" spans="2:19">
      <c r="B30" s="102"/>
      <c r="C30" s="105"/>
      <c r="D30" s="108"/>
      <c r="E30" s="108"/>
      <c r="F30" s="34" t="s">
        <v>33</v>
      </c>
      <c r="G30" s="31">
        <f t="shared" si="0"/>
        <v>0</v>
      </c>
      <c r="H30" s="60"/>
      <c r="I30" s="60"/>
      <c r="J30" s="60"/>
      <c r="K30" s="60"/>
      <c r="L30" s="60"/>
      <c r="M30" s="32">
        <f t="shared" si="1"/>
        <v>0</v>
      </c>
      <c r="N30" s="36"/>
      <c r="O30" s="36"/>
      <c r="P30" s="36"/>
      <c r="Q30" s="36"/>
      <c r="R30" s="33">
        <f t="shared" si="2"/>
        <v>0</v>
      </c>
    </row>
    <row r="31" spans="2:19">
      <c r="B31" s="102"/>
      <c r="C31" s="105"/>
      <c r="D31" s="108"/>
      <c r="E31" s="108"/>
      <c r="F31" s="34" t="s">
        <v>34</v>
      </c>
      <c r="G31" s="31">
        <f t="shared" si="0"/>
        <v>0</v>
      </c>
      <c r="H31" s="60"/>
      <c r="I31" s="60"/>
      <c r="J31" s="60"/>
      <c r="K31" s="60"/>
      <c r="L31" s="60"/>
      <c r="M31" s="32">
        <f t="shared" si="1"/>
        <v>0</v>
      </c>
      <c r="N31" s="36"/>
      <c r="O31" s="36"/>
      <c r="P31" s="36"/>
      <c r="Q31" s="36"/>
      <c r="R31" s="33">
        <f t="shared" si="2"/>
        <v>0</v>
      </c>
    </row>
    <row r="32" spans="2:19" ht="49.5" customHeight="1">
      <c r="B32" s="102"/>
      <c r="C32" s="105"/>
      <c r="D32" s="108"/>
      <c r="E32" s="108"/>
      <c r="F32" s="30" t="s">
        <v>35</v>
      </c>
      <c r="G32" s="31">
        <f t="shared" si="0"/>
        <v>42941</v>
      </c>
      <c r="H32" s="31">
        <f>H33+H34</f>
        <v>0</v>
      </c>
      <c r="I32" s="31">
        <f>I33+I34</f>
        <v>0</v>
      </c>
      <c r="J32" s="31">
        <f>J33+J34</f>
        <v>0</v>
      </c>
      <c r="K32" s="31">
        <f>K33+K34</f>
        <v>4991</v>
      </c>
      <c r="L32" s="31">
        <f>L33+L34</f>
        <v>23000</v>
      </c>
      <c r="M32" s="32">
        <f t="shared" si="1"/>
        <v>27991</v>
      </c>
      <c r="N32" s="32">
        <f>N33+N34</f>
        <v>11500</v>
      </c>
      <c r="O32" s="32">
        <f>O33+O34</f>
        <v>3450</v>
      </c>
      <c r="P32" s="32">
        <f>P33+P34</f>
        <v>0</v>
      </c>
      <c r="Q32" s="32">
        <f>Q33+Q34</f>
        <v>0</v>
      </c>
      <c r="R32" s="33">
        <f t="shared" si="2"/>
        <v>14950</v>
      </c>
    </row>
    <row r="33" spans="2:18" ht="26.25" customHeight="1">
      <c r="B33" s="102"/>
      <c r="C33" s="105"/>
      <c r="D33" s="108"/>
      <c r="E33" s="108"/>
      <c r="F33" s="34" t="s">
        <v>36</v>
      </c>
      <c r="G33" s="31">
        <f t="shared" si="0"/>
        <v>42941</v>
      </c>
      <c r="H33" s="36"/>
      <c r="I33" s="36"/>
      <c r="J33" s="36"/>
      <c r="K33" s="36">
        <f>(K26*1.23)-K26</f>
        <v>4991</v>
      </c>
      <c r="L33" s="36">
        <f>(L26*1.23)-L26</f>
        <v>23000</v>
      </c>
      <c r="M33" s="32">
        <f>I33+J33+K33+L33</f>
        <v>27991</v>
      </c>
      <c r="N33" s="36">
        <v>11500</v>
      </c>
      <c r="O33" s="36">
        <v>3450</v>
      </c>
      <c r="P33" s="36"/>
      <c r="Q33" s="36"/>
      <c r="R33" s="33">
        <f t="shared" si="2"/>
        <v>14950</v>
      </c>
    </row>
    <row r="34" spans="2:18" ht="28.5" customHeight="1" thickBot="1">
      <c r="B34" s="103"/>
      <c r="C34" s="106"/>
      <c r="D34" s="109"/>
      <c r="E34" s="109"/>
      <c r="F34" s="37" t="s">
        <v>37</v>
      </c>
      <c r="G34" s="38">
        <f t="shared" si="0"/>
        <v>0</v>
      </c>
      <c r="H34" s="39"/>
      <c r="I34" s="39"/>
      <c r="J34" s="39"/>
      <c r="K34" s="39"/>
      <c r="L34" s="39"/>
      <c r="M34" s="40">
        <f t="shared" si="1"/>
        <v>0</v>
      </c>
      <c r="N34" s="39"/>
      <c r="O34" s="39"/>
      <c r="P34" s="39"/>
      <c r="Q34" s="39"/>
      <c r="R34" s="41">
        <f t="shared" si="2"/>
        <v>0</v>
      </c>
    </row>
    <row r="35" spans="2:18" ht="33.75" customHeight="1">
      <c r="B35" s="101">
        <v>3</v>
      </c>
      <c r="C35" s="104" t="s">
        <v>65</v>
      </c>
      <c r="D35" s="110" t="s">
        <v>26</v>
      </c>
      <c r="E35" s="110">
        <v>9</v>
      </c>
      <c r="F35" s="26" t="s">
        <v>27</v>
      </c>
      <c r="G35" s="27">
        <f t="shared" si="0"/>
        <v>373920</v>
      </c>
      <c r="H35" s="28">
        <f>H36+H43</f>
        <v>0</v>
      </c>
      <c r="I35" s="28">
        <f>I36+I43</f>
        <v>0</v>
      </c>
      <c r="J35" s="28">
        <f>J36+J43</f>
        <v>0</v>
      </c>
      <c r="K35" s="28">
        <f>K36+K43</f>
        <v>0</v>
      </c>
      <c r="L35" s="28">
        <f>L36+L43</f>
        <v>0</v>
      </c>
      <c r="M35" s="28">
        <f t="shared" si="1"/>
        <v>0</v>
      </c>
      <c r="N35" s="28">
        <f>N36+N43</f>
        <v>0</v>
      </c>
      <c r="O35" s="28">
        <f>O36+O43</f>
        <v>0</v>
      </c>
      <c r="P35" s="28">
        <f>P36+P43</f>
        <v>224352</v>
      </c>
      <c r="Q35" s="28">
        <f>Q36+Q43</f>
        <v>149568</v>
      </c>
      <c r="R35" s="29">
        <f t="shared" si="2"/>
        <v>373920</v>
      </c>
    </row>
    <row r="36" spans="2:18" ht="42" customHeight="1">
      <c r="B36" s="102"/>
      <c r="C36" s="105"/>
      <c r="D36" s="108"/>
      <c r="E36" s="108"/>
      <c r="F36" s="30" t="s">
        <v>28</v>
      </c>
      <c r="G36" s="31">
        <f t="shared" si="0"/>
        <v>304000</v>
      </c>
      <c r="H36" s="32">
        <f>H38+H39+H40+H41+H42+H37</f>
        <v>0</v>
      </c>
      <c r="I36" s="32">
        <f>I38+I39+I40+I41+I42+I37</f>
        <v>0</v>
      </c>
      <c r="J36" s="32">
        <f>J38+J39+J40+J41+J42+J37</f>
        <v>0</v>
      </c>
      <c r="K36" s="32">
        <f>K38+K39+K40+K41+K42+K37</f>
        <v>0</v>
      </c>
      <c r="L36" s="32">
        <f>L38+L39+L40+L41+L42+L37</f>
        <v>0</v>
      </c>
      <c r="M36" s="32">
        <f t="shared" si="1"/>
        <v>0</v>
      </c>
      <c r="N36" s="32">
        <f>N37+N38+N39+N40+N41+N42</f>
        <v>0</v>
      </c>
      <c r="O36" s="32">
        <f>O37+O38+O39+O40+O41+O42</f>
        <v>0</v>
      </c>
      <c r="P36" s="32">
        <f>P37+P38+P39+P40+P41+P42</f>
        <v>182400</v>
      </c>
      <c r="Q36" s="32">
        <f>Q37+Q38+Q39+Q40+Q41+Q42</f>
        <v>121600</v>
      </c>
      <c r="R36" s="33">
        <f t="shared" si="2"/>
        <v>304000</v>
      </c>
    </row>
    <row r="37" spans="2:18" ht="50.25" customHeight="1">
      <c r="B37" s="102"/>
      <c r="C37" s="105"/>
      <c r="D37" s="108"/>
      <c r="E37" s="108"/>
      <c r="F37" s="34" t="s">
        <v>29</v>
      </c>
      <c r="G37" s="31">
        <f t="shared" si="0"/>
        <v>304000</v>
      </c>
      <c r="H37" s="35"/>
      <c r="I37" s="36"/>
      <c r="J37" s="36"/>
      <c r="K37" s="36"/>
      <c r="L37" s="36"/>
      <c r="M37" s="32">
        <f t="shared" si="1"/>
        <v>0</v>
      </c>
      <c r="N37" s="36"/>
      <c r="O37" s="36"/>
      <c r="P37" s="36">
        <v>182400</v>
      </c>
      <c r="Q37" s="36">
        <v>121600</v>
      </c>
      <c r="R37" s="33">
        <f t="shared" si="2"/>
        <v>304000</v>
      </c>
    </row>
    <row r="38" spans="2:18">
      <c r="B38" s="102"/>
      <c r="C38" s="105"/>
      <c r="D38" s="108"/>
      <c r="E38" s="108"/>
      <c r="F38" s="34" t="s">
        <v>30</v>
      </c>
      <c r="G38" s="31">
        <f t="shared" si="0"/>
        <v>0</v>
      </c>
      <c r="H38" s="36"/>
      <c r="I38" s="36"/>
      <c r="J38" s="36"/>
      <c r="K38" s="36"/>
      <c r="L38" s="36"/>
      <c r="M38" s="32">
        <f t="shared" si="1"/>
        <v>0</v>
      </c>
      <c r="N38" s="36"/>
      <c r="O38" s="36"/>
      <c r="P38" s="36"/>
      <c r="Q38" s="36"/>
      <c r="R38" s="33">
        <f t="shared" si="2"/>
        <v>0</v>
      </c>
    </row>
    <row r="39" spans="2:18" ht="27.75" customHeight="1">
      <c r="B39" s="102"/>
      <c r="C39" s="105"/>
      <c r="D39" s="108"/>
      <c r="E39" s="108"/>
      <c r="F39" s="34" t="s">
        <v>31</v>
      </c>
      <c r="G39" s="31">
        <f t="shared" si="0"/>
        <v>0</v>
      </c>
      <c r="H39" s="36"/>
      <c r="I39" s="36"/>
      <c r="J39" s="36"/>
      <c r="K39" s="36"/>
      <c r="L39" s="36"/>
      <c r="M39" s="32">
        <f t="shared" si="1"/>
        <v>0</v>
      </c>
      <c r="N39" s="36"/>
      <c r="O39" s="36"/>
      <c r="P39" s="36"/>
      <c r="Q39" s="36"/>
      <c r="R39" s="33">
        <f t="shared" si="2"/>
        <v>0</v>
      </c>
    </row>
    <row r="40" spans="2:18" ht="28.5" customHeight="1">
      <c r="B40" s="102"/>
      <c r="C40" s="105"/>
      <c r="D40" s="108"/>
      <c r="E40" s="108"/>
      <c r="F40" s="34" t="s">
        <v>32</v>
      </c>
      <c r="G40" s="31">
        <f t="shared" si="0"/>
        <v>0</v>
      </c>
      <c r="H40" s="36"/>
      <c r="I40" s="36"/>
      <c r="J40" s="36"/>
      <c r="K40" s="36"/>
      <c r="L40" s="36"/>
      <c r="M40" s="32">
        <f t="shared" si="1"/>
        <v>0</v>
      </c>
      <c r="N40" s="36"/>
      <c r="O40" s="36"/>
      <c r="P40" s="36"/>
      <c r="Q40" s="36"/>
      <c r="R40" s="33">
        <f t="shared" si="2"/>
        <v>0</v>
      </c>
    </row>
    <row r="41" spans="2:18">
      <c r="B41" s="102"/>
      <c r="C41" s="105"/>
      <c r="D41" s="108"/>
      <c r="E41" s="108"/>
      <c r="F41" s="34" t="s">
        <v>33</v>
      </c>
      <c r="G41" s="31">
        <f t="shared" si="0"/>
        <v>0</v>
      </c>
      <c r="H41" s="36"/>
      <c r="I41" s="36"/>
      <c r="J41" s="36"/>
      <c r="K41" s="36"/>
      <c r="L41" s="36"/>
      <c r="M41" s="32">
        <f t="shared" si="1"/>
        <v>0</v>
      </c>
      <c r="N41" s="36"/>
      <c r="O41" s="36"/>
      <c r="P41" s="36"/>
      <c r="Q41" s="36"/>
      <c r="R41" s="33">
        <f t="shared" si="2"/>
        <v>0</v>
      </c>
    </row>
    <row r="42" spans="2:18">
      <c r="B42" s="102"/>
      <c r="C42" s="105"/>
      <c r="D42" s="108"/>
      <c r="E42" s="108"/>
      <c r="F42" s="34" t="s">
        <v>34</v>
      </c>
      <c r="G42" s="31">
        <f t="shared" si="0"/>
        <v>0</v>
      </c>
      <c r="H42" s="36"/>
      <c r="I42" s="36"/>
      <c r="J42" s="36"/>
      <c r="K42" s="36"/>
      <c r="L42" s="36"/>
      <c r="M42" s="32">
        <f t="shared" si="1"/>
        <v>0</v>
      </c>
      <c r="N42" s="36"/>
      <c r="O42" s="36"/>
      <c r="P42" s="36"/>
      <c r="Q42" s="36"/>
      <c r="R42" s="33">
        <f t="shared" si="2"/>
        <v>0</v>
      </c>
    </row>
    <row r="43" spans="2:18" ht="51" customHeight="1">
      <c r="B43" s="102"/>
      <c r="C43" s="105"/>
      <c r="D43" s="108"/>
      <c r="E43" s="108"/>
      <c r="F43" s="30" t="s">
        <v>35</v>
      </c>
      <c r="G43" s="31">
        <f t="shared" si="0"/>
        <v>69920</v>
      </c>
      <c r="H43" s="31">
        <f>H44+H45</f>
        <v>0</v>
      </c>
      <c r="I43" s="31">
        <f>I44+I45</f>
        <v>0</v>
      </c>
      <c r="J43" s="31">
        <f>J44+J45</f>
        <v>0</v>
      </c>
      <c r="K43" s="31">
        <f>K44+K45</f>
        <v>0</v>
      </c>
      <c r="L43" s="31">
        <f>L44+L45</f>
        <v>0</v>
      </c>
      <c r="M43" s="32">
        <f t="shared" si="1"/>
        <v>0</v>
      </c>
      <c r="N43" s="31">
        <f>N44+N45</f>
        <v>0</v>
      </c>
      <c r="O43" s="31">
        <f>O44+O45</f>
        <v>0</v>
      </c>
      <c r="P43" s="32">
        <f>P44+P45</f>
        <v>41952</v>
      </c>
      <c r="Q43" s="32">
        <f>Q44+Q45</f>
        <v>27968</v>
      </c>
      <c r="R43" s="33">
        <f t="shared" si="2"/>
        <v>69920</v>
      </c>
    </row>
    <row r="44" spans="2:18" ht="30.75" customHeight="1">
      <c r="B44" s="102"/>
      <c r="C44" s="105"/>
      <c r="D44" s="108"/>
      <c r="E44" s="108"/>
      <c r="F44" s="34" t="s">
        <v>36</v>
      </c>
      <c r="G44" s="31">
        <f t="shared" si="0"/>
        <v>69920</v>
      </c>
      <c r="H44" s="36"/>
      <c r="I44" s="36"/>
      <c r="J44" s="36"/>
      <c r="K44" s="36"/>
      <c r="L44" s="36"/>
      <c r="M44" s="32">
        <f t="shared" si="1"/>
        <v>0</v>
      </c>
      <c r="N44" s="36"/>
      <c r="O44" s="36"/>
      <c r="P44" s="36">
        <f>(P37*1.23)-P37</f>
        <v>41952</v>
      </c>
      <c r="Q44" s="36">
        <f>(Q37*1.23)-Q37</f>
        <v>27968</v>
      </c>
      <c r="R44" s="33">
        <f t="shared" si="2"/>
        <v>69920</v>
      </c>
    </row>
    <row r="45" spans="2:18" ht="29.25" customHeight="1" thickBot="1">
      <c r="B45" s="103"/>
      <c r="C45" s="106"/>
      <c r="D45" s="109"/>
      <c r="E45" s="109"/>
      <c r="F45" s="37" t="s">
        <v>37</v>
      </c>
      <c r="G45" s="38">
        <f t="shared" si="0"/>
        <v>0</v>
      </c>
      <c r="H45" s="39"/>
      <c r="I45" s="39"/>
      <c r="J45" s="39"/>
      <c r="K45" s="39"/>
      <c r="L45" s="39"/>
      <c r="M45" s="40">
        <f t="shared" si="1"/>
        <v>0</v>
      </c>
      <c r="N45" s="39"/>
      <c r="O45" s="39"/>
      <c r="P45" s="39"/>
      <c r="Q45" s="39"/>
      <c r="R45" s="41">
        <f t="shared" si="2"/>
        <v>0</v>
      </c>
    </row>
    <row r="46" spans="2:18" ht="37.5" customHeight="1">
      <c r="B46" s="113" t="s">
        <v>38</v>
      </c>
      <c r="C46" s="104" t="s">
        <v>68</v>
      </c>
      <c r="D46" s="110" t="s">
        <v>39</v>
      </c>
      <c r="E46" s="110">
        <v>1</v>
      </c>
      <c r="F46" s="26" t="s">
        <v>27</v>
      </c>
      <c r="G46" s="27">
        <f t="shared" si="0"/>
        <v>7020525.1200000001</v>
      </c>
      <c r="H46" s="28">
        <f>H47+H54</f>
        <v>0</v>
      </c>
      <c r="I46" s="28">
        <f>I47+I54</f>
        <v>0</v>
      </c>
      <c r="J46" s="28">
        <f>J47+J54</f>
        <v>0</v>
      </c>
      <c r="K46" s="28">
        <f>K47+K54</f>
        <v>0</v>
      </c>
      <c r="L46" s="28">
        <f>L47+L54</f>
        <v>0</v>
      </c>
      <c r="M46" s="28">
        <f t="shared" si="1"/>
        <v>0</v>
      </c>
      <c r="N46" s="28">
        <f>N47+N54</f>
        <v>0</v>
      </c>
      <c r="O46" s="28">
        <f>O47+O54</f>
        <v>0</v>
      </c>
      <c r="P46" s="28">
        <f>P47+P54</f>
        <v>5441822.5800000001</v>
      </c>
      <c r="Q46" s="28">
        <f>Q47+Q54</f>
        <v>1578702.54</v>
      </c>
      <c r="R46" s="29">
        <f t="shared" si="2"/>
        <v>7020525.1200000001</v>
      </c>
    </row>
    <row r="47" spans="2:18" ht="41.25" customHeight="1">
      <c r="B47" s="102"/>
      <c r="C47" s="105"/>
      <c r="D47" s="108"/>
      <c r="E47" s="108"/>
      <c r="F47" s="30" t="s">
        <v>28</v>
      </c>
      <c r="G47" s="31">
        <f t="shared" si="0"/>
        <v>5707744</v>
      </c>
      <c r="H47" s="32">
        <f>H49+H50+H51+H52+H53+H48</f>
        <v>0</v>
      </c>
      <c r="I47" s="32">
        <f>I49+I50+I51+I52+I53+I48</f>
        <v>0</v>
      </c>
      <c r="J47" s="32">
        <f>J49+J50+J51+J52+J53+J48</f>
        <v>0</v>
      </c>
      <c r="K47" s="32">
        <f>K49+K50+K51+K52+K53+K48</f>
        <v>0</v>
      </c>
      <c r="L47" s="32">
        <f>L49+L50+L51+L52+L53+L48</f>
        <v>0</v>
      </c>
      <c r="M47" s="32">
        <f t="shared" si="1"/>
        <v>0</v>
      </c>
      <c r="N47" s="32">
        <f>N48+N49+N50+N51+N52+N53</f>
        <v>0</v>
      </c>
      <c r="O47" s="32">
        <f>O48+O49+O50+O51+O52+O53</f>
        <v>0</v>
      </c>
      <c r="P47" s="32">
        <f>P48+P49+P50+P51+P52+P53</f>
        <v>4424246</v>
      </c>
      <c r="Q47" s="32">
        <f>Q48+Q49+Q50+Q51+Q52+Q53</f>
        <v>1283498</v>
      </c>
      <c r="R47" s="33">
        <f t="shared" si="2"/>
        <v>5707744</v>
      </c>
    </row>
    <row r="48" spans="2:18" ht="50.25" customHeight="1">
      <c r="B48" s="102"/>
      <c r="C48" s="105"/>
      <c r="D48" s="108"/>
      <c r="E48" s="108"/>
      <c r="F48" s="34" t="s">
        <v>29</v>
      </c>
      <c r="G48" s="68">
        <f t="shared" si="0"/>
        <v>5707744</v>
      </c>
      <c r="H48" s="35"/>
      <c r="I48" s="36"/>
      <c r="J48" s="36"/>
      <c r="K48" s="36"/>
      <c r="L48" s="36"/>
      <c r="M48" s="31">
        <f t="shared" si="1"/>
        <v>0</v>
      </c>
      <c r="N48" s="35"/>
      <c r="O48" s="35"/>
      <c r="P48" s="36">
        <v>4424246</v>
      </c>
      <c r="Q48" s="36">
        <v>1283498</v>
      </c>
      <c r="R48" s="33">
        <f t="shared" si="2"/>
        <v>5707744</v>
      </c>
    </row>
    <row r="49" spans="2:18">
      <c r="B49" s="102"/>
      <c r="C49" s="105"/>
      <c r="D49" s="108"/>
      <c r="E49" s="108"/>
      <c r="F49" s="34" t="s">
        <v>30</v>
      </c>
      <c r="G49" s="31">
        <f t="shared" si="0"/>
        <v>0</v>
      </c>
      <c r="H49" s="36"/>
      <c r="I49" s="36"/>
      <c r="J49" s="36"/>
      <c r="K49" s="36"/>
      <c r="L49" s="36"/>
      <c r="M49" s="31">
        <f t="shared" si="1"/>
        <v>0</v>
      </c>
      <c r="N49" s="36"/>
      <c r="O49" s="36"/>
      <c r="P49" s="36"/>
      <c r="Q49" s="36"/>
      <c r="R49" s="33">
        <f t="shared" si="2"/>
        <v>0</v>
      </c>
    </row>
    <row r="50" spans="2:18" ht="25.5" customHeight="1">
      <c r="B50" s="102"/>
      <c r="C50" s="105"/>
      <c r="D50" s="108"/>
      <c r="E50" s="108"/>
      <c r="F50" s="34" t="s">
        <v>31</v>
      </c>
      <c r="G50" s="31">
        <f t="shared" si="0"/>
        <v>0</v>
      </c>
      <c r="H50" s="36"/>
      <c r="I50" s="36"/>
      <c r="J50" s="36"/>
      <c r="K50" s="60"/>
      <c r="L50" s="36"/>
      <c r="M50" s="31">
        <f t="shared" si="1"/>
        <v>0</v>
      </c>
      <c r="N50" s="36"/>
      <c r="O50" s="36"/>
      <c r="P50" s="36"/>
      <c r="Q50" s="36"/>
      <c r="R50" s="33">
        <f t="shared" si="2"/>
        <v>0</v>
      </c>
    </row>
    <row r="51" spans="2:18" ht="30.75" customHeight="1">
      <c r="B51" s="102"/>
      <c r="C51" s="105"/>
      <c r="D51" s="108"/>
      <c r="E51" s="108"/>
      <c r="F51" s="34" t="s">
        <v>32</v>
      </c>
      <c r="G51" s="31">
        <f t="shared" si="0"/>
        <v>0</v>
      </c>
      <c r="H51" s="36"/>
      <c r="I51" s="36"/>
      <c r="J51" s="36"/>
      <c r="K51" s="36"/>
      <c r="L51" s="36"/>
      <c r="M51" s="31">
        <f t="shared" si="1"/>
        <v>0</v>
      </c>
      <c r="N51" s="36"/>
      <c r="O51" s="36"/>
      <c r="P51" s="36"/>
      <c r="Q51" s="36"/>
      <c r="R51" s="33">
        <f t="shared" si="2"/>
        <v>0</v>
      </c>
    </row>
    <row r="52" spans="2:18">
      <c r="B52" s="102"/>
      <c r="C52" s="105"/>
      <c r="D52" s="108"/>
      <c r="E52" s="108"/>
      <c r="F52" s="34" t="s">
        <v>33</v>
      </c>
      <c r="G52" s="31">
        <f t="shared" si="0"/>
        <v>0</v>
      </c>
      <c r="H52" s="36"/>
      <c r="I52" s="36"/>
      <c r="J52" s="36"/>
      <c r="K52" s="36"/>
      <c r="L52" s="36"/>
      <c r="M52" s="31">
        <f t="shared" si="1"/>
        <v>0</v>
      </c>
      <c r="N52" s="36"/>
      <c r="O52" s="36"/>
      <c r="P52" s="36"/>
      <c r="Q52" s="36"/>
      <c r="R52" s="33">
        <f t="shared" si="2"/>
        <v>0</v>
      </c>
    </row>
    <row r="53" spans="2:18">
      <c r="B53" s="102"/>
      <c r="C53" s="105"/>
      <c r="D53" s="108"/>
      <c r="E53" s="108"/>
      <c r="F53" s="34" t="s">
        <v>34</v>
      </c>
      <c r="G53" s="31">
        <f t="shared" si="0"/>
        <v>0</v>
      </c>
      <c r="H53" s="36"/>
      <c r="I53" s="36"/>
      <c r="J53" s="36"/>
      <c r="K53" s="36"/>
      <c r="L53" s="36"/>
      <c r="M53" s="31">
        <f t="shared" si="1"/>
        <v>0</v>
      </c>
      <c r="N53" s="36"/>
      <c r="O53" s="36"/>
      <c r="P53" s="36"/>
      <c r="Q53" s="36"/>
      <c r="R53" s="33">
        <f t="shared" si="2"/>
        <v>0</v>
      </c>
    </row>
    <row r="54" spans="2:18" ht="48" customHeight="1">
      <c r="B54" s="102"/>
      <c r="C54" s="105"/>
      <c r="D54" s="108"/>
      <c r="E54" s="108"/>
      <c r="F54" s="30" t="s">
        <v>35</v>
      </c>
      <c r="G54" s="31">
        <f t="shared" si="0"/>
        <v>1312781.1200000001</v>
      </c>
      <c r="H54" s="31">
        <f>H55+H56</f>
        <v>0</v>
      </c>
      <c r="I54" s="31">
        <f>I55+I56</f>
        <v>0</v>
      </c>
      <c r="J54" s="31">
        <f>J55+J56</f>
        <v>0</v>
      </c>
      <c r="K54" s="31">
        <f>K55+K56</f>
        <v>0</v>
      </c>
      <c r="L54" s="31">
        <f>L55+L56</f>
        <v>0</v>
      </c>
      <c r="M54" s="31">
        <f t="shared" si="1"/>
        <v>0</v>
      </c>
      <c r="N54" s="31">
        <f>N55+N56</f>
        <v>0</v>
      </c>
      <c r="O54" s="31">
        <f>O55+O56</f>
        <v>0</v>
      </c>
      <c r="P54" s="32">
        <f>P55+P56</f>
        <v>1017576.5800000001</v>
      </c>
      <c r="Q54" s="32">
        <f>Q55+Q56</f>
        <v>295204.54000000004</v>
      </c>
      <c r="R54" s="33">
        <f t="shared" si="2"/>
        <v>1312781.1200000001</v>
      </c>
    </row>
    <row r="55" spans="2:18" ht="24.75" customHeight="1">
      <c r="B55" s="102"/>
      <c r="C55" s="105"/>
      <c r="D55" s="108"/>
      <c r="E55" s="108"/>
      <c r="F55" s="34" t="s">
        <v>36</v>
      </c>
      <c r="G55" s="31">
        <f t="shared" si="0"/>
        <v>1312781.1200000001</v>
      </c>
      <c r="H55" s="36"/>
      <c r="I55" s="36"/>
      <c r="J55" s="36"/>
      <c r="K55" s="36"/>
      <c r="L55" s="36"/>
      <c r="M55" s="31">
        <f t="shared" si="1"/>
        <v>0</v>
      </c>
      <c r="N55" s="36"/>
      <c r="O55" s="36"/>
      <c r="P55" s="36">
        <f>P48*0.23</f>
        <v>1017576.5800000001</v>
      </c>
      <c r="Q55" s="36">
        <f>Q48*0.23</f>
        <v>295204.54000000004</v>
      </c>
      <c r="R55" s="33">
        <f t="shared" si="2"/>
        <v>1312781.1200000001</v>
      </c>
    </row>
    <row r="56" spans="2:18" ht="30" customHeight="1" thickBot="1">
      <c r="B56" s="103"/>
      <c r="C56" s="106"/>
      <c r="D56" s="109"/>
      <c r="E56" s="109"/>
      <c r="F56" s="37" t="s">
        <v>37</v>
      </c>
      <c r="G56" s="38">
        <f t="shared" si="0"/>
        <v>0</v>
      </c>
      <c r="H56" s="39"/>
      <c r="I56" s="39"/>
      <c r="J56" s="39"/>
      <c r="K56" s="39"/>
      <c r="L56" s="39"/>
      <c r="M56" s="40">
        <f t="shared" si="1"/>
        <v>0</v>
      </c>
      <c r="N56" s="39"/>
      <c r="O56" s="39"/>
      <c r="P56" s="39"/>
      <c r="Q56" s="39"/>
      <c r="R56" s="41">
        <f t="shared" si="2"/>
        <v>0</v>
      </c>
    </row>
    <row r="57" spans="2:18" ht="34.5" customHeight="1">
      <c r="B57" s="101" t="s">
        <v>40</v>
      </c>
      <c r="C57" s="104" t="s">
        <v>69</v>
      </c>
      <c r="D57" s="110" t="s">
        <v>39</v>
      </c>
      <c r="E57" s="110">
        <v>1</v>
      </c>
      <c r="F57" s="26" t="s">
        <v>27</v>
      </c>
      <c r="G57" s="27">
        <f t="shared" si="0"/>
        <v>10252585.148400001</v>
      </c>
      <c r="H57" s="28">
        <f>H58+H65</f>
        <v>0</v>
      </c>
      <c r="I57" s="28">
        <f>I58+I65</f>
        <v>0</v>
      </c>
      <c r="J57" s="28">
        <f>J58+J65</f>
        <v>0</v>
      </c>
      <c r="K57" s="28">
        <f>K58+K65</f>
        <v>0</v>
      </c>
      <c r="L57" s="28">
        <f>L58+L65</f>
        <v>0</v>
      </c>
      <c r="M57" s="28">
        <f t="shared" si="1"/>
        <v>0</v>
      </c>
      <c r="N57" s="28">
        <f>N58+N65</f>
        <v>0</v>
      </c>
      <c r="O57" s="28">
        <f>O58+O65</f>
        <v>0</v>
      </c>
      <c r="P57" s="28">
        <f>P58+P65</f>
        <v>6859884.7584000006</v>
      </c>
      <c r="Q57" s="28">
        <f>Q58+Q65</f>
        <v>3392700.39</v>
      </c>
      <c r="R57" s="29">
        <f t="shared" si="2"/>
        <v>10252585.148400001</v>
      </c>
    </row>
    <row r="58" spans="2:18" ht="36" customHeight="1">
      <c r="B58" s="102"/>
      <c r="C58" s="105"/>
      <c r="D58" s="111"/>
      <c r="E58" s="108"/>
      <c r="F58" s="30" t="s">
        <v>28</v>
      </c>
      <c r="G58" s="31">
        <f t="shared" si="0"/>
        <v>8335435.0800000001</v>
      </c>
      <c r="H58" s="32">
        <f>H60+H61+H62+H63+H64+H59</f>
        <v>0</v>
      </c>
      <c r="I58" s="32">
        <f>I60+I61+I62+I63+I64+I59</f>
        <v>0</v>
      </c>
      <c r="J58" s="32">
        <f>J60+J61+J62+J63+J64+J59</f>
        <v>0</v>
      </c>
      <c r="K58" s="32">
        <f>K60+K61+K62+K63+K64+K59</f>
        <v>0</v>
      </c>
      <c r="L58" s="32">
        <f>L60+L61+L62+L63+L64+L59</f>
        <v>0</v>
      </c>
      <c r="M58" s="32">
        <f t="shared" si="1"/>
        <v>0</v>
      </c>
      <c r="N58" s="32">
        <f>N59+N60+N61+N62+N63+N64</f>
        <v>0</v>
      </c>
      <c r="O58" s="32">
        <f>O59+O60+O61+O62+O63+O64</f>
        <v>0</v>
      </c>
      <c r="P58" s="32">
        <f>P59+P60+P61+P62+P63+P64</f>
        <v>5577142.0800000001</v>
      </c>
      <c r="Q58" s="32">
        <f>Q59+Q60+Q61+Q62+Q63+Q64</f>
        <v>2758293</v>
      </c>
      <c r="R58" s="33">
        <f t="shared" si="2"/>
        <v>8335435.0800000001</v>
      </c>
    </row>
    <row r="59" spans="2:18" ht="51" customHeight="1">
      <c r="B59" s="102"/>
      <c r="C59" s="105"/>
      <c r="D59" s="111"/>
      <c r="E59" s="108"/>
      <c r="F59" s="34" t="s">
        <v>29</v>
      </c>
      <c r="G59" s="31">
        <f t="shared" si="0"/>
        <v>8335435.0800000001</v>
      </c>
      <c r="H59" s="35"/>
      <c r="I59" s="36"/>
      <c r="J59" s="36"/>
      <c r="K59" s="36"/>
      <c r="L59" s="36"/>
      <c r="M59" s="31">
        <f t="shared" si="1"/>
        <v>0</v>
      </c>
      <c r="N59" s="36"/>
      <c r="O59" s="36"/>
      <c r="P59" s="36">
        <f>5577043+99.08</f>
        <v>5577142.0800000001</v>
      </c>
      <c r="Q59" s="36">
        <v>2758293</v>
      </c>
      <c r="R59" s="33">
        <f t="shared" si="2"/>
        <v>8335435.0800000001</v>
      </c>
    </row>
    <row r="60" spans="2:18">
      <c r="B60" s="102"/>
      <c r="C60" s="105"/>
      <c r="D60" s="111"/>
      <c r="E60" s="108"/>
      <c r="F60" s="34" t="s">
        <v>30</v>
      </c>
      <c r="G60" s="31">
        <f t="shared" si="0"/>
        <v>0</v>
      </c>
      <c r="H60" s="36"/>
      <c r="I60" s="36"/>
      <c r="J60" s="36"/>
      <c r="K60" s="36"/>
      <c r="L60" s="36"/>
      <c r="M60" s="31">
        <f t="shared" si="1"/>
        <v>0</v>
      </c>
      <c r="N60" s="36"/>
      <c r="O60" s="36"/>
      <c r="P60" s="36"/>
      <c r="Q60" s="36"/>
      <c r="R60" s="33">
        <f t="shared" si="2"/>
        <v>0</v>
      </c>
    </row>
    <row r="61" spans="2:18" ht="24" customHeight="1">
      <c r="B61" s="102"/>
      <c r="C61" s="105"/>
      <c r="D61" s="111"/>
      <c r="E61" s="108"/>
      <c r="F61" s="34" t="s">
        <v>31</v>
      </c>
      <c r="G61" s="31">
        <f t="shared" si="0"/>
        <v>0</v>
      </c>
      <c r="H61" s="36"/>
      <c r="I61" s="36"/>
      <c r="J61" s="36"/>
      <c r="K61" s="36"/>
      <c r="L61" s="36"/>
      <c r="M61" s="31">
        <f t="shared" si="1"/>
        <v>0</v>
      </c>
      <c r="N61" s="36"/>
      <c r="O61" s="36"/>
      <c r="P61" s="36"/>
      <c r="Q61" s="36"/>
      <c r="R61" s="33">
        <f t="shared" si="2"/>
        <v>0</v>
      </c>
    </row>
    <row r="62" spans="2:18" ht="29.25" customHeight="1">
      <c r="B62" s="102"/>
      <c r="C62" s="105"/>
      <c r="D62" s="111"/>
      <c r="E62" s="108"/>
      <c r="F62" s="34" t="s">
        <v>32</v>
      </c>
      <c r="G62" s="31">
        <f t="shared" si="0"/>
        <v>0</v>
      </c>
      <c r="H62" s="36"/>
      <c r="I62" s="36"/>
      <c r="J62" s="36"/>
      <c r="K62" s="36"/>
      <c r="L62" s="36"/>
      <c r="M62" s="31">
        <f t="shared" si="1"/>
        <v>0</v>
      </c>
      <c r="N62" s="36"/>
      <c r="O62" s="36"/>
      <c r="P62" s="36"/>
      <c r="Q62" s="36"/>
      <c r="R62" s="33">
        <f t="shared" si="2"/>
        <v>0</v>
      </c>
    </row>
    <row r="63" spans="2:18">
      <c r="B63" s="102"/>
      <c r="C63" s="105"/>
      <c r="D63" s="111"/>
      <c r="E63" s="108"/>
      <c r="F63" s="34" t="s">
        <v>33</v>
      </c>
      <c r="G63" s="31">
        <f t="shared" si="0"/>
        <v>0</v>
      </c>
      <c r="H63" s="36"/>
      <c r="I63" s="36"/>
      <c r="J63" s="36"/>
      <c r="K63" s="36"/>
      <c r="L63" s="36"/>
      <c r="M63" s="31">
        <f t="shared" si="1"/>
        <v>0</v>
      </c>
      <c r="N63" s="36"/>
      <c r="O63" s="36"/>
      <c r="P63" s="36"/>
      <c r="Q63" s="36"/>
      <c r="R63" s="33">
        <f t="shared" si="2"/>
        <v>0</v>
      </c>
    </row>
    <row r="64" spans="2:18">
      <c r="B64" s="102"/>
      <c r="C64" s="105"/>
      <c r="D64" s="111"/>
      <c r="E64" s="108"/>
      <c r="F64" s="34" t="s">
        <v>34</v>
      </c>
      <c r="G64" s="31">
        <f t="shared" si="0"/>
        <v>0</v>
      </c>
      <c r="H64" s="36"/>
      <c r="I64" s="36"/>
      <c r="J64" s="36"/>
      <c r="K64" s="36"/>
      <c r="L64" s="36"/>
      <c r="M64" s="31">
        <f t="shared" si="1"/>
        <v>0</v>
      </c>
      <c r="N64" s="36"/>
      <c r="O64" s="36"/>
      <c r="P64" s="36"/>
      <c r="Q64" s="36"/>
      <c r="R64" s="33">
        <f t="shared" si="2"/>
        <v>0</v>
      </c>
    </row>
    <row r="65" spans="2:18" ht="43.5" customHeight="1">
      <c r="B65" s="102"/>
      <c r="C65" s="105"/>
      <c r="D65" s="111"/>
      <c r="E65" s="108"/>
      <c r="F65" s="30" t="s">
        <v>35</v>
      </c>
      <c r="G65" s="31">
        <f t="shared" si="0"/>
        <v>1917150.0684000002</v>
      </c>
      <c r="H65" s="31">
        <f>H66+H67</f>
        <v>0</v>
      </c>
      <c r="I65" s="31">
        <f>I66+I67</f>
        <v>0</v>
      </c>
      <c r="J65" s="31">
        <f>J66+J67</f>
        <v>0</v>
      </c>
      <c r="K65" s="31">
        <f>K66+K67</f>
        <v>0</v>
      </c>
      <c r="L65" s="31">
        <f>L66+L67</f>
        <v>0</v>
      </c>
      <c r="M65" s="31">
        <f t="shared" si="1"/>
        <v>0</v>
      </c>
      <c r="N65" s="31">
        <f>N66+N67</f>
        <v>0</v>
      </c>
      <c r="O65" s="31">
        <f>O66+O67</f>
        <v>0</v>
      </c>
      <c r="P65" s="32">
        <f>P66+P67</f>
        <v>1282742.6784000001</v>
      </c>
      <c r="Q65" s="32">
        <f>Q66+Q67</f>
        <v>634407.39</v>
      </c>
      <c r="R65" s="33">
        <f t="shared" si="2"/>
        <v>1917150.0684000002</v>
      </c>
    </row>
    <row r="66" spans="2:18" ht="24.75" customHeight="1">
      <c r="B66" s="102"/>
      <c r="C66" s="105"/>
      <c r="D66" s="111"/>
      <c r="E66" s="108"/>
      <c r="F66" s="34" t="s">
        <v>36</v>
      </c>
      <c r="G66" s="31">
        <f t="shared" si="0"/>
        <v>1917150.0684000002</v>
      </c>
      <c r="H66" s="36"/>
      <c r="I66" s="36"/>
      <c r="J66" s="36"/>
      <c r="K66" s="36"/>
      <c r="L66" s="36"/>
      <c r="M66" s="31">
        <f t="shared" si="1"/>
        <v>0</v>
      </c>
      <c r="N66" s="36"/>
      <c r="O66" s="36"/>
      <c r="P66" s="36">
        <f>P59*0.23</f>
        <v>1282742.6784000001</v>
      </c>
      <c r="Q66" s="36">
        <f>Q59*0.23</f>
        <v>634407.39</v>
      </c>
      <c r="R66" s="33">
        <f t="shared" si="2"/>
        <v>1917150.0684000002</v>
      </c>
    </row>
    <row r="67" spans="2:18" ht="36.75" customHeight="1" thickBot="1">
      <c r="B67" s="103"/>
      <c r="C67" s="106"/>
      <c r="D67" s="112"/>
      <c r="E67" s="109"/>
      <c r="F67" s="37" t="s">
        <v>37</v>
      </c>
      <c r="G67" s="38">
        <f t="shared" si="0"/>
        <v>0</v>
      </c>
      <c r="H67" s="39"/>
      <c r="I67" s="39"/>
      <c r="J67" s="39"/>
      <c r="K67" s="39"/>
      <c r="L67" s="39"/>
      <c r="M67" s="40">
        <f t="shared" si="1"/>
        <v>0</v>
      </c>
      <c r="N67" s="39"/>
      <c r="O67" s="39"/>
      <c r="P67" s="39"/>
      <c r="Q67" s="39"/>
      <c r="R67" s="41">
        <f t="shared" si="2"/>
        <v>0</v>
      </c>
    </row>
    <row r="68" spans="2:18" ht="39" customHeight="1">
      <c r="B68" s="113" t="s">
        <v>41</v>
      </c>
      <c r="C68" s="114" t="s">
        <v>70</v>
      </c>
      <c r="D68" s="110" t="s">
        <v>39</v>
      </c>
      <c r="E68" s="110">
        <v>1</v>
      </c>
      <c r="F68" s="26" t="s">
        <v>27</v>
      </c>
      <c r="G68" s="27">
        <f t="shared" si="0"/>
        <v>1391256.69</v>
      </c>
      <c r="H68" s="28">
        <f>H69+H76</f>
        <v>0</v>
      </c>
      <c r="I68" s="28">
        <f>I69+I76</f>
        <v>0</v>
      </c>
      <c r="J68" s="28">
        <f>J69+J76</f>
        <v>0</v>
      </c>
      <c r="K68" s="28">
        <f>K69+K76</f>
        <v>0</v>
      </c>
      <c r="L68" s="28">
        <f>L69+L76</f>
        <v>0</v>
      </c>
      <c r="M68" s="28">
        <f t="shared" si="1"/>
        <v>0</v>
      </c>
      <c r="N68" s="28">
        <f>N69+N76</f>
        <v>0</v>
      </c>
      <c r="O68" s="28">
        <f>O69+O76</f>
        <v>0</v>
      </c>
      <c r="P68" s="28">
        <f>P69+P76</f>
        <v>1253659.05</v>
      </c>
      <c r="Q68" s="28">
        <f>Q69+Q76</f>
        <v>137597.64000000001</v>
      </c>
      <c r="R68" s="29">
        <f t="shared" si="2"/>
        <v>1391256.69</v>
      </c>
    </row>
    <row r="69" spans="2:18" ht="46.5" customHeight="1">
      <c r="B69" s="102"/>
      <c r="C69" s="105"/>
      <c r="D69" s="108"/>
      <c r="E69" s="108"/>
      <c r="F69" s="30" t="s">
        <v>28</v>
      </c>
      <c r="G69" s="31">
        <f t="shared" si="0"/>
        <v>1131103</v>
      </c>
      <c r="H69" s="32">
        <f>H71+H72+H73+H74+H75+H70</f>
        <v>0</v>
      </c>
      <c r="I69" s="32">
        <f>I71+I72+I73+I74+I75+I70</f>
        <v>0</v>
      </c>
      <c r="J69" s="32">
        <f>J71+J72+J73+J74+J75+J70</f>
        <v>0</v>
      </c>
      <c r="K69" s="32">
        <f>K71+K72+K73+K74+K75+K70</f>
        <v>0</v>
      </c>
      <c r="L69" s="32">
        <f>L71+L72+L73+L74+L75+L70</f>
        <v>0</v>
      </c>
      <c r="M69" s="32">
        <f t="shared" si="1"/>
        <v>0</v>
      </c>
      <c r="N69" s="32">
        <f>N70+N71+N72+N73+N74+N75</f>
        <v>0</v>
      </c>
      <c r="O69" s="32">
        <f>O70+O71+O72+O73+O74+O75</f>
        <v>0</v>
      </c>
      <c r="P69" s="32">
        <f>P70+P71+P72+P73+P74+P75</f>
        <v>1019235</v>
      </c>
      <c r="Q69" s="32">
        <f>Q70+Q71+Q72+Q73+Q74+Q75</f>
        <v>111868</v>
      </c>
      <c r="R69" s="33">
        <f t="shared" si="2"/>
        <v>1131103</v>
      </c>
    </row>
    <row r="70" spans="2:18" ht="45" customHeight="1">
      <c r="B70" s="102"/>
      <c r="C70" s="105"/>
      <c r="D70" s="108"/>
      <c r="E70" s="108"/>
      <c r="F70" s="34" t="s">
        <v>29</v>
      </c>
      <c r="G70" s="31">
        <f t="shared" si="0"/>
        <v>1131103</v>
      </c>
      <c r="H70" s="35"/>
      <c r="I70" s="36"/>
      <c r="J70" s="36"/>
      <c r="K70" s="36"/>
      <c r="L70" s="36"/>
      <c r="M70" s="31">
        <f t="shared" si="1"/>
        <v>0</v>
      </c>
      <c r="N70" s="36"/>
      <c r="O70" s="36"/>
      <c r="P70" s="36">
        <v>1019235</v>
      </c>
      <c r="Q70" s="36">
        <v>111868</v>
      </c>
      <c r="R70" s="33">
        <f t="shared" si="2"/>
        <v>1131103</v>
      </c>
    </row>
    <row r="71" spans="2:18">
      <c r="B71" s="102"/>
      <c r="C71" s="105"/>
      <c r="D71" s="108"/>
      <c r="E71" s="108"/>
      <c r="F71" s="34" t="s">
        <v>30</v>
      </c>
      <c r="G71" s="31">
        <f t="shared" si="0"/>
        <v>0</v>
      </c>
      <c r="H71" s="36"/>
      <c r="I71" s="36"/>
      <c r="J71" s="36"/>
      <c r="K71" s="36"/>
      <c r="L71" s="36"/>
      <c r="M71" s="31">
        <f t="shared" si="1"/>
        <v>0</v>
      </c>
      <c r="N71" s="36"/>
      <c r="O71" s="36"/>
      <c r="P71" s="36"/>
      <c r="Q71" s="36"/>
      <c r="R71" s="33">
        <f t="shared" si="2"/>
        <v>0</v>
      </c>
    </row>
    <row r="72" spans="2:18" ht="26.25" customHeight="1">
      <c r="B72" s="102"/>
      <c r="C72" s="105"/>
      <c r="D72" s="108"/>
      <c r="E72" s="108"/>
      <c r="F72" s="34" t="s">
        <v>31</v>
      </c>
      <c r="G72" s="31">
        <f t="shared" si="0"/>
        <v>0</v>
      </c>
      <c r="H72" s="36"/>
      <c r="I72" s="36"/>
      <c r="J72" s="36"/>
      <c r="K72" s="36"/>
      <c r="L72" s="36"/>
      <c r="M72" s="31">
        <f t="shared" si="1"/>
        <v>0</v>
      </c>
      <c r="N72" s="36"/>
      <c r="O72" s="36"/>
      <c r="P72" s="36"/>
      <c r="Q72" s="36"/>
      <c r="R72" s="33">
        <f t="shared" si="2"/>
        <v>0</v>
      </c>
    </row>
    <row r="73" spans="2:18" ht="28.5" customHeight="1">
      <c r="B73" s="102"/>
      <c r="C73" s="105"/>
      <c r="D73" s="108"/>
      <c r="E73" s="108"/>
      <c r="F73" s="34" t="s">
        <v>32</v>
      </c>
      <c r="G73" s="31">
        <f t="shared" si="0"/>
        <v>0</v>
      </c>
      <c r="H73" s="36"/>
      <c r="I73" s="36"/>
      <c r="J73" s="36"/>
      <c r="K73" s="36"/>
      <c r="L73" s="36"/>
      <c r="M73" s="31">
        <f t="shared" si="1"/>
        <v>0</v>
      </c>
      <c r="N73" s="36"/>
      <c r="O73" s="36"/>
      <c r="P73" s="36"/>
      <c r="Q73" s="36"/>
      <c r="R73" s="33">
        <f t="shared" si="2"/>
        <v>0</v>
      </c>
    </row>
    <row r="74" spans="2:18">
      <c r="B74" s="102"/>
      <c r="C74" s="105"/>
      <c r="D74" s="108"/>
      <c r="E74" s="108"/>
      <c r="F74" s="34" t="s">
        <v>33</v>
      </c>
      <c r="G74" s="31">
        <f t="shared" si="0"/>
        <v>0</v>
      </c>
      <c r="H74" s="36"/>
      <c r="I74" s="36"/>
      <c r="J74" s="36"/>
      <c r="K74" s="36"/>
      <c r="L74" s="36"/>
      <c r="M74" s="31">
        <f t="shared" si="1"/>
        <v>0</v>
      </c>
      <c r="N74" s="36"/>
      <c r="O74" s="36"/>
      <c r="P74" s="36"/>
      <c r="Q74" s="36"/>
      <c r="R74" s="33">
        <f t="shared" si="2"/>
        <v>0</v>
      </c>
    </row>
    <row r="75" spans="2:18">
      <c r="B75" s="102"/>
      <c r="C75" s="105"/>
      <c r="D75" s="108"/>
      <c r="E75" s="108"/>
      <c r="F75" s="34" t="s">
        <v>34</v>
      </c>
      <c r="G75" s="31">
        <f t="shared" si="0"/>
        <v>0</v>
      </c>
      <c r="H75" s="36"/>
      <c r="I75" s="36"/>
      <c r="J75" s="36"/>
      <c r="K75" s="36"/>
      <c r="L75" s="36"/>
      <c r="M75" s="31">
        <f t="shared" si="1"/>
        <v>0</v>
      </c>
      <c r="N75" s="36"/>
      <c r="O75" s="36"/>
      <c r="P75" s="36"/>
      <c r="Q75" s="36"/>
      <c r="R75" s="33">
        <f t="shared" si="2"/>
        <v>0</v>
      </c>
    </row>
    <row r="76" spans="2:18" ht="44.25" customHeight="1">
      <c r="B76" s="102"/>
      <c r="C76" s="105"/>
      <c r="D76" s="108"/>
      <c r="E76" s="108"/>
      <c r="F76" s="30" t="s">
        <v>35</v>
      </c>
      <c r="G76" s="31">
        <f t="shared" si="0"/>
        <v>260153.69</v>
      </c>
      <c r="H76" s="31">
        <f>H77+H78</f>
        <v>0</v>
      </c>
      <c r="I76" s="31">
        <f>I77+I78</f>
        <v>0</v>
      </c>
      <c r="J76" s="31">
        <f>J77+J78</f>
        <v>0</v>
      </c>
      <c r="K76" s="31">
        <f>K77+K78</f>
        <v>0</v>
      </c>
      <c r="L76" s="31">
        <f>L77+L78</f>
        <v>0</v>
      </c>
      <c r="M76" s="31">
        <f t="shared" si="1"/>
        <v>0</v>
      </c>
      <c r="N76" s="31">
        <f>N77+N78</f>
        <v>0</v>
      </c>
      <c r="O76" s="31">
        <f>O77+O78</f>
        <v>0</v>
      </c>
      <c r="P76" s="32">
        <f>P77+P78</f>
        <v>234424.05000000002</v>
      </c>
      <c r="Q76" s="32">
        <f>Q77+Q78</f>
        <v>25729.64</v>
      </c>
      <c r="R76" s="33">
        <f t="shared" si="2"/>
        <v>260153.69</v>
      </c>
    </row>
    <row r="77" spans="2:18" ht="27" customHeight="1">
      <c r="B77" s="102"/>
      <c r="C77" s="105"/>
      <c r="D77" s="108"/>
      <c r="E77" s="108"/>
      <c r="F77" s="34" t="s">
        <v>36</v>
      </c>
      <c r="G77" s="31">
        <f t="shared" ref="G77:G140" si="3">H77+M77+R77</f>
        <v>260153.69</v>
      </c>
      <c r="H77" s="36"/>
      <c r="I77" s="36"/>
      <c r="J77" s="36"/>
      <c r="K77" s="36"/>
      <c r="L77" s="36"/>
      <c r="M77" s="31">
        <f t="shared" ref="M77:M140" si="4">I77+J77+K77+L77</f>
        <v>0</v>
      </c>
      <c r="N77" s="36"/>
      <c r="O77" s="36"/>
      <c r="P77" s="36">
        <f>P70*0.23</f>
        <v>234424.05000000002</v>
      </c>
      <c r="Q77" s="36">
        <f>Q70*0.23</f>
        <v>25729.64</v>
      </c>
      <c r="R77" s="33">
        <f t="shared" ref="R77:R140" si="5">N77+O77+P77+Q77</f>
        <v>260153.69</v>
      </c>
    </row>
    <row r="78" spans="2:18" ht="32.25" customHeight="1" thickBot="1">
      <c r="B78" s="103"/>
      <c r="C78" s="106"/>
      <c r="D78" s="109"/>
      <c r="E78" s="109"/>
      <c r="F78" s="37" t="s">
        <v>37</v>
      </c>
      <c r="G78" s="38">
        <f t="shared" si="3"/>
        <v>0</v>
      </c>
      <c r="H78" s="39"/>
      <c r="I78" s="39"/>
      <c r="J78" s="39"/>
      <c r="K78" s="39"/>
      <c r="L78" s="39"/>
      <c r="M78" s="40">
        <f t="shared" si="4"/>
        <v>0</v>
      </c>
      <c r="N78" s="39"/>
      <c r="O78" s="39"/>
      <c r="P78" s="39"/>
      <c r="Q78" s="39"/>
      <c r="R78" s="41">
        <f t="shared" si="5"/>
        <v>0</v>
      </c>
    </row>
    <row r="79" spans="2:18" ht="36.75" customHeight="1">
      <c r="B79" s="101" t="s">
        <v>42</v>
      </c>
      <c r="C79" s="114" t="s">
        <v>71</v>
      </c>
      <c r="D79" s="110" t="s">
        <v>39</v>
      </c>
      <c r="E79" s="110">
        <v>1</v>
      </c>
      <c r="F79" s="26" t="s">
        <v>27</v>
      </c>
      <c r="G79" s="27">
        <f t="shared" si="3"/>
        <v>4887972.0299999993</v>
      </c>
      <c r="H79" s="28">
        <f>H80+H87</f>
        <v>0</v>
      </c>
      <c r="I79" s="28">
        <f>I80+I87</f>
        <v>0</v>
      </c>
      <c r="J79" s="28">
        <f>J80+J87</f>
        <v>0</v>
      </c>
      <c r="K79" s="28">
        <f>K80+K87</f>
        <v>0</v>
      </c>
      <c r="L79" s="28">
        <f>L80+L87</f>
        <v>0</v>
      </c>
      <c r="M79" s="28">
        <f t="shared" si="4"/>
        <v>0</v>
      </c>
      <c r="N79" s="28">
        <f>N80+N87</f>
        <v>0</v>
      </c>
      <c r="O79" s="28">
        <f>O80+O87</f>
        <v>0</v>
      </c>
      <c r="P79" s="28">
        <f>P80+P87</f>
        <v>2788852.8</v>
      </c>
      <c r="Q79" s="28">
        <f>Q80+Q87</f>
        <v>2099119.23</v>
      </c>
      <c r="R79" s="29">
        <f t="shared" si="5"/>
        <v>4887972.0299999993</v>
      </c>
    </row>
    <row r="80" spans="2:18" ht="39.75" customHeight="1">
      <c r="B80" s="102"/>
      <c r="C80" s="105"/>
      <c r="D80" s="108"/>
      <c r="E80" s="108"/>
      <c r="F80" s="30" t="s">
        <v>28</v>
      </c>
      <c r="G80" s="31">
        <f t="shared" si="3"/>
        <v>3973961</v>
      </c>
      <c r="H80" s="32">
        <f>H82+H83+H84+H85+H86+H81</f>
        <v>0</v>
      </c>
      <c r="I80" s="32">
        <f>I82+I83+I84+I85+I86+I81</f>
        <v>0</v>
      </c>
      <c r="J80" s="32">
        <f>J82+J83+J84+J85+J86+J81</f>
        <v>0</v>
      </c>
      <c r="K80" s="32">
        <f>K82+K83+K84+K85+K86+K81</f>
        <v>0</v>
      </c>
      <c r="L80" s="32">
        <f>L82+L83+L84+L85+L86+L81</f>
        <v>0</v>
      </c>
      <c r="M80" s="32">
        <f t="shared" si="4"/>
        <v>0</v>
      </c>
      <c r="N80" s="32">
        <f>N81+N82+N83+N84+N85+N86</f>
        <v>0</v>
      </c>
      <c r="O80" s="32">
        <f>O81+O82+O83+O84+O85+O86</f>
        <v>0</v>
      </c>
      <c r="P80" s="32">
        <f>P81+P82+P83+P84+P85+P86</f>
        <v>2267360</v>
      </c>
      <c r="Q80" s="32">
        <f>Q81+Q82+Q83+Q84+Q85+Q86</f>
        <v>1706601</v>
      </c>
      <c r="R80" s="33">
        <f t="shared" si="5"/>
        <v>3973961</v>
      </c>
    </row>
    <row r="81" spans="2:18" ht="36" customHeight="1">
      <c r="B81" s="102"/>
      <c r="C81" s="105"/>
      <c r="D81" s="108"/>
      <c r="E81" s="108"/>
      <c r="F81" s="34" t="s">
        <v>29</v>
      </c>
      <c r="G81" s="31">
        <f t="shared" si="3"/>
        <v>3973961</v>
      </c>
      <c r="H81" s="35"/>
      <c r="I81" s="36"/>
      <c r="J81" s="36"/>
      <c r="K81" s="36"/>
      <c r="L81" s="36"/>
      <c r="M81" s="31">
        <f t="shared" si="4"/>
        <v>0</v>
      </c>
      <c r="N81" s="36"/>
      <c r="O81" s="36"/>
      <c r="P81" s="36">
        <v>2267360</v>
      </c>
      <c r="Q81" s="36">
        <v>1706601</v>
      </c>
      <c r="R81" s="33">
        <f t="shared" si="5"/>
        <v>3973961</v>
      </c>
    </row>
    <row r="82" spans="2:18">
      <c r="B82" s="102"/>
      <c r="C82" s="105"/>
      <c r="D82" s="108"/>
      <c r="E82" s="108"/>
      <c r="F82" s="34" t="s">
        <v>30</v>
      </c>
      <c r="G82" s="31">
        <f t="shared" si="3"/>
        <v>0</v>
      </c>
      <c r="H82" s="36"/>
      <c r="I82" s="36"/>
      <c r="J82" s="36"/>
      <c r="K82" s="36"/>
      <c r="L82" s="36"/>
      <c r="M82" s="31">
        <f t="shared" si="4"/>
        <v>0</v>
      </c>
      <c r="N82" s="36"/>
      <c r="O82" s="36"/>
      <c r="P82" s="36"/>
      <c r="Q82" s="36"/>
      <c r="R82" s="33">
        <f t="shared" si="5"/>
        <v>0</v>
      </c>
    </row>
    <row r="83" spans="2:18" ht="24.75" customHeight="1">
      <c r="B83" s="102"/>
      <c r="C83" s="105"/>
      <c r="D83" s="108"/>
      <c r="E83" s="108"/>
      <c r="F83" s="34" t="s">
        <v>31</v>
      </c>
      <c r="G83" s="31">
        <f t="shared" si="3"/>
        <v>0</v>
      </c>
      <c r="H83" s="36"/>
      <c r="I83" s="36"/>
      <c r="J83" s="36"/>
      <c r="K83" s="36"/>
      <c r="L83" s="36"/>
      <c r="M83" s="31">
        <f t="shared" si="4"/>
        <v>0</v>
      </c>
      <c r="N83" s="36"/>
      <c r="O83" s="36"/>
      <c r="P83" s="36"/>
      <c r="Q83" s="36"/>
      <c r="R83" s="33">
        <f t="shared" si="5"/>
        <v>0</v>
      </c>
    </row>
    <row r="84" spans="2:18" ht="30.75" customHeight="1">
      <c r="B84" s="102"/>
      <c r="C84" s="105"/>
      <c r="D84" s="108"/>
      <c r="E84" s="108"/>
      <c r="F84" s="34" t="s">
        <v>32</v>
      </c>
      <c r="G84" s="31">
        <f t="shared" si="3"/>
        <v>0</v>
      </c>
      <c r="H84" s="36"/>
      <c r="I84" s="36"/>
      <c r="J84" s="36"/>
      <c r="K84" s="36"/>
      <c r="L84" s="36"/>
      <c r="M84" s="31">
        <f t="shared" si="4"/>
        <v>0</v>
      </c>
      <c r="N84" s="36"/>
      <c r="O84" s="36"/>
      <c r="P84" s="36"/>
      <c r="Q84" s="36"/>
      <c r="R84" s="33">
        <f t="shared" si="5"/>
        <v>0</v>
      </c>
    </row>
    <row r="85" spans="2:18">
      <c r="B85" s="102"/>
      <c r="C85" s="105"/>
      <c r="D85" s="108"/>
      <c r="E85" s="108"/>
      <c r="F85" s="34" t="s">
        <v>33</v>
      </c>
      <c r="G85" s="31">
        <f t="shared" si="3"/>
        <v>0</v>
      </c>
      <c r="H85" s="36"/>
      <c r="I85" s="36"/>
      <c r="J85" s="36"/>
      <c r="K85" s="36"/>
      <c r="L85" s="36"/>
      <c r="M85" s="31">
        <f t="shared" si="4"/>
        <v>0</v>
      </c>
      <c r="N85" s="36"/>
      <c r="O85" s="36"/>
      <c r="P85" s="36"/>
      <c r="Q85" s="36"/>
      <c r="R85" s="33">
        <f t="shared" si="5"/>
        <v>0</v>
      </c>
    </row>
    <row r="86" spans="2:18">
      <c r="B86" s="102"/>
      <c r="C86" s="105"/>
      <c r="D86" s="108"/>
      <c r="E86" s="108"/>
      <c r="F86" s="34" t="s">
        <v>34</v>
      </c>
      <c r="G86" s="31">
        <f t="shared" si="3"/>
        <v>0</v>
      </c>
      <c r="H86" s="36"/>
      <c r="I86" s="36"/>
      <c r="J86" s="36"/>
      <c r="K86" s="36"/>
      <c r="L86" s="36"/>
      <c r="M86" s="31">
        <f t="shared" si="4"/>
        <v>0</v>
      </c>
      <c r="N86" s="36"/>
      <c r="O86" s="36"/>
      <c r="P86" s="36"/>
      <c r="Q86" s="36"/>
      <c r="R86" s="33">
        <f t="shared" si="5"/>
        <v>0</v>
      </c>
    </row>
    <row r="87" spans="2:18" ht="38.25" customHeight="1">
      <c r="B87" s="102"/>
      <c r="C87" s="105"/>
      <c r="D87" s="108"/>
      <c r="E87" s="108"/>
      <c r="F87" s="30" t="s">
        <v>35</v>
      </c>
      <c r="G87" s="31">
        <f t="shared" si="3"/>
        <v>914011.03</v>
      </c>
      <c r="H87" s="31">
        <f>H88+H89</f>
        <v>0</v>
      </c>
      <c r="I87" s="31">
        <f>I88+I89</f>
        <v>0</v>
      </c>
      <c r="J87" s="31">
        <f>J88+J89</f>
        <v>0</v>
      </c>
      <c r="K87" s="31">
        <f>K88+K89</f>
        <v>0</v>
      </c>
      <c r="L87" s="31">
        <f>L88+L89</f>
        <v>0</v>
      </c>
      <c r="M87" s="31">
        <f t="shared" si="4"/>
        <v>0</v>
      </c>
      <c r="N87" s="31">
        <f>N88+N89</f>
        <v>0</v>
      </c>
      <c r="O87" s="31">
        <f>O88+O89</f>
        <v>0</v>
      </c>
      <c r="P87" s="32">
        <f>P88+P89</f>
        <v>521492.80000000005</v>
      </c>
      <c r="Q87" s="32">
        <f>Q88+Q89</f>
        <v>392518.23000000004</v>
      </c>
      <c r="R87" s="33">
        <f t="shared" si="5"/>
        <v>914011.03</v>
      </c>
    </row>
    <row r="88" spans="2:18" ht="21" customHeight="1">
      <c r="B88" s="102"/>
      <c r="C88" s="105"/>
      <c r="D88" s="108"/>
      <c r="E88" s="108"/>
      <c r="F88" s="34" t="s">
        <v>36</v>
      </c>
      <c r="G88" s="31">
        <f t="shared" si="3"/>
        <v>914011.03</v>
      </c>
      <c r="H88" s="36"/>
      <c r="I88" s="36"/>
      <c r="J88" s="36"/>
      <c r="K88" s="36"/>
      <c r="L88" s="36"/>
      <c r="M88" s="31">
        <f t="shared" si="4"/>
        <v>0</v>
      </c>
      <c r="N88" s="36"/>
      <c r="O88" s="36"/>
      <c r="P88" s="36">
        <f>P81*0.23</f>
        <v>521492.80000000005</v>
      </c>
      <c r="Q88" s="36">
        <f>Q81*0.23</f>
        <v>392518.23000000004</v>
      </c>
      <c r="R88" s="33">
        <f t="shared" si="5"/>
        <v>914011.03</v>
      </c>
    </row>
    <row r="89" spans="2:18" ht="33" customHeight="1" thickBot="1">
      <c r="B89" s="103"/>
      <c r="C89" s="106"/>
      <c r="D89" s="109"/>
      <c r="E89" s="109"/>
      <c r="F89" s="37" t="s">
        <v>37</v>
      </c>
      <c r="G89" s="38">
        <f t="shared" si="3"/>
        <v>0</v>
      </c>
      <c r="H89" s="39"/>
      <c r="I89" s="39"/>
      <c r="J89" s="39"/>
      <c r="K89" s="39"/>
      <c r="L89" s="62"/>
      <c r="M89" s="40">
        <f t="shared" si="4"/>
        <v>0</v>
      </c>
      <c r="N89" s="39"/>
      <c r="O89" s="39"/>
      <c r="P89" s="39"/>
      <c r="Q89" s="39"/>
      <c r="R89" s="41">
        <f t="shared" si="5"/>
        <v>0</v>
      </c>
    </row>
    <row r="90" spans="2:18" ht="27.75" customHeight="1">
      <c r="B90" s="123" t="s">
        <v>43</v>
      </c>
      <c r="C90" s="114" t="s">
        <v>72</v>
      </c>
      <c r="D90" s="110" t="s">
        <v>39</v>
      </c>
      <c r="E90" s="110">
        <v>1</v>
      </c>
      <c r="F90" s="26" t="s">
        <v>27</v>
      </c>
      <c r="G90" s="27">
        <f t="shared" si="3"/>
        <v>4400856.3600000003</v>
      </c>
      <c r="H90" s="28">
        <f>H91+H98</f>
        <v>0</v>
      </c>
      <c r="I90" s="28">
        <f>I91+I98</f>
        <v>0</v>
      </c>
      <c r="J90" s="28">
        <f>J91+J98</f>
        <v>0</v>
      </c>
      <c r="K90" s="28">
        <f>K91+K98</f>
        <v>0</v>
      </c>
      <c r="L90" s="28">
        <f>L91+L98</f>
        <v>0</v>
      </c>
      <c r="M90" s="28">
        <f t="shared" si="4"/>
        <v>0</v>
      </c>
      <c r="N90" s="28">
        <f>N91+N98</f>
        <v>0</v>
      </c>
      <c r="O90" s="28">
        <f>O91+O98</f>
        <v>0</v>
      </c>
      <c r="P90" s="28">
        <f>P91+P98</f>
        <v>2709284.1</v>
      </c>
      <c r="Q90" s="28">
        <f>Q91+Q98</f>
        <v>1691572.26</v>
      </c>
      <c r="R90" s="29">
        <f t="shared" si="5"/>
        <v>4400856.3600000003</v>
      </c>
    </row>
    <row r="91" spans="2:18" ht="39.75" customHeight="1">
      <c r="B91" s="102"/>
      <c r="C91" s="105"/>
      <c r="D91" s="108"/>
      <c r="E91" s="108"/>
      <c r="F91" s="30" t="s">
        <v>28</v>
      </c>
      <c r="G91" s="31">
        <f t="shared" si="3"/>
        <v>3577932</v>
      </c>
      <c r="H91" s="32">
        <f>H93+H94+H95+H96+H97+H92</f>
        <v>0</v>
      </c>
      <c r="I91" s="32">
        <f>I93+I94+I95+I96+I97+I92</f>
        <v>0</v>
      </c>
      <c r="J91" s="32">
        <f>J93+J94+J95+J96+J97+J92</f>
        <v>0</v>
      </c>
      <c r="K91" s="32">
        <f>K93+K94+K95+K96+K97+K92</f>
        <v>0</v>
      </c>
      <c r="L91" s="32">
        <f>L93+L94+L95+L96+L97+L92</f>
        <v>0</v>
      </c>
      <c r="M91" s="32">
        <f t="shared" si="4"/>
        <v>0</v>
      </c>
      <c r="N91" s="32">
        <f>N92+N93+N94+N95+N96+N97</f>
        <v>0</v>
      </c>
      <c r="O91" s="32">
        <f>O92+O93+O94+O95+O96+O97</f>
        <v>0</v>
      </c>
      <c r="P91" s="32">
        <f>P92+P93+P94+P95+P96+P97</f>
        <v>2202670</v>
      </c>
      <c r="Q91" s="32">
        <f>Q92+Q93+Q94+Q95+Q96+Q97</f>
        <v>1375262</v>
      </c>
      <c r="R91" s="33">
        <f t="shared" si="5"/>
        <v>3577932</v>
      </c>
    </row>
    <row r="92" spans="2:18" ht="39.75" customHeight="1">
      <c r="B92" s="102"/>
      <c r="C92" s="105"/>
      <c r="D92" s="108"/>
      <c r="E92" s="108"/>
      <c r="F92" s="34" t="s">
        <v>29</v>
      </c>
      <c r="G92" s="31">
        <f t="shared" si="3"/>
        <v>3577932</v>
      </c>
      <c r="H92" s="35"/>
      <c r="I92" s="36"/>
      <c r="J92" s="36"/>
      <c r="K92" s="36"/>
      <c r="L92" s="36"/>
      <c r="M92" s="31">
        <f t="shared" si="4"/>
        <v>0</v>
      </c>
      <c r="N92" s="36"/>
      <c r="O92" s="36"/>
      <c r="P92" s="36">
        <v>2202670</v>
      </c>
      <c r="Q92" s="36">
        <v>1375262</v>
      </c>
      <c r="R92" s="33">
        <f t="shared" si="5"/>
        <v>3577932</v>
      </c>
    </row>
    <row r="93" spans="2:18">
      <c r="B93" s="102"/>
      <c r="C93" s="105"/>
      <c r="D93" s="108"/>
      <c r="E93" s="108"/>
      <c r="F93" s="34" t="s">
        <v>30</v>
      </c>
      <c r="G93" s="31">
        <f t="shared" si="3"/>
        <v>0</v>
      </c>
      <c r="H93" s="36"/>
      <c r="I93" s="36"/>
      <c r="J93" s="36"/>
      <c r="K93" s="36"/>
      <c r="L93" s="36"/>
      <c r="M93" s="31">
        <f t="shared" si="4"/>
        <v>0</v>
      </c>
      <c r="N93" s="36"/>
      <c r="O93" s="36"/>
      <c r="P93" s="36"/>
      <c r="Q93" s="36"/>
      <c r="R93" s="33">
        <f t="shared" si="5"/>
        <v>0</v>
      </c>
    </row>
    <row r="94" spans="2:18" ht="24" customHeight="1">
      <c r="B94" s="102"/>
      <c r="C94" s="105"/>
      <c r="D94" s="108"/>
      <c r="E94" s="108"/>
      <c r="F94" s="34" t="s">
        <v>31</v>
      </c>
      <c r="G94" s="31">
        <f t="shared" si="3"/>
        <v>0</v>
      </c>
      <c r="H94" s="36"/>
      <c r="I94" s="36"/>
      <c r="J94" s="36"/>
      <c r="K94" s="36"/>
      <c r="L94" s="36"/>
      <c r="M94" s="31">
        <f t="shared" si="4"/>
        <v>0</v>
      </c>
      <c r="N94" s="36"/>
      <c r="O94" s="36"/>
      <c r="P94" s="36"/>
      <c r="Q94" s="36"/>
      <c r="R94" s="33">
        <f t="shared" si="5"/>
        <v>0</v>
      </c>
    </row>
    <row r="95" spans="2:18" ht="26.25" customHeight="1">
      <c r="B95" s="102"/>
      <c r="C95" s="105"/>
      <c r="D95" s="108"/>
      <c r="E95" s="108"/>
      <c r="F95" s="34" t="s">
        <v>32</v>
      </c>
      <c r="G95" s="31">
        <f t="shared" si="3"/>
        <v>0</v>
      </c>
      <c r="H95" s="36"/>
      <c r="I95" s="36"/>
      <c r="J95" s="36"/>
      <c r="K95" s="36"/>
      <c r="L95" s="36"/>
      <c r="M95" s="31">
        <f t="shared" si="4"/>
        <v>0</v>
      </c>
      <c r="N95" s="36"/>
      <c r="O95" s="36"/>
      <c r="P95" s="36"/>
      <c r="Q95" s="36"/>
      <c r="R95" s="33">
        <f t="shared" si="5"/>
        <v>0</v>
      </c>
    </row>
    <row r="96" spans="2:18">
      <c r="B96" s="102"/>
      <c r="C96" s="105"/>
      <c r="D96" s="108"/>
      <c r="E96" s="108"/>
      <c r="F96" s="34" t="s">
        <v>33</v>
      </c>
      <c r="G96" s="31">
        <f t="shared" si="3"/>
        <v>0</v>
      </c>
      <c r="H96" s="36"/>
      <c r="I96" s="36"/>
      <c r="J96" s="36"/>
      <c r="K96" s="36"/>
      <c r="L96" s="36"/>
      <c r="M96" s="31">
        <f t="shared" si="4"/>
        <v>0</v>
      </c>
      <c r="N96" s="36"/>
      <c r="O96" s="36"/>
      <c r="P96" s="36"/>
      <c r="Q96" s="36"/>
      <c r="R96" s="33">
        <f t="shared" si="5"/>
        <v>0</v>
      </c>
    </row>
    <row r="97" spans="2:18">
      <c r="B97" s="102"/>
      <c r="C97" s="105"/>
      <c r="D97" s="108"/>
      <c r="E97" s="108"/>
      <c r="F97" s="34" t="s">
        <v>34</v>
      </c>
      <c r="G97" s="31">
        <f t="shared" si="3"/>
        <v>0</v>
      </c>
      <c r="H97" s="36"/>
      <c r="I97" s="36"/>
      <c r="J97" s="36"/>
      <c r="K97" s="36"/>
      <c r="L97" s="36"/>
      <c r="M97" s="31">
        <f t="shared" si="4"/>
        <v>0</v>
      </c>
      <c r="N97" s="36"/>
      <c r="O97" s="36"/>
      <c r="P97" s="36"/>
      <c r="Q97" s="36"/>
      <c r="R97" s="33">
        <f t="shared" si="5"/>
        <v>0</v>
      </c>
    </row>
    <row r="98" spans="2:18" ht="30" customHeight="1">
      <c r="B98" s="102"/>
      <c r="C98" s="105"/>
      <c r="D98" s="108"/>
      <c r="E98" s="108"/>
      <c r="F98" s="30" t="s">
        <v>35</v>
      </c>
      <c r="G98" s="31">
        <f t="shared" si="3"/>
        <v>822924.3600000001</v>
      </c>
      <c r="H98" s="31">
        <f>H99+H100</f>
        <v>0</v>
      </c>
      <c r="I98" s="31">
        <f>I99+I100</f>
        <v>0</v>
      </c>
      <c r="J98" s="31">
        <f>J99+J100</f>
        <v>0</v>
      </c>
      <c r="K98" s="31">
        <f>K99+K100</f>
        <v>0</v>
      </c>
      <c r="L98" s="31">
        <f>L99+L100</f>
        <v>0</v>
      </c>
      <c r="M98" s="31">
        <f t="shared" si="4"/>
        <v>0</v>
      </c>
      <c r="N98" s="31">
        <f>N99+N100</f>
        <v>0</v>
      </c>
      <c r="O98" s="31">
        <f>O99+O100</f>
        <v>0</v>
      </c>
      <c r="P98" s="32">
        <f>P99+P100</f>
        <v>506614.10000000003</v>
      </c>
      <c r="Q98" s="32">
        <f>Q99+Q100</f>
        <v>316310.26</v>
      </c>
      <c r="R98" s="33">
        <f t="shared" si="5"/>
        <v>822924.3600000001</v>
      </c>
    </row>
    <row r="99" spans="2:18" ht="24.75" customHeight="1">
      <c r="B99" s="102"/>
      <c r="C99" s="105"/>
      <c r="D99" s="108"/>
      <c r="E99" s="108"/>
      <c r="F99" s="34" t="s">
        <v>36</v>
      </c>
      <c r="G99" s="31">
        <f t="shared" si="3"/>
        <v>822924.3600000001</v>
      </c>
      <c r="H99" s="36"/>
      <c r="I99" s="36"/>
      <c r="J99" s="36"/>
      <c r="K99" s="36"/>
      <c r="L99" s="36"/>
      <c r="M99" s="31">
        <f t="shared" si="4"/>
        <v>0</v>
      </c>
      <c r="N99" s="36"/>
      <c r="O99" s="36"/>
      <c r="P99" s="36">
        <f>P92*0.23</f>
        <v>506614.10000000003</v>
      </c>
      <c r="Q99" s="36">
        <f>Q92*0.23</f>
        <v>316310.26</v>
      </c>
      <c r="R99" s="33">
        <f t="shared" si="5"/>
        <v>822924.3600000001</v>
      </c>
    </row>
    <row r="100" spans="2:18" ht="34.5" customHeight="1" thickBot="1">
      <c r="B100" s="103"/>
      <c r="C100" s="106"/>
      <c r="D100" s="109"/>
      <c r="E100" s="109"/>
      <c r="F100" s="37" t="s">
        <v>37</v>
      </c>
      <c r="G100" s="38">
        <f t="shared" si="3"/>
        <v>0</v>
      </c>
      <c r="H100" s="39"/>
      <c r="I100" s="39"/>
      <c r="J100" s="39"/>
      <c r="K100" s="39"/>
      <c r="L100" s="62"/>
      <c r="M100" s="40">
        <f t="shared" si="4"/>
        <v>0</v>
      </c>
      <c r="N100" s="39"/>
      <c r="O100" s="39"/>
      <c r="P100" s="39"/>
      <c r="Q100" s="39"/>
      <c r="R100" s="41">
        <f t="shared" si="5"/>
        <v>0</v>
      </c>
    </row>
    <row r="101" spans="2:18" ht="30" customHeight="1">
      <c r="B101" s="115" t="s">
        <v>44</v>
      </c>
      <c r="C101" s="118" t="s">
        <v>73</v>
      </c>
      <c r="D101" s="107" t="s">
        <v>39</v>
      </c>
      <c r="E101" s="107">
        <v>1</v>
      </c>
      <c r="F101" s="26" t="s">
        <v>27</v>
      </c>
      <c r="G101" s="27">
        <f t="shared" si="3"/>
        <v>7260343.1400000006</v>
      </c>
      <c r="H101" s="28">
        <f>H102+H109</f>
        <v>0</v>
      </c>
      <c r="I101" s="28">
        <f>I102+I109</f>
        <v>0</v>
      </c>
      <c r="J101" s="28">
        <f>J102+J109</f>
        <v>0</v>
      </c>
      <c r="K101" s="28">
        <f>K102+K109</f>
        <v>0</v>
      </c>
      <c r="L101" s="28">
        <f>L102+L109</f>
        <v>0</v>
      </c>
      <c r="M101" s="28">
        <f t="shared" si="4"/>
        <v>0</v>
      </c>
      <c r="N101" s="28">
        <f>N102+N109</f>
        <v>0</v>
      </c>
      <c r="O101" s="28">
        <f>O102+O109</f>
        <v>0</v>
      </c>
      <c r="P101" s="28">
        <f>P102+P109</f>
        <v>4694994.87</v>
      </c>
      <c r="Q101" s="28">
        <f>Q102+Q109</f>
        <v>2565348.27</v>
      </c>
      <c r="R101" s="29">
        <f t="shared" si="5"/>
        <v>7260343.1400000006</v>
      </c>
    </row>
    <row r="102" spans="2:18" ht="42" customHeight="1">
      <c r="B102" s="116"/>
      <c r="C102" s="119"/>
      <c r="D102" s="121"/>
      <c r="E102" s="121"/>
      <c r="F102" s="30" t="s">
        <v>28</v>
      </c>
      <c r="G102" s="31">
        <f t="shared" si="3"/>
        <v>5902718</v>
      </c>
      <c r="H102" s="32">
        <f>H104+H105+H106+H107+H108+H103</f>
        <v>0</v>
      </c>
      <c r="I102" s="32">
        <f>I104+I105+I106+I107+I108+I103</f>
        <v>0</v>
      </c>
      <c r="J102" s="32">
        <f>J104+J105+J106+J107+J108+J103</f>
        <v>0</v>
      </c>
      <c r="K102" s="32">
        <f>K104+K105+K106+K107+K108+K103</f>
        <v>0</v>
      </c>
      <c r="L102" s="32">
        <f>L104+L105+L106+L107+L108+L103</f>
        <v>0</v>
      </c>
      <c r="M102" s="32">
        <f t="shared" si="4"/>
        <v>0</v>
      </c>
      <c r="N102" s="32">
        <f>N103+N104+N105+N106+N107+N108</f>
        <v>0</v>
      </c>
      <c r="O102" s="32">
        <f>O103+O104+O105+O106+O107+O108</f>
        <v>0</v>
      </c>
      <c r="P102" s="32">
        <f>P103+P104+P105+P106+P107+P108</f>
        <v>3817069</v>
      </c>
      <c r="Q102" s="32">
        <f>Q103+Q104+Q105+Q106+Q107+Q108</f>
        <v>2085649</v>
      </c>
      <c r="R102" s="33">
        <f t="shared" si="5"/>
        <v>5902718</v>
      </c>
    </row>
    <row r="103" spans="2:18" ht="42" customHeight="1">
      <c r="B103" s="116"/>
      <c r="C103" s="119"/>
      <c r="D103" s="121"/>
      <c r="E103" s="121"/>
      <c r="F103" s="34" t="s">
        <v>29</v>
      </c>
      <c r="G103" s="31">
        <f t="shared" si="3"/>
        <v>5902718</v>
      </c>
      <c r="H103" s="35"/>
      <c r="I103" s="36"/>
      <c r="J103" s="36"/>
      <c r="K103" s="36"/>
      <c r="L103" s="36"/>
      <c r="M103" s="31">
        <f t="shared" si="4"/>
        <v>0</v>
      </c>
      <c r="N103" s="36"/>
      <c r="O103" s="36"/>
      <c r="P103" s="36">
        <v>3817069</v>
      </c>
      <c r="Q103" s="36">
        <v>2085649</v>
      </c>
      <c r="R103" s="33">
        <f t="shared" si="5"/>
        <v>5902718</v>
      </c>
    </row>
    <row r="104" spans="2:18">
      <c r="B104" s="116"/>
      <c r="C104" s="119"/>
      <c r="D104" s="121"/>
      <c r="E104" s="121"/>
      <c r="F104" s="34" t="s">
        <v>30</v>
      </c>
      <c r="G104" s="31">
        <f t="shared" si="3"/>
        <v>0</v>
      </c>
      <c r="H104" s="36"/>
      <c r="I104" s="36"/>
      <c r="J104" s="36"/>
      <c r="K104" s="36"/>
      <c r="L104" s="36"/>
      <c r="M104" s="31">
        <f t="shared" si="4"/>
        <v>0</v>
      </c>
      <c r="N104" s="36"/>
      <c r="O104" s="36"/>
      <c r="P104" s="36"/>
      <c r="Q104" s="36"/>
      <c r="R104" s="33">
        <f t="shared" si="5"/>
        <v>0</v>
      </c>
    </row>
    <row r="105" spans="2:18" ht="27.75" customHeight="1">
      <c r="B105" s="116"/>
      <c r="C105" s="119"/>
      <c r="D105" s="121"/>
      <c r="E105" s="121"/>
      <c r="F105" s="34" t="s">
        <v>31</v>
      </c>
      <c r="G105" s="31">
        <f t="shared" si="3"/>
        <v>0</v>
      </c>
      <c r="H105" s="36"/>
      <c r="I105" s="36"/>
      <c r="J105" s="36"/>
      <c r="K105" s="36"/>
      <c r="L105" s="36"/>
      <c r="M105" s="31">
        <f t="shared" si="4"/>
        <v>0</v>
      </c>
      <c r="N105" s="36"/>
      <c r="O105" s="36"/>
      <c r="P105" s="36"/>
      <c r="Q105" s="36"/>
      <c r="R105" s="33">
        <f t="shared" si="5"/>
        <v>0</v>
      </c>
    </row>
    <row r="106" spans="2:18" ht="28.5" customHeight="1">
      <c r="B106" s="116"/>
      <c r="C106" s="119"/>
      <c r="D106" s="121"/>
      <c r="E106" s="121"/>
      <c r="F106" s="34" t="s">
        <v>32</v>
      </c>
      <c r="G106" s="31">
        <f t="shared" si="3"/>
        <v>0</v>
      </c>
      <c r="H106" s="36"/>
      <c r="I106" s="36"/>
      <c r="J106" s="36"/>
      <c r="K106" s="36"/>
      <c r="L106" s="36"/>
      <c r="M106" s="31">
        <f t="shared" si="4"/>
        <v>0</v>
      </c>
      <c r="N106" s="36"/>
      <c r="O106" s="36"/>
      <c r="P106" s="36"/>
      <c r="Q106" s="36"/>
      <c r="R106" s="33">
        <f t="shared" si="5"/>
        <v>0</v>
      </c>
    </row>
    <row r="107" spans="2:18">
      <c r="B107" s="116"/>
      <c r="C107" s="119"/>
      <c r="D107" s="121"/>
      <c r="E107" s="121"/>
      <c r="F107" s="34" t="s">
        <v>33</v>
      </c>
      <c r="G107" s="31">
        <f t="shared" si="3"/>
        <v>0</v>
      </c>
      <c r="H107" s="36"/>
      <c r="I107" s="36"/>
      <c r="J107" s="36"/>
      <c r="K107" s="36"/>
      <c r="L107" s="36"/>
      <c r="M107" s="31">
        <f t="shared" si="4"/>
        <v>0</v>
      </c>
      <c r="N107" s="36"/>
      <c r="O107" s="36"/>
      <c r="P107" s="36"/>
      <c r="Q107" s="36"/>
      <c r="R107" s="33">
        <f t="shared" si="5"/>
        <v>0</v>
      </c>
    </row>
    <row r="108" spans="2:18">
      <c r="B108" s="116"/>
      <c r="C108" s="119"/>
      <c r="D108" s="121"/>
      <c r="E108" s="121"/>
      <c r="F108" s="34" t="s">
        <v>34</v>
      </c>
      <c r="G108" s="31">
        <f t="shared" si="3"/>
        <v>0</v>
      </c>
      <c r="H108" s="36"/>
      <c r="I108" s="36"/>
      <c r="J108" s="36"/>
      <c r="K108" s="36"/>
      <c r="L108" s="36"/>
      <c r="M108" s="31">
        <f t="shared" si="4"/>
        <v>0</v>
      </c>
      <c r="N108" s="36"/>
      <c r="O108" s="36"/>
      <c r="P108" s="36"/>
      <c r="Q108" s="36"/>
      <c r="R108" s="33">
        <f t="shared" si="5"/>
        <v>0</v>
      </c>
    </row>
    <row r="109" spans="2:18" ht="31.5" customHeight="1">
      <c r="B109" s="116"/>
      <c r="C109" s="119"/>
      <c r="D109" s="121"/>
      <c r="E109" s="121"/>
      <c r="F109" s="30" t="s">
        <v>35</v>
      </c>
      <c r="G109" s="31">
        <f t="shared" si="3"/>
        <v>1357625.1400000001</v>
      </c>
      <c r="H109" s="31">
        <f>H110+H111</f>
        <v>0</v>
      </c>
      <c r="I109" s="31">
        <f>I110+I111</f>
        <v>0</v>
      </c>
      <c r="J109" s="31">
        <f>J110+J111</f>
        <v>0</v>
      </c>
      <c r="K109" s="31">
        <f>K110+K111</f>
        <v>0</v>
      </c>
      <c r="L109" s="31">
        <f>L110+L111</f>
        <v>0</v>
      </c>
      <c r="M109" s="31">
        <f t="shared" si="4"/>
        <v>0</v>
      </c>
      <c r="N109" s="31">
        <f>N110+N111</f>
        <v>0</v>
      </c>
      <c r="O109" s="31">
        <f>O110+O111</f>
        <v>0</v>
      </c>
      <c r="P109" s="32">
        <f>P110+P111</f>
        <v>877925.87</v>
      </c>
      <c r="Q109" s="32">
        <f>Q110+Q111</f>
        <v>479699.27</v>
      </c>
      <c r="R109" s="33">
        <f t="shared" si="5"/>
        <v>1357625.1400000001</v>
      </c>
    </row>
    <row r="110" spans="2:18" ht="28.5" customHeight="1">
      <c r="B110" s="116"/>
      <c r="C110" s="119"/>
      <c r="D110" s="121"/>
      <c r="E110" s="121"/>
      <c r="F110" s="34" t="s">
        <v>36</v>
      </c>
      <c r="G110" s="31">
        <f t="shared" si="3"/>
        <v>1357625.1400000001</v>
      </c>
      <c r="H110" s="36"/>
      <c r="I110" s="36"/>
      <c r="J110" s="36"/>
      <c r="K110" s="36"/>
      <c r="L110" s="36"/>
      <c r="M110" s="31">
        <f t="shared" si="4"/>
        <v>0</v>
      </c>
      <c r="N110" s="36"/>
      <c r="O110" s="36"/>
      <c r="P110" s="36">
        <f>P103*0.23</f>
        <v>877925.87</v>
      </c>
      <c r="Q110" s="36">
        <f>Q103*0.23</f>
        <v>479699.27</v>
      </c>
      <c r="R110" s="33">
        <f t="shared" si="5"/>
        <v>1357625.1400000001</v>
      </c>
    </row>
    <row r="111" spans="2:18" ht="33" customHeight="1" thickBot="1">
      <c r="B111" s="117"/>
      <c r="C111" s="120"/>
      <c r="D111" s="122"/>
      <c r="E111" s="122"/>
      <c r="F111" s="37" t="s">
        <v>37</v>
      </c>
      <c r="G111" s="38">
        <f t="shared" si="3"/>
        <v>0</v>
      </c>
      <c r="H111" s="39"/>
      <c r="I111" s="39"/>
      <c r="J111" s="39"/>
      <c r="K111" s="39"/>
      <c r="L111" s="39"/>
      <c r="M111" s="40">
        <f t="shared" si="4"/>
        <v>0</v>
      </c>
      <c r="N111" s="39"/>
      <c r="O111" s="39"/>
      <c r="P111" s="39"/>
      <c r="Q111" s="39"/>
      <c r="R111" s="41">
        <f t="shared" si="5"/>
        <v>0</v>
      </c>
    </row>
    <row r="112" spans="2:18" ht="28.5" customHeight="1">
      <c r="B112" s="101" t="s">
        <v>45</v>
      </c>
      <c r="C112" s="114" t="s">
        <v>74</v>
      </c>
      <c r="D112" s="110" t="s">
        <v>39</v>
      </c>
      <c r="E112" s="110">
        <v>1</v>
      </c>
      <c r="F112" s="26" t="s">
        <v>27</v>
      </c>
      <c r="G112" s="27">
        <f t="shared" si="3"/>
        <v>2458904.0699999998</v>
      </c>
      <c r="H112" s="28">
        <f>H113+H120</f>
        <v>0</v>
      </c>
      <c r="I112" s="28">
        <f>I113+I120</f>
        <v>0</v>
      </c>
      <c r="J112" s="28">
        <f>J113+J120</f>
        <v>0</v>
      </c>
      <c r="K112" s="28">
        <f>K113+K120</f>
        <v>0</v>
      </c>
      <c r="L112" s="28">
        <f>L113+L120</f>
        <v>0</v>
      </c>
      <c r="M112" s="28">
        <f t="shared" si="4"/>
        <v>0</v>
      </c>
      <c r="N112" s="28">
        <f>N113+N120</f>
        <v>0</v>
      </c>
      <c r="O112" s="28">
        <f>O113+O120</f>
        <v>0</v>
      </c>
      <c r="P112" s="28">
        <f>P113+P120</f>
        <v>2234077.29</v>
      </c>
      <c r="Q112" s="28">
        <f>Q113+Q120</f>
        <v>224826.78</v>
      </c>
      <c r="R112" s="29">
        <f t="shared" si="5"/>
        <v>2458904.0699999998</v>
      </c>
    </row>
    <row r="113" spans="2:18" ht="36.75" customHeight="1">
      <c r="B113" s="102"/>
      <c r="C113" s="105"/>
      <c r="D113" s="108"/>
      <c r="E113" s="108"/>
      <c r="F113" s="30" t="s">
        <v>28</v>
      </c>
      <c r="G113" s="31">
        <f t="shared" si="3"/>
        <v>1999109</v>
      </c>
      <c r="H113" s="32">
        <f>H115+H116+H117+H118+H119+H114</f>
        <v>0</v>
      </c>
      <c r="I113" s="32">
        <f>I115+I116+I117+I118+I119+I114</f>
        <v>0</v>
      </c>
      <c r="J113" s="32">
        <f>J115+J116+J117+J118+J119+J114</f>
        <v>0</v>
      </c>
      <c r="K113" s="32">
        <f>K115+K116+K117+K118+K119+K114</f>
        <v>0</v>
      </c>
      <c r="L113" s="32">
        <f>L115+L116+L117+L118+L119+L114</f>
        <v>0</v>
      </c>
      <c r="M113" s="32">
        <f t="shared" si="4"/>
        <v>0</v>
      </c>
      <c r="N113" s="32">
        <f>N114+N115+N116+N117+N118+N119</f>
        <v>0</v>
      </c>
      <c r="O113" s="32">
        <f>O114+O115+O116+O117+O118+O119</f>
        <v>0</v>
      </c>
      <c r="P113" s="32">
        <f>P114+P115+P116+P117+P118+P119</f>
        <v>1816323</v>
      </c>
      <c r="Q113" s="32">
        <f>Q114+Q115+Q116+Q117+Q118+Q119</f>
        <v>182786</v>
      </c>
      <c r="R113" s="33">
        <f t="shared" si="5"/>
        <v>1999109</v>
      </c>
    </row>
    <row r="114" spans="2:18" ht="40.5" customHeight="1">
      <c r="B114" s="102"/>
      <c r="C114" s="105"/>
      <c r="D114" s="108"/>
      <c r="E114" s="108"/>
      <c r="F114" s="34" t="s">
        <v>29</v>
      </c>
      <c r="G114" s="31">
        <f t="shared" si="3"/>
        <v>1999109</v>
      </c>
      <c r="H114" s="35"/>
      <c r="I114" s="36"/>
      <c r="J114" s="36"/>
      <c r="K114" s="36"/>
      <c r="L114" s="61"/>
      <c r="M114" s="32">
        <f t="shared" si="4"/>
        <v>0</v>
      </c>
      <c r="N114" s="61"/>
      <c r="O114" s="61"/>
      <c r="P114" s="36">
        <v>1816323</v>
      </c>
      <c r="Q114" s="36">
        <v>182786</v>
      </c>
      <c r="R114" s="33">
        <f t="shared" si="5"/>
        <v>1999109</v>
      </c>
    </row>
    <row r="115" spans="2:18">
      <c r="B115" s="102"/>
      <c r="C115" s="105"/>
      <c r="D115" s="108"/>
      <c r="E115" s="108"/>
      <c r="F115" s="34" t="s">
        <v>30</v>
      </c>
      <c r="G115" s="31">
        <f t="shared" si="3"/>
        <v>0</v>
      </c>
      <c r="H115" s="36"/>
      <c r="I115" s="36"/>
      <c r="J115" s="36"/>
      <c r="K115" s="36"/>
      <c r="L115" s="36"/>
      <c r="M115" s="32">
        <f t="shared" si="4"/>
        <v>0</v>
      </c>
      <c r="N115" s="36"/>
      <c r="O115" s="36"/>
      <c r="P115" s="36"/>
      <c r="Q115" s="36"/>
      <c r="R115" s="33">
        <f t="shared" si="5"/>
        <v>0</v>
      </c>
    </row>
    <row r="116" spans="2:18" ht="27" customHeight="1">
      <c r="B116" s="102"/>
      <c r="C116" s="105"/>
      <c r="D116" s="108"/>
      <c r="E116" s="108"/>
      <c r="F116" s="34" t="s">
        <v>31</v>
      </c>
      <c r="G116" s="31">
        <f t="shared" si="3"/>
        <v>0</v>
      </c>
      <c r="H116" s="36"/>
      <c r="I116" s="36"/>
      <c r="J116" s="36"/>
      <c r="K116" s="36"/>
      <c r="L116" s="36"/>
      <c r="M116" s="32">
        <f t="shared" si="4"/>
        <v>0</v>
      </c>
      <c r="N116" s="36"/>
      <c r="O116" s="36"/>
      <c r="P116" s="36"/>
      <c r="Q116" s="36"/>
      <c r="R116" s="33">
        <f t="shared" si="5"/>
        <v>0</v>
      </c>
    </row>
    <row r="117" spans="2:18" ht="30" customHeight="1">
      <c r="B117" s="102"/>
      <c r="C117" s="105"/>
      <c r="D117" s="108"/>
      <c r="E117" s="108"/>
      <c r="F117" s="34" t="s">
        <v>32</v>
      </c>
      <c r="G117" s="31">
        <f t="shared" si="3"/>
        <v>0</v>
      </c>
      <c r="H117" s="36"/>
      <c r="I117" s="36"/>
      <c r="J117" s="36"/>
      <c r="K117" s="36"/>
      <c r="L117" s="36"/>
      <c r="M117" s="32">
        <f t="shared" si="4"/>
        <v>0</v>
      </c>
      <c r="N117" s="36"/>
      <c r="O117" s="36"/>
      <c r="P117" s="36"/>
      <c r="Q117" s="36"/>
      <c r="R117" s="33">
        <f t="shared" si="5"/>
        <v>0</v>
      </c>
    </row>
    <row r="118" spans="2:18">
      <c r="B118" s="102"/>
      <c r="C118" s="105"/>
      <c r="D118" s="108"/>
      <c r="E118" s="108"/>
      <c r="F118" s="34" t="s">
        <v>33</v>
      </c>
      <c r="G118" s="31">
        <f t="shared" si="3"/>
        <v>0</v>
      </c>
      <c r="H118" s="36"/>
      <c r="I118" s="36"/>
      <c r="J118" s="36"/>
      <c r="K118" s="36"/>
      <c r="L118" s="36"/>
      <c r="M118" s="32">
        <f t="shared" si="4"/>
        <v>0</v>
      </c>
      <c r="N118" s="36"/>
      <c r="O118" s="36"/>
      <c r="P118" s="36"/>
      <c r="Q118" s="36"/>
      <c r="R118" s="33">
        <f t="shared" si="5"/>
        <v>0</v>
      </c>
    </row>
    <row r="119" spans="2:18">
      <c r="B119" s="102"/>
      <c r="C119" s="105"/>
      <c r="D119" s="108"/>
      <c r="E119" s="108"/>
      <c r="F119" s="34" t="s">
        <v>34</v>
      </c>
      <c r="G119" s="31">
        <f t="shared" si="3"/>
        <v>0</v>
      </c>
      <c r="H119" s="36"/>
      <c r="I119" s="36"/>
      <c r="J119" s="36"/>
      <c r="K119" s="36"/>
      <c r="L119" s="36"/>
      <c r="M119" s="32">
        <f t="shared" si="4"/>
        <v>0</v>
      </c>
      <c r="N119" s="36"/>
      <c r="O119" s="36"/>
      <c r="P119" s="36"/>
      <c r="Q119" s="36"/>
      <c r="R119" s="33">
        <f t="shared" si="5"/>
        <v>0</v>
      </c>
    </row>
    <row r="120" spans="2:18" ht="36.75" customHeight="1">
      <c r="B120" s="102"/>
      <c r="C120" s="105"/>
      <c r="D120" s="108"/>
      <c r="E120" s="108"/>
      <c r="F120" s="30" t="s">
        <v>35</v>
      </c>
      <c r="G120" s="31">
        <f t="shared" si="3"/>
        <v>459795.07000000007</v>
      </c>
      <c r="H120" s="31">
        <f>H121+H122</f>
        <v>0</v>
      </c>
      <c r="I120" s="31">
        <f>I121+I122</f>
        <v>0</v>
      </c>
      <c r="J120" s="31">
        <f>J121+J122</f>
        <v>0</v>
      </c>
      <c r="K120" s="31">
        <f>K121+K122</f>
        <v>0</v>
      </c>
      <c r="L120" s="31">
        <f>L121+L122</f>
        <v>0</v>
      </c>
      <c r="M120" s="32">
        <f t="shared" si="4"/>
        <v>0</v>
      </c>
      <c r="N120" s="32">
        <f>N121+N122</f>
        <v>0</v>
      </c>
      <c r="O120" s="32">
        <f>O121+O122</f>
        <v>0</v>
      </c>
      <c r="P120" s="32">
        <f>P121+P122</f>
        <v>417754.29000000004</v>
      </c>
      <c r="Q120" s="32">
        <f>Q121+Q122</f>
        <v>42040.78</v>
      </c>
      <c r="R120" s="33">
        <f t="shared" si="5"/>
        <v>459795.07000000007</v>
      </c>
    </row>
    <row r="121" spans="2:18" ht="27" customHeight="1">
      <c r="B121" s="102"/>
      <c r="C121" s="105"/>
      <c r="D121" s="108"/>
      <c r="E121" s="108"/>
      <c r="F121" s="34" t="s">
        <v>36</v>
      </c>
      <c r="G121" s="31">
        <f t="shared" si="3"/>
        <v>459795.07000000007</v>
      </c>
      <c r="H121" s="36"/>
      <c r="I121" s="36"/>
      <c r="J121" s="36"/>
      <c r="K121" s="36"/>
      <c r="L121" s="61"/>
      <c r="M121" s="64">
        <f t="shared" si="4"/>
        <v>0</v>
      </c>
      <c r="N121" s="61"/>
      <c r="O121" s="61"/>
      <c r="P121" s="61">
        <f>P114*0.23</f>
        <v>417754.29000000004</v>
      </c>
      <c r="Q121" s="61">
        <f>Q114*0.23</f>
        <v>42040.78</v>
      </c>
      <c r="R121" s="33">
        <f t="shared" si="5"/>
        <v>459795.07000000007</v>
      </c>
    </row>
    <row r="122" spans="2:18" ht="75" customHeight="1" thickBot="1">
      <c r="B122" s="103"/>
      <c r="C122" s="106"/>
      <c r="D122" s="109"/>
      <c r="E122" s="109"/>
      <c r="F122" s="37" t="s">
        <v>37</v>
      </c>
      <c r="G122" s="38">
        <f t="shared" si="3"/>
        <v>0</v>
      </c>
      <c r="H122" s="39"/>
      <c r="I122" s="39"/>
      <c r="J122" s="39"/>
      <c r="K122" s="39"/>
      <c r="L122" s="39"/>
      <c r="M122" s="40">
        <f t="shared" si="4"/>
        <v>0</v>
      </c>
      <c r="N122" s="39"/>
      <c r="O122" s="39"/>
      <c r="P122" s="39"/>
      <c r="Q122" s="39"/>
      <c r="R122" s="41">
        <f t="shared" si="5"/>
        <v>0</v>
      </c>
    </row>
    <row r="123" spans="2:18" ht="30.75" customHeight="1">
      <c r="B123" s="101" t="s">
        <v>46</v>
      </c>
      <c r="C123" s="114" t="s">
        <v>75</v>
      </c>
      <c r="D123" s="110" t="s">
        <v>39</v>
      </c>
      <c r="E123" s="110">
        <v>1</v>
      </c>
      <c r="F123" s="26" t="s">
        <v>27</v>
      </c>
      <c r="G123" s="27">
        <f t="shared" si="3"/>
        <v>7271330.7299999995</v>
      </c>
      <c r="H123" s="28">
        <f>H124+H131</f>
        <v>0</v>
      </c>
      <c r="I123" s="28">
        <f>I124+I131</f>
        <v>0</v>
      </c>
      <c r="J123" s="28">
        <f>J124+J131</f>
        <v>0</v>
      </c>
      <c r="K123" s="28">
        <f>K124+K131</f>
        <v>0</v>
      </c>
      <c r="L123" s="28">
        <f>L124+L131</f>
        <v>0</v>
      </c>
      <c r="M123" s="28">
        <f t="shared" si="4"/>
        <v>0</v>
      </c>
      <c r="N123" s="28">
        <f>N124+N131</f>
        <v>0</v>
      </c>
      <c r="O123" s="28">
        <f>O124+O131</f>
        <v>0</v>
      </c>
      <c r="P123" s="28">
        <f>P124+P131</f>
        <v>5535490.7699999996</v>
      </c>
      <c r="Q123" s="28">
        <f>Q124+Q131</f>
        <v>1735839.96</v>
      </c>
      <c r="R123" s="29">
        <f t="shared" si="5"/>
        <v>7271330.7299999995</v>
      </c>
    </row>
    <row r="124" spans="2:18" ht="40.5" customHeight="1">
      <c r="B124" s="102"/>
      <c r="C124" s="105"/>
      <c r="D124" s="108"/>
      <c r="E124" s="108"/>
      <c r="F124" s="30" t="s">
        <v>28</v>
      </c>
      <c r="G124" s="31">
        <f t="shared" si="3"/>
        <v>5911651</v>
      </c>
      <c r="H124" s="32">
        <f>H126+H127+H128+H129+H130+H125</f>
        <v>0</v>
      </c>
      <c r="I124" s="32">
        <f>I126+I127+I128+I129+I130+I125</f>
        <v>0</v>
      </c>
      <c r="J124" s="32">
        <f>J126+J127+J128+J129+J130+J125</f>
        <v>0</v>
      </c>
      <c r="K124" s="32">
        <f>K126+K127+K128+K129+K130+K125</f>
        <v>0</v>
      </c>
      <c r="L124" s="32">
        <f>L126+L127+L128+L129+L130+L125</f>
        <v>0</v>
      </c>
      <c r="M124" s="32">
        <f t="shared" si="4"/>
        <v>0</v>
      </c>
      <c r="N124" s="32">
        <f>N125+N126+N127+N128+N129+N130</f>
        <v>0</v>
      </c>
      <c r="O124" s="32">
        <f>O125+O126+O127+O128+O129+O130</f>
        <v>0</v>
      </c>
      <c r="P124" s="32">
        <f>P125+P126+P127+P128+P129+P130</f>
        <v>4500399</v>
      </c>
      <c r="Q124" s="32">
        <f>Q125+Q126+Q127+Q128+Q129+Q130</f>
        <v>1411252</v>
      </c>
      <c r="R124" s="33">
        <f t="shared" si="5"/>
        <v>5911651</v>
      </c>
    </row>
    <row r="125" spans="2:18" ht="40.5" customHeight="1">
      <c r="B125" s="102"/>
      <c r="C125" s="105"/>
      <c r="D125" s="108"/>
      <c r="E125" s="108"/>
      <c r="F125" s="34" t="s">
        <v>29</v>
      </c>
      <c r="G125" s="31">
        <f t="shared" si="3"/>
        <v>5911651</v>
      </c>
      <c r="H125" s="35"/>
      <c r="I125" s="36"/>
      <c r="J125" s="36"/>
      <c r="K125" s="36"/>
      <c r="L125" s="61"/>
      <c r="M125" s="32">
        <f t="shared" si="4"/>
        <v>0</v>
      </c>
      <c r="N125" s="61"/>
      <c r="O125" s="61"/>
      <c r="P125" s="36">
        <v>4500399</v>
      </c>
      <c r="Q125" s="36">
        <v>1411252</v>
      </c>
      <c r="R125" s="33">
        <f t="shared" si="5"/>
        <v>5911651</v>
      </c>
    </row>
    <row r="126" spans="2:18">
      <c r="B126" s="102"/>
      <c r="C126" s="105"/>
      <c r="D126" s="108"/>
      <c r="E126" s="108"/>
      <c r="F126" s="34" t="s">
        <v>30</v>
      </c>
      <c r="G126" s="31">
        <f t="shared" si="3"/>
        <v>0</v>
      </c>
      <c r="H126" s="36"/>
      <c r="I126" s="36"/>
      <c r="J126" s="36"/>
      <c r="K126" s="36"/>
      <c r="L126" s="36"/>
      <c r="M126" s="32">
        <f t="shared" si="4"/>
        <v>0</v>
      </c>
      <c r="N126" s="36"/>
      <c r="O126" s="36"/>
      <c r="P126" s="36"/>
      <c r="Q126" s="36"/>
      <c r="R126" s="33">
        <f t="shared" si="5"/>
        <v>0</v>
      </c>
    </row>
    <row r="127" spans="2:18" ht="27.75" customHeight="1">
      <c r="B127" s="102"/>
      <c r="C127" s="105"/>
      <c r="D127" s="108"/>
      <c r="E127" s="108"/>
      <c r="F127" s="34" t="s">
        <v>31</v>
      </c>
      <c r="G127" s="31">
        <f t="shared" si="3"/>
        <v>0</v>
      </c>
      <c r="H127" s="36"/>
      <c r="I127" s="36"/>
      <c r="J127" s="36"/>
      <c r="K127" s="36"/>
      <c r="L127" s="36"/>
      <c r="M127" s="32">
        <f t="shared" si="4"/>
        <v>0</v>
      </c>
      <c r="N127" s="36"/>
      <c r="O127" s="36"/>
      <c r="P127" s="36"/>
      <c r="Q127" s="36"/>
      <c r="R127" s="33">
        <f t="shared" si="5"/>
        <v>0</v>
      </c>
    </row>
    <row r="128" spans="2:18">
      <c r="B128" s="102"/>
      <c r="C128" s="105"/>
      <c r="D128" s="108"/>
      <c r="E128" s="108"/>
      <c r="F128" s="34" t="s">
        <v>32</v>
      </c>
      <c r="G128" s="31">
        <f t="shared" si="3"/>
        <v>0</v>
      </c>
      <c r="H128" s="36"/>
      <c r="I128" s="36"/>
      <c r="J128" s="36"/>
      <c r="K128" s="36"/>
      <c r="L128" s="36"/>
      <c r="M128" s="32">
        <f t="shared" si="4"/>
        <v>0</v>
      </c>
      <c r="N128" s="36"/>
      <c r="O128" s="36"/>
      <c r="P128" s="36"/>
      <c r="Q128" s="36"/>
      <c r="R128" s="33">
        <f t="shared" si="5"/>
        <v>0</v>
      </c>
    </row>
    <row r="129" spans="2:18">
      <c r="B129" s="102"/>
      <c r="C129" s="105"/>
      <c r="D129" s="108"/>
      <c r="E129" s="108"/>
      <c r="F129" s="34" t="s">
        <v>33</v>
      </c>
      <c r="G129" s="31">
        <f t="shared" si="3"/>
        <v>0</v>
      </c>
      <c r="H129" s="36"/>
      <c r="I129" s="36"/>
      <c r="J129" s="36"/>
      <c r="K129" s="36"/>
      <c r="L129" s="36"/>
      <c r="M129" s="32">
        <f t="shared" si="4"/>
        <v>0</v>
      </c>
      <c r="N129" s="36"/>
      <c r="O129" s="36"/>
      <c r="P129" s="36"/>
      <c r="Q129" s="36"/>
      <c r="R129" s="33">
        <f t="shared" si="5"/>
        <v>0</v>
      </c>
    </row>
    <row r="130" spans="2:18">
      <c r="B130" s="102"/>
      <c r="C130" s="105"/>
      <c r="D130" s="108"/>
      <c r="E130" s="108"/>
      <c r="F130" s="34" t="s">
        <v>34</v>
      </c>
      <c r="G130" s="31">
        <f t="shared" si="3"/>
        <v>0</v>
      </c>
      <c r="H130" s="36"/>
      <c r="I130" s="36"/>
      <c r="J130" s="36"/>
      <c r="K130" s="36"/>
      <c r="L130" s="36"/>
      <c r="M130" s="32">
        <f t="shared" si="4"/>
        <v>0</v>
      </c>
      <c r="N130" s="36"/>
      <c r="O130" s="36"/>
      <c r="P130" s="36"/>
      <c r="Q130" s="36"/>
      <c r="R130" s="33">
        <f t="shared" si="5"/>
        <v>0</v>
      </c>
    </row>
    <row r="131" spans="2:18" ht="46.5" customHeight="1">
      <c r="B131" s="102"/>
      <c r="C131" s="105"/>
      <c r="D131" s="108"/>
      <c r="E131" s="108"/>
      <c r="F131" s="30" t="s">
        <v>35</v>
      </c>
      <c r="G131" s="31">
        <f t="shared" si="3"/>
        <v>1359679.73</v>
      </c>
      <c r="H131" s="31">
        <f>H132+H133</f>
        <v>0</v>
      </c>
      <c r="I131" s="31">
        <f>I132+I133</f>
        <v>0</v>
      </c>
      <c r="J131" s="31">
        <f>J132+J133</f>
        <v>0</v>
      </c>
      <c r="K131" s="31">
        <f>K132+K133</f>
        <v>0</v>
      </c>
      <c r="L131" s="31">
        <f>L132+L133</f>
        <v>0</v>
      </c>
      <c r="M131" s="32">
        <f t="shared" si="4"/>
        <v>0</v>
      </c>
      <c r="N131" s="32">
        <f>N132+N133</f>
        <v>0</v>
      </c>
      <c r="O131" s="32">
        <f>O132+O133</f>
        <v>0</v>
      </c>
      <c r="P131" s="32">
        <f>P132+P133</f>
        <v>1035091.77</v>
      </c>
      <c r="Q131" s="32">
        <f>Q132+Q133</f>
        <v>324587.96000000002</v>
      </c>
      <c r="R131" s="33">
        <f t="shared" si="5"/>
        <v>1359679.73</v>
      </c>
    </row>
    <row r="132" spans="2:18" ht="30.75" customHeight="1">
      <c r="B132" s="102"/>
      <c r="C132" s="105"/>
      <c r="D132" s="108"/>
      <c r="E132" s="108"/>
      <c r="F132" s="34" t="s">
        <v>36</v>
      </c>
      <c r="G132" s="31">
        <f t="shared" si="3"/>
        <v>1359679.73</v>
      </c>
      <c r="H132" s="36"/>
      <c r="I132" s="36"/>
      <c r="J132" s="36"/>
      <c r="K132" s="36"/>
      <c r="L132" s="61"/>
      <c r="M132" s="64">
        <f t="shared" si="4"/>
        <v>0</v>
      </c>
      <c r="N132" s="61"/>
      <c r="O132" s="61"/>
      <c r="P132" s="61">
        <f>P125*0.23</f>
        <v>1035091.77</v>
      </c>
      <c r="Q132" s="61">
        <f>Q125*0.23</f>
        <v>324587.96000000002</v>
      </c>
      <c r="R132" s="33">
        <f t="shared" si="5"/>
        <v>1359679.73</v>
      </c>
    </row>
    <row r="133" spans="2:18" ht="42.75" customHeight="1" thickBot="1">
      <c r="B133" s="103"/>
      <c r="C133" s="106"/>
      <c r="D133" s="109"/>
      <c r="E133" s="109"/>
      <c r="F133" s="37" t="s">
        <v>37</v>
      </c>
      <c r="G133" s="38">
        <f t="shared" si="3"/>
        <v>0</v>
      </c>
      <c r="H133" s="39"/>
      <c r="I133" s="39"/>
      <c r="J133" s="39"/>
      <c r="K133" s="39"/>
      <c r="L133" s="39"/>
      <c r="M133" s="40">
        <f t="shared" si="4"/>
        <v>0</v>
      </c>
      <c r="N133" s="39"/>
      <c r="O133" s="39"/>
      <c r="P133" s="39"/>
      <c r="Q133" s="39"/>
      <c r="R133" s="41">
        <f t="shared" si="5"/>
        <v>0</v>
      </c>
    </row>
    <row r="134" spans="2:18" ht="31.5" customHeight="1">
      <c r="B134" s="101" t="s">
        <v>47</v>
      </c>
      <c r="C134" s="114" t="s">
        <v>76</v>
      </c>
      <c r="D134" s="110" t="s">
        <v>39</v>
      </c>
      <c r="E134" s="110">
        <v>1</v>
      </c>
      <c r="F134" s="26" t="s">
        <v>27</v>
      </c>
      <c r="G134" s="27">
        <f t="shared" si="3"/>
        <v>1138544.58</v>
      </c>
      <c r="H134" s="28">
        <f>H135+H142</f>
        <v>0</v>
      </c>
      <c r="I134" s="28">
        <f>I135+I142</f>
        <v>0</v>
      </c>
      <c r="J134" s="28">
        <f>J135+J142</f>
        <v>0</v>
      </c>
      <c r="K134" s="28">
        <f>K135+K142</f>
        <v>0</v>
      </c>
      <c r="L134" s="28">
        <f>L135+L142</f>
        <v>0</v>
      </c>
      <c r="M134" s="28">
        <f t="shared" si="4"/>
        <v>0</v>
      </c>
      <c r="N134" s="28">
        <f>N135+N142</f>
        <v>0</v>
      </c>
      <c r="O134" s="28">
        <f>O135+O142</f>
        <v>0</v>
      </c>
      <c r="P134" s="28">
        <f>P135+P142</f>
        <v>1138544.58</v>
      </c>
      <c r="Q134" s="28">
        <f>Q135+Q142</f>
        <v>0</v>
      </c>
      <c r="R134" s="29">
        <f t="shared" si="5"/>
        <v>1138544.58</v>
      </c>
    </row>
    <row r="135" spans="2:18" ht="29.25" customHeight="1">
      <c r="B135" s="102"/>
      <c r="C135" s="105"/>
      <c r="D135" s="108"/>
      <c r="E135" s="108"/>
      <c r="F135" s="30" t="s">
        <v>28</v>
      </c>
      <c r="G135" s="31">
        <f t="shared" si="3"/>
        <v>925646</v>
      </c>
      <c r="H135" s="32">
        <f>H137+H138+H139+H140+H141+H136</f>
        <v>0</v>
      </c>
      <c r="I135" s="32">
        <f>I137+I138+I139+I140+I141+I136</f>
        <v>0</v>
      </c>
      <c r="J135" s="32">
        <f>J137+J138+J139+J140+J141+J136</f>
        <v>0</v>
      </c>
      <c r="K135" s="32">
        <f>K137+K138+K139+K140+K141+K136</f>
        <v>0</v>
      </c>
      <c r="L135" s="32">
        <f>L137+L138+L139+L140+L141+L136</f>
        <v>0</v>
      </c>
      <c r="M135" s="32">
        <f t="shared" si="4"/>
        <v>0</v>
      </c>
      <c r="N135" s="32">
        <f>N136+N137+N138+N139+N140+N141</f>
        <v>0</v>
      </c>
      <c r="O135" s="32">
        <f>O136+O137+O138+O139+O140+O141</f>
        <v>0</v>
      </c>
      <c r="P135" s="32">
        <f>P136+P137+P138+P139+P140+P141</f>
        <v>925646</v>
      </c>
      <c r="Q135" s="32">
        <f>Q136+Q137+Q138+Q139+Q140+Q141</f>
        <v>0</v>
      </c>
      <c r="R135" s="33">
        <f t="shared" si="5"/>
        <v>925646</v>
      </c>
    </row>
    <row r="136" spans="2:18" ht="38.25" customHeight="1">
      <c r="B136" s="102"/>
      <c r="C136" s="105"/>
      <c r="D136" s="108"/>
      <c r="E136" s="108"/>
      <c r="F136" s="34" t="s">
        <v>29</v>
      </c>
      <c r="G136" s="31">
        <f t="shared" si="3"/>
        <v>925646</v>
      </c>
      <c r="H136" s="35"/>
      <c r="I136" s="36"/>
      <c r="J136" s="36"/>
      <c r="K136" s="36"/>
      <c r="L136" s="61"/>
      <c r="M136" s="32">
        <f t="shared" si="4"/>
        <v>0</v>
      </c>
      <c r="N136" s="61"/>
      <c r="O136" s="61"/>
      <c r="P136" s="36">
        <v>925646</v>
      </c>
      <c r="Q136" s="36">
        <v>0</v>
      </c>
      <c r="R136" s="33">
        <f t="shared" si="5"/>
        <v>925646</v>
      </c>
    </row>
    <row r="137" spans="2:18">
      <c r="B137" s="102"/>
      <c r="C137" s="105"/>
      <c r="D137" s="108"/>
      <c r="E137" s="108"/>
      <c r="F137" s="34" t="s">
        <v>30</v>
      </c>
      <c r="G137" s="31">
        <f t="shared" si="3"/>
        <v>0</v>
      </c>
      <c r="H137" s="36"/>
      <c r="I137" s="36"/>
      <c r="J137" s="36"/>
      <c r="K137" s="36"/>
      <c r="L137" s="36"/>
      <c r="M137" s="32">
        <f t="shared" si="4"/>
        <v>0</v>
      </c>
      <c r="N137" s="36"/>
      <c r="O137" s="36"/>
      <c r="P137" s="36"/>
      <c r="Q137" s="36"/>
      <c r="R137" s="33">
        <f t="shared" si="5"/>
        <v>0</v>
      </c>
    </row>
    <row r="138" spans="2:18" ht="27.75" customHeight="1">
      <c r="B138" s="102"/>
      <c r="C138" s="105"/>
      <c r="D138" s="108"/>
      <c r="E138" s="108"/>
      <c r="F138" s="34" t="s">
        <v>31</v>
      </c>
      <c r="G138" s="31">
        <f t="shared" si="3"/>
        <v>0</v>
      </c>
      <c r="H138" s="36"/>
      <c r="I138" s="36"/>
      <c r="J138" s="36"/>
      <c r="K138" s="36"/>
      <c r="L138" s="36"/>
      <c r="M138" s="32">
        <f t="shared" si="4"/>
        <v>0</v>
      </c>
      <c r="N138" s="36"/>
      <c r="O138" s="36"/>
      <c r="P138" s="36"/>
      <c r="Q138" s="36"/>
      <c r="R138" s="33">
        <f t="shared" si="5"/>
        <v>0</v>
      </c>
    </row>
    <row r="139" spans="2:18" ht="25.5" customHeight="1">
      <c r="B139" s="102"/>
      <c r="C139" s="105"/>
      <c r="D139" s="108"/>
      <c r="E139" s="108"/>
      <c r="F139" s="34" t="s">
        <v>32</v>
      </c>
      <c r="G139" s="31">
        <f t="shared" si="3"/>
        <v>0</v>
      </c>
      <c r="H139" s="36"/>
      <c r="I139" s="36"/>
      <c r="J139" s="36"/>
      <c r="K139" s="36"/>
      <c r="L139" s="36"/>
      <c r="M139" s="32">
        <f t="shared" si="4"/>
        <v>0</v>
      </c>
      <c r="N139" s="36"/>
      <c r="O139" s="36"/>
      <c r="P139" s="36"/>
      <c r="Q139" s="36"/>
      <c r="R139" s="33">
        <f t="shared" si="5"/>
        <v>0</v>
      </c>
    </row>
    <row r="140" spans="2:18">
      <c r="B140" s="102"/>
      <c r="C140" s="105"/>
      <c r="D140" s="108"/>
      <c r="E140" s="108"/>
      <c r="F140" s="34" t="s">
        <v>33</v>
      </c>
      <c r="G140" s="31">
        <f t="shared" si="3"/>
        <v>0</v>
      </c>
      <c r="H140" s="36"/>
      <c r="I140" s="36"/>
      <c r="J140" s="36"/>
      <c r="K140" s="36"/>
      <c r="L140" s="36"/>
      <c r="M140" s="32">
        <f t="shared" si="4"/>
        <v>0</v>
      </c>
      <c r="N140" s="36"/>
      <c r="O140" s="36"/>
      <c r="P140" s="36"/>
      <c r="Q140" s="36"/>
      <c r="R140" s="33">
        <f t="shared" si="5"/>
        <v>0</v>
      </c>
    </row>
    <row r="141" spans="2:18">
      <c r="B141" s="102"/>
      <c r="C141" s="105"/>
      <c r="D141" s="108"/>
      <c r="E141" s="108"/>
      <c r="F141" s="34" t="s">
        <v>34</v>
      </c>
      <c r="G141" s="31">
        <f t="shared" ref="G141:G166" si="6">H141+M141+R141</f>
        <v>0</v>
      </c>
      <c r="H141" s="36"/>
      <c r="I141" s="36"/>
      <c r="J141" s="36"/>
      <c r="K141" s="36"/>
      <c r="L141" s="36"/>
      <c r="M141" s="32">
        <f t="shared" ref="M141:M166" si="7">I141+J141+K141+L141</f>
        <v>0</v>
      </c>
      <c r="N141" s="36"/>
      <c r="O141" s="36"/>
      <c r="P141" s="36"/>
      <c r="Q141" s="36"/>
      <c r="R141" s="33">
        <f t="shared" ref="R141:R166" si="8">N141+O141+P141+Q141</f>
        <v>0</v>
      </c>
    </row>
    <row r="142" spans="2:18" ht="30.75" customHeight="1">
      <c r="B142" s="102"/>
      <c r="C142" s="105"/>
      <c r="D142" s="108"/>
      <c r="E142" s="108"/>
      <c r="F142" s="30" t="s">
        <v>35</v>
      </c>
      <c r="G142" s="31">
        <f t="shared" si="6"/>
        <v>212898.58000000002</v>
      </c>
      <c r="H142" s="31">
        <f>H143+H144</f>
        <v>0</v>
      </c>
      <c r="I142" s="31">
        <f>I143+I144</f>
        <v>0</v>
      </c>
      <c r="J142" s="31">
        <f>J143+J144</f>
        <v>0</v>
      </c>
      <c r="K142" s="31">
        <f>K143+K144</f>
        <v>0</v>
      </c>
      <c r="L142" s="31">
        <f>L143+L144</f>
        <v>0</v>
      </c>
      <c r="M142" s="32">
        <f t="shared" si="7"/>
        <v>0</v>
      </c>
      <c r="N142" s="32">
        <f>N143+N144</f>
        <v>0</v>
      </c>
      <c r="O142" s="32">
        <f>O143+O144</f>
        <v>0</v>
      </c>
      <c r="P142" s="32">
        <f>P143+P144</f>
        <v>212898.58000000002</v>
      </c>
      <c r="Q142" s="32">
        <f>Q143+Q144</f>
        <v>0</v>
      </c>
      <c r="R142" s="33">
        <f t="shared" si="8"/>
        <v>212898.58000000002</v>
      </c>
    </row>
    <row r="143" spans="2:18" ht="29.25" customHeight="1">
      <c r="B143" s="102"/>
      <c r="C143" s="105"/>
      <c r="D143" s="108"/>
      <c r="E143" s="108"/>
      <c r="F143" s="34" t="s">
        <v>36</v>
      </c>
      <c r="G143" s="31">
        <f t="shared" si="6"/>
        <v>212898.58000000002</v>
      </c>
      <c r="H143" s="36"/>
      <c r="I143" s="36"/>
      <c r="J143" s="36"/>
      <c r="K143" s="36"/>
      <c r="L143" s="61"/>
      <c r="M143" s="64">
        <f t="shared" si="7"/>
        <v>0</v>
      </c>
      <c r="N143" s="61"/>
      <c r="O143" s="61"/>
      <c r="P143" s="61">
        <f>P136*0.23</f>
        <v>212898.58000000002</v>
      </c>
      <c r="Q143" s="61">
        <f>Q136*0.23</f>
        <v>0</v>
      </c>
      <c r="R143" s="33">
        <f t="shared" si="8"/>
        <v>212898.58000000002</v>
      </c>
    </row>
    <row r="144" spans="2:18" ht="30" customHeight="1" thickBot="1">
      <c r="B144" s="103"/>
      <c r="C144" s="106"/>
      <c r="D144" s="109"/>
      <c r="E144" s="109"/>
      <c r="F144" s="37" t="s">
        <v>37</v>
      </c>
      <c r="G144" s="38">
        <f t="shared" si="6"/>
        <v>0</v>
      </c>
      <c r="H144" s="39"/>
      <c r="I144" s="39"/>
      <c r="J144" s="39"/>
      <c r="K144" s="39"/>
      <c r="L144" s="39"/>
      <c r="M144" s="40">
        <f t="shared" si="7"/>
        <v>0</v>
      </c>
      <c r="N144" s="39"/>
      <c r="O144" s="39"/>
      <c r="P144" s="39"/>
      <c r="Q144" s="39"/>
      <c r="R144" s="41">
        <f t="shared" si="8"/>
        <v>0</v>
      </c>
    </row>
    <row r="145" spans="2:19" ht="31.5" customHeight="1">
      <c r="B145" s="101">
        <v>5</v>
      </c>
      <c r="C145" s="104" t="s">
        <v>77</v>
      </c>
      <c r="D145" s="110" t="s">
        <v>26</v>
      </c>
      <c r="E145" s="110">
        <v>1</v>
      </c>
      <c r="F145" s="26" t="s">
        <v>27</v>
      </c>
      <c r="G145" s="70">
        <f>H145+M145+R145+0.002</f>
        <v>3667781.9062999999</v>
      </c>
      <c r="H145" s="28">
        <f>H146+H153</f>
        <v>0</v>
      </c>
      <c r="I145" s="28">
        <f>I146+I153</f>
        <v>0</v>
      </c>
      <c r="J145" s="28">
        <f>J146+J153</f>
        <v>0</v>
      </c>
      <c r="K145" s="28">
        <f>K146+K153</f>
        <v>0</v>
      </c>
      <c r="L145" s="28">
        <f>L146+L153</f>
        <v>0</v>
      </c>
      <c r="M145" s="28">
        <f t="shared" si="7"/>
        <v>0</v>
      </c>
      <c r="N145" s="28">
        <f>N146+N153</f>
        <v>0</v>
      </c>
      <c r="O145" s="28">
        <f>O146+O153</f>
        <v>-3.0000000000000001E-3</v>
      </c>
      <c r="P145" s="28">
        <f>P146+P153</f>
        <v>1783500</v>
      </c>
      <c r="Q145" s="28">
        <f>Q146+Q153</f>
        <v>1884281.9073000001</v>
      </c>
      <c r="R145" s="29">
        <f t="shared" si="8"/>
        <v>3667781.9043000001</v>
      </c>
    </row>
    <row r="146" spans="2:19" ht="34.5" customHeight="1">
      <c r="B146" s="102"/>
      <c r="C146" s="105"/>
      <c r="D146" s="108"/>
      <c r="E146" s="108"/>
      <c r="F146" s="30" t="s">
        <v>28</v>
      </c>
      <c r="G146" s="31">
        <f t="shared" si="6"/>
        <v>2981936.5070000002</v>
      </c>
      <c r="H146" s="32">
        <f>H148+H149+H150+H151+H152+H147</f>
        <v>0</v>
      </c>
      <c r="I146" s="32">
        <f>I148+I149+I150+I151+I152+I147</f>
        <v>0</v>
      </c>
      <c r="J146" s="32">
        <f>J148+J149+J150+J151+J152+J147</f>
        <v>0</v>
      </c>
      <c r="K146" s="32">
        <f>K148+K149+K150+K151+K152+K147</f>
        <v>0</v>
      </c>
      <c r="L146" s="32">
        <f>L148+L149+L150+L151+L152+L147</f>
        <v>0</v>
      </c>
      <c r="M146" s="32">
        <f t="shared" si="7"/>
        <v>0</v>
      </c>
      <c r="N146" s="32">
        <f>N147+N148+N149+N150+N151+N152</f>
        <v>0</v>
      </c>
      <c r="O146" s="32">
        <f>O147+O148+O149+O150+O151+O152-0.003</f>
        <v>-3.0000000000000001E-3</v>
      </c>
      <c r="P146" s="32">
        <f>P147+P148+P149+P150+P151+P152</f>
        <v>1450000</v>
      </c>
      <c r="Q146" s="32">
        <f>Q147+Q148+Q149+Q150+Q151+Q152</f>
        <v>1531936.51</v>
      </c>
      <c r="R146" s="33">
        <f t="shared" si="8"/>
        <v>2981936.5070000002</v>
      </c>
    </row>
    <row r="147" spans="2:19" ht="42.75" customHeight="1">
      <c r="B147" s="102"/>
      <c r="C147" s="105"/>
      <c r="D147" s="108"/>
      <c r="E147" s="108"/>
      <c r="F147" s="34" t="s">
        <v>29</v>
      </c>
      <c r="G147" s="69">
        <f>H147+M147+R147</f>
        <v>2981936.51</v>
      </c>
      <c r="H147" s="35"/>
      <c r="I147" s="36"/>
      <c r="J147" s="61"/>
      <c r="K147" s="61"/>
      <c r="L147" s="63"/>
      <c r="M147" s="69">
        <f t="shared" si="7"/>
        <v>0</v>
      </c>
      <c r="N147" s="35"/>
      <c r="O147" s="35"/>
      <c r="P147" s="36">
        <v>1450000</v>
      </c>
      <c r="Q147" s="36">
        <v>1531936.51</v>
      </c>
      <c r="R147" s="33">
        <f t="shared" si="8"/>
        <v>2981936.51</v>
      </c>
      <c r="S147" s="73"/>
    </row>
    <row r="148" spans="2:19">
      <c r="B148" s="102"/>
      <c r="C148" s="105"/>
      <c r="D148" s="108"/>
      <c r="E148" s="108"/>
      <c r="F148" s="34" t="s">
        <v>30</v>
      </c>
      <c r="G148" s="31">
        <f t="shared" si="6"/>
        <v>0</v>
      </c>
      <c r="H148" s="36"/>
      <c r="I148" s="36"/>
      <c r="J148" s="36"/>
      <c r="K148" s="36"/>
      <c r="L148" s="36"/>
      <c r="M148" s="32">
        <f t="shared" si="7"/>
        <v>0</v>
      </c>
      <c r="N148" s="36"/>
      <c r="O148" s="36"/>
      <c r="P148" s="36"/>
      <c r="Q148" s="36"/>
      <c r="R148" s="33">
        <f t="shared" si="8"/>
        <v>0</v>
      </c>
    </row>
    <row r="149" spans="2:19" ht="27" customHeight="1">
      <c r="B149" s="102"/>
      <c r="C149" s="105"/>
      <c r="D149" s="108"/>
      <c r="E149" s="108"/>
      <c r="F149" s="34" t="s">
        <v>31</v>
      </c>
      <c r="G149" s="31">
        <f t="shared" si="6"/>
        <v>0</v>
      </c>
      <c r="H149" s="36"/>
      <c r="I149" s="36"/>
      <c r="J149" s="36"/>
      <c r="K149" s="36"/>
      <c r="L149" s="36"/>
      <c r="M149" s="32">
        <f t="shared" si="7"/>
        <v>0</v>
      </c>
      <c r="N149" s="36"/>
      <c r="O149" s="36"/>
      <c r="P149" s="36"/>
      <c r="Q149" s="36"/>
      <c r="R149" s="33">
        <f t="shared" si="8"/>
        <v>0</v>
      </c>
    </row>
    <row r="150" spans="2:19" ht="27.75" customHeight="1">
      <c r="B150" s="102"/>
      <c r="C150" s="105"/>
      <c r="D150" s="108"/>
      <c r="E150" s="108"/>
      <c r="F150" s="34" t="s">
        <v>32</v>
      </c>
      <c r="G150" s="31">
        <f t="shared" si="6"/>
        <v>0</v>
      </c>
      <c r="H150" s="36"/>
      <c r="I150" s="36"/>
      <c r="J150" s="36"/>
      <c r="K150" s="36"/>
      <c r="L150" s="36"/>
      <c r="M150" s="32">
        <f t="shared" si="7"/>
        <v>0</v>
      </c>
      <c r="N150" s="36"/>
      <c r="O150" s="36"/>
      <c r="P150" s="36"/>
      <c r="Q150" s="36"/>
      <c r="R150" s="33">
        <f t="shared" si="8"/>
        <v>0</v>
      </c>
    </row>
    <row r="151" spans="2:19">
      <c r="B151" s="102"/>
      <c r="C151" s="105"/>
      <c r="D151" s="108"/>
      <c r="E151" s="108"/>
      <c r="F151" s="34" t="s">
        <v>33</v>
      </c>
      <c r="G151" s="31">
        <f t="shared" si="6"/>
        <v>0</v>
      </c>
      <c r="H151" s="36"/>
      <c r="I151" s="36"/>
      <c r="J151" s="36"/>
      <c r="K151" s="36"/>
      <c r="L151" s="36"/>
      <c r="M151" s="32">
        <f t="shared" si="7"/>
        <v>0</v>
      </c>
      <c r="N151" s="36"/>
      <c r="O151" s="36"/>
      <c r="P151" s="36"/>
      <c r="Q151" s="36"/>
      <c r="R151" s="33">
        <f t="shared" si="8"/>
        <v>0</v>
      </c>
    </row>
    <row r="152" spans="2:19">
      <c r="B152" s="102"/>
      <c r="C152" s="105"/>
      <c r="D152" s="108"/>
      <c r="E152" s="108"/>
      <c r="F152" s="34" t="s">
        <v>34</v>
      </c>
      <c r="G152" s="31">
        <f t="shared" si="6"/>
        <v>0</v>
      </c>
      <c r="H152" s="36"/>
      <c r="I152" s="36"/>
      <c r="J152" s="36"/>
      <c r="K152" s="36"/>
      <c r="L152" s="36"/>
      <c r="M152" s="32">
        <f t="shared" si="7"/>
        <v>0</v>
      </c>
      <c r="N152" s="36"/>
      <c r="O152" s="36"/>
      <c r="P152" s="36"/>
      <c r="Q152" s="36"/>
      <c r="R152" s="33">
        <f t="shared" si="8"/>
        <v>0</v>
      </c>
    </row>
    <row r="153" spans="2:19" ht="42.75" customHeight="1">
      <c r="B153" s="102"/>
      <c r="C153" s="105"/>
      <c r="D153" s="108"/>
      <c r="E153" s="108"/>
      <c r="F153" s="30" t="s">
        <v>35</v>
      </c>
      <c r="G153" s="31">
        <f>H153+M153+R153</f>
        <v>685845.39730000007</v>
      </c>
      <c r="H153" s="31">
        <f>H154+H155</f>
        <v>0</v>
      </c>
      <c r="I153" s="31">
        <f>I154+I155</f>
        <v>0</v>
      </c>
      <c r="J153" s="31">
        <f>J154+J155</f>
        <v>0</v>
      </c>
      <c r="K153" s="31">
        <f>K154+K155</f>
        <v>0</v>
      </c>
      <c r="L153" s="31">
        <f>L154+L155</f>
        <v>0</v>
      </c>
      <c r="M153" s="32">
        <f t="shared" si="7"/>
        <v>0</v>
      </c>
      <c r="N153" s="32">
        <f>N154+N155</f>
        <v>0</v>
      </c>
      <c r="O153" s="32">
        <f>O154+O155</f>
        <v>0</v>
      </c>
      <c r="P153" s="32">
        <f>P154+P155</f>
        <v>333500</v>
      </c>
      <c r="Q153" s="32">
        <f>Q154+Q155</f>
        <v>352345.39730000001</v>
      </c>
      <c r="R153" s="33">
        <f t="shared" si="8"/>
        <v>685845.39730000007</v>
      </c>
    </row>
    <row r="154" spans="2:19" ht="25.5" customHeight="1">
      <c r="B154" s="102"/>
      <c r="C154" s="105"/>
      <c r="D154" s="108"/>
      <c r="E154" s="108"/>
      <c r="F154" s="34" t="s">
        <v>36</v>
      </c>
      <c r="G154" s="31">
        <f>H154+M154+R154</f>
        <v>685845.39730000007</v>
      </c>
      <c r="H154" s="36"/>
      <c r="I154" s="36"/>
      <c r="J154" s="61"/>
      <c r="K154" s="61"/>
      <c r="L154" s="61"/>
      <c r="M154" s="32">
        <f t="shared" si="7"/>
        <v>0</v>
      </c>
      <c r="N154" s="61"/>
      <c r="O154" s="61"/>
      <c r="P154" s="61">
        <f>P147*0.23</f>
        <v>333500</v>
      </c>
      <c r="Q154" s="61">
        <f>Q147*0.23</f>
        <v>352345.39730000001</v>
      </c>
      <c r="R154" s="33">
        <f t="shared" si="8"/>
        <v>685845.39730000007</v>
      </c>
    </row>
    <row r="155" spans="2:19" ht="36" customHeight="1" thickBot="1">
      <c r="B155" s="103"/>
      <c r="C155" s="106"/>
      <c r="D155" s="109"/>
      <c r="E155" s="109"/>
      <c r="F155" s="37" t="s">
        <v>37</v>
      </c>
      <c r="G155" s="38">
        <f t="shared" si="6"/>
        <v>0</v>
      </c>
      <c r="H155" s="39"/>
      <c r="I155" s="39"/>
      <c r="J155" s="39"/>
      <c r="K155" s="39"/>
      <c r="L155" s="39"/>
      <c r="M155" s="40">
        <f t="shared" si="7"/>
        <v>0</v>
      </c>
      <c r="N155" s="39"/>
      <c r="O155" s="39"/>
      <c r="P155" s="39"/>
      <c r="Q155" s="39"/>
      <c r="R155" s="41">
        <f t="shared" si="8"/>
        <v>0</v>
      </c>
    </row>
    <row r="156" spans="2:19" ht="36" customHeight="1">
      <c r="B156" s="101">
        <v>6</v>
      </c>
      <c r="C156" s="104" t="s">
        <v>67</v>
      </c>
      <c r="D156" s="110" t="s">
        <v>26</v>
      </c>
      <c r="E156" s="110">
        <v>9</v>
      </c>
      <c r="F156" s="26" t="s">
        <v>27</v>
      </c>
      <c r="G156" s="27">
        <f>H156+M156+R156-0.003</f>
        <v>116849.997</v>
      </c>
      <c r="H156" s="28">
        <f>H157+H164</f>
        <v>0</v>
      </c>
      <c r="I156" s="28">
        <f>I157+I164</f>
        <v>0</v>
      </c>
      <c r="J156" s="28">
        <f>J157+J164</f>
        <v>0</v>
      </c>
      <c r="K156" s="28">
        <f>K157+K164</f>
        <v>0</v>
      </c>
      <c r="L156" s="28">
        <f>L157+L164</f>
        <v>0</v>
      </c>
      <c r="M156" s="28">
        <f t="shared" si="7"/>
        <v>0</v>
      </c>
      <c r="N156" s="28">
        <f>N157+N164</f>
        <v>0</v>
      </c>
      <c r="O156" s="28">
        <f>O157+O164</f>
        <v>0</v>
      </c>
      <c r="P156" s="28">
        <f>P157+P164</f>
        <v>116850</v>
      </c>
      <c r="Q156" s="28">
        <f>Q157+Q164</f>
        <v>0</v>
      </c>
      <c r="R156" s="29">
        <f t="shared" si="8"/>
        <v>116850</v>
      </c>
    </row>
    <row r="157" spans="2:19" ht="37.5" customHeight="1">
      <c r="B157" s="102"/>
      <c r="C157" s="105"/>
      <c r="D157" s="108"/>
      <c r="E157" s="108"/>
      <c r="F157" s="30" t="s">
        <v>28</v>
      </c>
      <c r="G157" s="31">
        <f t="shared" si="6"/>
        <v>95000</v>
      </c>
      <c r="H157" s="32">
        <f>H159+H160+H161+H162+H163+H158</f>
        <v>0</v>
      </c>
      <c r="I157" s="32">
        <f>I159+I160+I161+I162+I163+I158</f>
        <v>0</v>
      </c>
      <c r="J157" s="32">
        <f>J159+J160+J161+J162+J163+J158</f>
        <v>0</v>
      </c>
      <c r="K157" s="69">
        <f>K159+K160+K161+K162+K163+K158</f>
        <v>0</v>
      </c>
      <c r="L157" s="32">
        <f>L159+L160+L161+L162+L163+L158</f>
        <v>0</v>
      </c>
      <c r="M157" s="32">
        <f t="shared" si="7"/>
        <v>0</v>
      </c>
      <c r="N157" s="32">
        <f>N158+N159+N160+N161+N162+N163</f>
        <v>0</v>
      </c>
      <c r="O157" s="32">
        <f>O158+O159+O160+O161+O162+O163</f>
        <v>0</v>
      </c>
      <c r="P157" s="32">
        <f>P158+P159+P160+P161+P162+P163</f>
        <v>95000</v>
      </c>
      <c r="Q157" s="32">
        <f>Q158+Q159+Q160+Q161+Q162+Q163</f>
        <v>0</v>
      </c>
      <c r="R157" s="33">
        <f t="shared" si="8"/>
        <v>95000</v>
      </c>
    </row>
    <row r="158" spans="2:19" ht="39.75" customHeight="1">
      <c r="B158" s="102"/>
      <c r="C158" s="105"/>
      <c r="D158" s="108"/>
      <c r="E158" s="108"/>
      <c r="F158" s="34" t="s">
        <v>29</v>
      </c>
      <c r="G158" s="31">
        <f t="shared" si="6"/>
        <v>95000</v>
      </c>
      <c r="H158" s="35"/>
      <c r="I158" s="36"/>
      <c r="J158" s="61"/>
      <c r="K158" s="61"/>
      <c r="L158" s="36"/>
      <c r="M158" s="32">
        <f t="shared" si="7"/>
        <v>0</v>
      </c>
      <c r="N158" s="36"/>
      <c r="O158" s="36"/>
      <c r="P158" s="36">
        <v>95000</v>
      </c>
      <c r="Q158" s="36"/>
      <c r="R158" s="33">
        <f t="shared" si="8"/>
        <v>95000</v>
      </c>
    </row>
    <row r="159" spans="2:19">
      <c r="B159" s="102"/>
      <c r="C159" s="105"/>
      <c r="D159" s="108"/>
      <c r="E159" s="108"/>
      <c r="F159" s="34" t="s">
        <v>30</v>
      </c>
      <c r="G159" s="31">
        <f t="shared" si="6"/>
        <v>0</v>
      </c>
      <c r="H159" s="36"/>
      <c r="I159" s="36"/>
      <c r="J159" s="36"/>
      <c r="K159" s="36"/>
      <c r="L159" s="36"/>
      <c r="M159" s="32">
        <f t="shared" si="7"/>
        <v>0</v>
      </c>
      <c r="N159" s="36"/>
      <c r="O159" s="36"/>
      <c r="P159" s="36"/>
      <c r="Q159" s="36"/>
      <c r="R159" s="33">
        <f t="shared" si="8"/>
        <v>0</v>
      </c>
    </row>
    <row r="160" spans="2:19" ht="24.75" customHeight="1">
      <c r="B160" s="102"/>
      <c r="C160" s="105"/>
      <c r="D160" s="108"/>
      <c r="E160" s="108"/>
      <c r="F160" s="34" t="s">
        <v>31</v>
      </c>
      <c r="G160" s="31">
        <f t="shared" si="6"/>
        <v>0</v>
      </c>
      <c r="H160" s="36"/>
      <c r="I160" s="36"/>
      <c r="J160" s="36"/>
      <c r="K160" s="36"/>
      <c r="L160" s="36"/>
      <c r="M160" s="32">
        <f t="shared" si="7"/>
        <v>0</v>
      </c>
      <c r="N160" s="36"/>
      <c r="O160" s="36"/>
      <c r="P160" s="36"/>
      <c r="Q160" s="36"/>
      <c r="R160" s="33">
        <f t="shared" si="8"/>
        <v>0</v>
      </c>
    </row>
    <row r="161" spans="2:18" ht="22.5" customHeight="1">
      <c r="B161" s="102"/>
      <c r="C161" s="105"/>
      <c r="D161" s="108"/>
      <c r="E161" s="108"/>
      <c r="F161" s="34" t="s">
        <v>32</v>
      </c>
      <c r="G161" s="31">
        <f t="shared" si="6"/>
        <v>0</v>
      </c>
      <c r="H161" s="36"/>
      <c r="I161" s="36"/>
      <c r="J161" s="36"/>
      <c r="K161" s="36"/>
      <c r="L161" s="36"/>
      <c r="M161" s="32">
        <f t="shared" si="7"/>
        <v>0</v>
      </c>
      <c r="N161" s="36"/>
      <c r="O161" s="36"/>
      <c r="P161" s="36"/>
      <c r="Q161" s="36"/>
      <c r="R161" s="33">
        <f t="shared" si="8"/>
        <v>0</v>
      </c>
    </row>
    <row r="162" spans="2:18" ht="24.75" customHeight="1">
      <c r="B162" s="102"/>
      <c r="C162" s="105"/>
      <c r="D162" s="108"/>
      <c r="E162" s="108"/>
      <c r="F162" s="34" t="s">
        <v>33</v>
      </c>
      <c r="G162" s="31">
        <f t="shared" si="6"/>
        <v>0</v>
      </c>
      <c r="H162" s="36"/>
      <c r="I162" s="36"/>
      <c r="J162" s="36"/>
      <c r="K162" s="36"/>
      <c r="L162" s="36"/>
      <c r="M162" s="32">
        <f t="shared" si="7"/>
        <v>0</v>
      </c>
      <c r="N162" s="36"/>
      <c r="O162" s="36"/>
      <c r="P162" s="36"/>
      <c r="Q162" s="36"/>
      <c r="R162" s="33">
        <f t="shared" si="8"/>
        <v>0</v>
      </c>
    </row>
    <row r="163" spans="2:18" ht="20.25" customHeight="1">
      <c r="B163" s="102"/>
      <c r="C163" s="105"/>
      <c r="D163" s="108"/>
      <c r="E163" s="108"/>
      <c r="F163" s="34" t="s">
        <v>34</v>
      </c>
      <c r="G163" s="31">
        <f t="shared" si="6"/>
        <v>0</v>
      </c>
      <c r="H163" s="36"/>
      <c r="I163" s="36"/>
      <c r="J163" s="36"/>
      <c r="K163" s="36"/>
      <c r="L163" s="36"/>
      <c r="M163" s="32">
        <f t="shared" si="7"/>
        <v>0</v>
      </c>
      <c r="N163" s="36"/>
      <c r="O163" s="36"/>
      <c r="P163" s="36"/>
      <c r="Q163" s="36"/>
      <c r="R163" s="33">
        <f t="shared" si="8"/>
        <v>0</v>
      </c>
    </row>
    <row r="164" spans="2:18" ht="29.25" customHeight="1">
      <c r="B164" s="102"/>
      <c r="C164" s="105"/>
      <c r="D164" s="108"/>
      <c r="E164" s="108"/>
      <c r="F164" s="30" t="s">
        <v>35</v>
      </c>
      <c r="G164" s="31">
        <f>H164+M164+R164-0.003</f>
        <v>21849.996999999999</v>
      </c>
      <c r="H164" s="31">
        <f>H165+H166</f>
        <v>0</v>
      </c>
      <c r="I164" s="31">
        <f>I165+I166</f>
        <v>0</v>
      </c>
      <c r="J164" s="31">
        <f>J165+J166</f>
        <v>0</v>
      </c>
      <c r="K164" s="31">
        <f>K165+K166</f>
        <v>0</v>
      </c>
      <c r="L164" s="31">
        <f>L165+L166</f>
        <v>0</v>
      </c>
      <c r="M164" s="32">
        <f t="shared" si="7"/>
        <v>0</v>
      </c>
      <c r="N164" s="32">
        <f>N165+N166</f>
        <v>0</v>
      </c>
      <c r="O164" s="32">
        <f>O165+O166</f>
        <v>0</v>
      </c>
      <c r="P164" s="32">
        <f>P165+P166</f>
        <v>21850</v>
      </c>
      <c r="Q164" s="32">
        <f>Q165+Q166</f>
        <v>0</v>
      </c>
      <c r="R164" s="33">
        <f t="shared" si="8"/>
        <v>21850</v>
      </c>
    </row>
    <row r="165" spans="2:18" ht="18.75" customHeight="1">
      <c r="B165" s="102"/>
      <c r="C165" s="105"/>
      <c r="D165" s="108"/>
      <c r="E165" s="108"/>
      <c r="F165" s="34" t="s">
        <v>36</v>
      </c>
      <c r="G165" s="31">
        <f>H165+M165+R165-0.003</f>
        <v>21849.996999999999</v>
      </c>
      <c r="H165" s="36"/>
      <c r="I165" s="36"/>
      <c r="J165" s="61"/>
      <c r="K165" s="61"/>
      <c r="L165" s="36"/>
      <c r="M165" s="32">
        <f t="shared" si="7"/>
        <v>0</v>
      </c>
      <c r="N165" s="36"/>
      <c r="O165" s="36"/>
      <c r="P165" s="36">
        <v>21850</v>
      </c>
      <c r="Q165" s="36"/>
      <c r="R165" s="33">
        <f t="shared" si="8"/>
        <v>21850</v>
      </c>
    </row>
    <row r="166" spans="2:18" ht="30" customHeight="1" thickBot="1">
      <c r="B166" s="103"/>
      <c r="C166" s="106"/>
      <c r="D166" s="109"/>
      <c r="E166" s="109"/>
      <c r="F166" s="37" t="s">
        <v>37</v>
      </c>
      <c r="G166" s="38">
        <f t="shared" si="6"/>
        <v>0</v>
      </c>
      <c r="H166" s="39"/>
      <c r="I166" s="39"/>
      <c r="J166" s="39"/>
      <c r="K166" s="39"/>
      <c r="L166" s="39"/>
      <c r="M166" s="40">
        <f t="shared" si="7"/>
        <v>0</v>
      </c>
      <c r="N166" s="39"/>
      <c r="O166" s="39"/>
      <c r="P166" s="39"/>
      <c r="Q166" s="39"/>
      <c r="R166" s="41">
        <f t="shared" si="8"/>
        <v>0</v>
      </c>
    </row>
    <row r="167" spans="2:18">
      <c r="B167" s="126" t="s">
        <v>48</v>
      </c>
      <c r="C167" s="127"/>
      <c r="D167" s="127"/>
      <c r="E167" s="127"/>
      <c r="F167" s="42"/>
      <c r="G167" s="130">
        <f>G13+G24+G57+G68+G79+G90+G101+G112+G123+G145+G156+G134+G46+G35</f>
        <v>50676859.861699998</v>
      </c>
      <c r="H167" s="124">
        <f t="shared" ref="H167:Q167" si="9">H13+H24+H57+H68+H79+H90+H101+H112+H123+H145+H156+H134+H46+H35</f>
        <v>117342</v>
      </c>
      <c r="I167" s="124">
        <f t="shared" si="9"/>
        <v>0</v>
      </c>
      <c r="J167" s="124">
        <f t="shared" si="9"/>
        <v>0</v>
      </c>
      <c r="K167" s="124">
        <f t="shared" si="9"/>
        <v>26691</v>
      </c>
      <c r="L167" s="124">
        <f t="shared" si="9"/>
        <v>123000</v>
      </c>
      <c r="M167" s="124">
        <f t="shared" si="9"/>
        <v>149691</v>
      </c>
      <c r="N167" s="124">
        <f>N13+N24+N57+N68+N79+N90+N101+N112+N123+N145+N156+N134+N46+N35</f>
        <v>61500</v>
      </c>
      <c r="O167" s="124">
        <f>O13+O24+O57+O68+O79+O90+O101+O112+O123+O145+O156+O134+O46+O35</f>
        <v>18449.996999999999</v>
      </c>
      <c r="P167" s="124">
        <f t="shared" si="9"/>
        <v>34781312.7984</v>
      </c>
      <c r="Q167" s="124">
        <f t="shared" si="9"/>
        <v>15548564.067299996</v>
      </c>
      <c r="R167" s="124">
        <f>R13+R24+R57+R68+R79+R90+R101+R112+R123+R145+R156+R134+R46+R35-0.01</f>
        <v>50409826.852699995</v>
      </c>
    </row>
    <row r="168" spans="2:18" ht="16" thickBot="1">
      <c r="B168" s="128"/>
      <c r="C168" s="129"/>
      <c r="D168" s="129"/>
      <c r="E168" s="129"/>
      <c r="F168" s="43"/>
      <c r="G168" s="131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</row>
    <row r="169" spans="2:18">
      <c r="B169" s="155" t="s">
        <v>49</v>
      </c>
      <c r="C169" s="156"/>
      <c r="D169" s="156"/>
      <c r="E169" s="157"/>
      <c r="F169" s="44"/>
      <c r="G169" s="27">
        <f t="shared" ref="G169:Q169" si="10">G14+G25+G58+G69+G80+G91+G102+G113+G124+G146+G157+G135+G47+G36</f>
        <v>41200699.077</v>
      </c>
      <c r="H169" s="27">
        <f t="shared" si="10"/>
        <v>95400</v>
      </c>
      <c r="I169" s="27">
        <f t="shared" si="10"/>
        <v>0</v>
      </c>
      <c r="J169" s="27">
        <f t="shared" si="10"/>
        <v>0</v>
      </c>
      <c r="K169" s="27">
        <f t="shared" si="10"/>
        <v>21700</v>
      </c>
      <c r="L169" s="27">
        <f t="shared" si="10"/>
        <v>100000</v>
      </c>
      <c r="M169" s="65">
        <f t="shared" si="10"/>
        <v>121700</v>
      </c>
      <c r="N169" s="27">
        <f t="shared" si="10"/>
        <v>50000</v>
      </c>
      <c r="O169" s="27">
        <f t="shared" si="10"/>
        <v>14999.996999999999</v>
      </c>
      <c r="P169" s="27">
        <f t="shared" si="10"/>
        <v>28277490.079999998</v>
      </c>
      <c r="Q169" s="27">
        <f t="shared" si="10"/>
        <v>12641109</v>
      </c>
      <c r="R169" s="27">
        <f>R14+R25+R58+R69+R80+R91+R102+R113+R124+R146+R157+R135+R47+R36-0.01</f>
        <v>40983599.067000002</v>
      </c>
    </row>
    <row r="170" spans="2:18">
      <c r="B170" s="141" t="s">
        <v>50</v>
      </c>
      <c r="C170" s="142"/>
      <c r="D170" s="142"/>
      <c r="E170" s="143"/>
      <c r="F170" s="45"/>
      <c r="G170" s="31">
        <f>G15+G26+G59+G70+G81+G92+G103+G114+G125+G147+G158+G136+G48+G37</f>
        <v>41200699.079999998</v>
      </c>
      <c r="H170" s="31">
        <f>H15+H26+H59+H70+H81+H92+H103+H114+H125+H147+H158+H136+H48+H37</f>
        <v>95400</v>
      </c>
      <c r="I170" s="31">
        <f>I15+I26+I59+I70+I81+I92+I103+I114+I125+I147+I158</f>
        <v>0</v>
      </c>
      <c r="J170" s="31">
        <f>J15+J26+J59+J70+J81+J92+J103+J114+J125+J147+J158+J136+J48+J37</f>
        <v>0</v>
      </c>
      <c r="K170" s="31">
        <f>K15+K26+K59+K70+K81+K92+K103+K114+K125+K147+K158+K48+K37+K136</f>
        <v>21700</v>
      </c>
      <c r="L170" s="31">
        <f>L15+L26+L59+L70+L81+L92+L103+L114+L125+L147+L158+L48+L37+L136</f>
        <v>100000</v>
      </c>
      <c r="M170" s="66">
        <f>M15+M26+M59+M70+M81+M92+M103+M114+M125+M147+M158+M136+M48+M37</f>
        <v>121700</v>
      </c>
      <c r="N170" s="31">
        <f>N15+N26+N59+N70+N81+N92+N103+N114+N125+N147+N158+N136+N48+N37</f>
        <v>50000</v>
      </c>
      <c r="O170" s="31">
        <f>O15+O26+O59+O70+O81+O92+O103+O114+O125+O147+O158+O136+O48+O37</f>
        <v>15000</v>
      </c>
      <c r="P170" s="31">
        <f>P15+P26+P59+P70+P81+P92+P103+P114+P125+P147+P158</f>
        <v>22745198.079999998</v>
      </c>
      <c r="Q170" s="31">
        <f>Q15+Q26+Q59+Q70+Q81+Q92+Q103+Q114+Q125+Q147+Q158</f>
        <v>11236011</v>
      </c>
      <c r="R170" s="31">
        <f>R15+R26+R59+R70+R81+R92+R103+R114+R125+R147+R158+R136+R48+R37-0.01</f>
        <v>40983599.07</v>
      </c>
    </row>
    <row r="171" spans="2:18">
      <c r="B171" s="141" t="s">
        <v>51</v>
      </c>
      <c r="C171" s="142"/>
      <c r="D171" s="142"/>
      <c r="E171" s="143"/>
      <c r="F171" s="45"/>
      <c r="G171" s="31">
        <f>G16+G27+G60+G71+G82+G93+G104+G115+G126+G148+G159</f>
        <v>0</v>
      </c>
      <c r="H171" s="31">
        <f>H16+H27+H60+H71+H82+H93+H104+H115+H126+H148+H159</f>
        <v>0</v>
      </c>
      <c r="I171" s="31">
        <f>I16+I27+I60+I71+I82+I93+I104+I115+I126+I148+I159</f>
        <v>0</v>
      </c>
      <c r="J171" s="31">
        <f t="shared" ref="J171:O171" si="11">J16+J27+J60+J71+J82+J93+J104+J115+J126+J148+J159</f>
        <v>0</v>
      </c>
      <c r="K171" s="31">
        <f t="shared" si="11"/>
        <v>0</v>
      </c>
      <c r="L171" s="31">
        <f t="shared" si="11"/>
        <v>0</v>
      </c>
      <c r="M171" s="66">
        <f t="shared" si="11"/>
        <v>0</v>
      </c>
      <c r="N171" s="31">
        <f t="shared" si="11"/>
        <v>0</v>
      </c>
      <c r="O171" s="31">
        <f t="shared" si="11"/>
        <v>0</v>
      </c>
      <c r="P171" s="31">
        <f>P16+P27+P60+P71+P82+P93+P104+P115+P126+P148+P159</f>
        <v>0</v>
      </c>
      <c r="Q171" s="31">
        <f>Q16+Q27+Q60+Q71+Q82+Q93+Q104+Q115+Q126+Q148+Q159</f>
        <v>0</v>
      </c>
      <c r="R171" s="31">
        <f>R16+R27+R60+R71+R82+R93+R104+R115+R126+R148+R159</f>
        <v>0</v>
      </c>
    </row>
    <row r="172" spans="2:18">
      <c r="B172" s="141" t="s">
        <v>52</v>
      </c>
      <c r="C172" s="142"/>
      <c r="D172" s="142"/>
      <c r="E172" s="143"/>
      <c r="F172" s="45"/>
      <c r="G172" s="31">
        <f t="shared" ref="G172:R172" si="12">G17+G28+G61+G72+G83+G94+G105+G116+G127+G149+G160+G138+G50+G39</f>
        <v>0</v>
      </c>
      <c r="H172" s="31">
        <f t="shared" si="12"/>
        <v>0</v>
      </c>
      <c r="I172" s="31">
        <f t="shared" si="12"/>
        <v>0</v>
      </c>
      <c r="J172" s="31">
        <f t="shared" si="12"/>
        <v>0</v>
      </c>
      <c r="K172" s="31">
        <f t="shared" si="12"/>
        <v>0</v>
      </c>
      <c r="L172" s="31">
        <f t="shared" si="12"/>
        <v>0</v>
      </c>
      <c r="M172" s="66">
        <f t="shared" si="12"/>
        <v>0</v>
      </c>
      <c r="N172" s="31">
        <f t="shared" si="12"/>
        <v>0</v>
      </c>
      <c r="O172" s="31">
        <f t="shared" si="12"/>
        <v>0</v>
      </c>
      <c r="P172" s="31">
        <f t="shared" si="12"/>
        <v>0</v>
      </c>
      <c r="Q172" s="31">
        <f t="shared" si="12"/>
        <v>0</v>
      </c>
      <c r="R172" s="31">
        <f t="shared" si="12"/>
        <v>0</v>
      </c>
    </row>
    <row r="173" spans="2:18">
      <c r="B173" s="141" t="s">
        <v>53</v>
      </c>
      <c r="C173" s="142"/>
      <c r="D173" s="142"/>
      <c r="E173" s="143"/>
      <c r="F173" s="45"/>
      <c r="G173" s="31">
        <f t="shared" ref="G173:R175" si="13">G18+G29+G62+G73+G84+G95+G106+G117+G128+G150+G161</f>
        <v>0</v>
      </c>
      <c r="H173" s="31">
        <f t="shared" si="13"/>
        <v>0</v>
      </c>
      <c r="I173" s="31">
        <f t="shared" si="13"/>
        <v>0</v>
      </c>
      <c r="J173" s="31">
        <f t="shared" si="13"/>
        <v>0</v>
      </c>
      <c r="K173" s="31">
        <f t="shared" si="13"/>
        <v>0</v>
      </c>
      <c r="L173" s="31">
        <f t="shared" si="13"/>
        <v>0</v>
      </c>
      <c r="M173" s="66">
        <f t="shared" si="13"/>
        <v>0</v>
      </c>
      <c r="N173" s="31">
        <f t="shared" si="13"/>
        <v>0</v>
      </c>
      <c r="O173" s="31">
        <f t="shared" si="13"/>
        <v>0</v>
      </c>
      <c r="P173" s="31">
        <f t="shared" si="13"/>
        <v>0</v>
      </c>
      <c r="Q173" s="31">
        <f t="shared" si="13"/>
        <v>0</v>
      </c>
      <c r="R173" s="31">
        <f t="shared" si="13"/>
        <v>0</v>
      </c>
    </row>
    <row r="174" spans="2:18">
      <c r="B174" s="141" t="s">
        <v>54</v>
      </c>
      <c r="C174" s="142"/>
      <c r="D174" s="142"/>
      <c r="E174" s="143"/>
      <c r="F174" s="45"/>
      <c r="G174" s="31">
        <f t="shared" si="13"/>
        <v>0</v>
      </c>
      <c r="H174" s="31">
        <f t="shared" si="13"/>
        <v>0</v>
      </c>
      <c r="I174" s="31">
        <f t="shared" si="13"/>
        <v>0</v>
      </c>
      <c r="J174" s="31">
        <f t="shared" si="13"/>
        <v>0</v>
      </c>
      <c r="K174" s="31">
        <f t="shared" si="13"/>
        <v>0</v>
      </c>
      <c r="L174" s="31">
        <f t="shared" si="13"/>
        <v>0</v>
      </c>
      <c r="M174" s="66">
        <f t="shared" si="13"/>
        <v>0</v>
      </c>
      <c r="N174" s="31">
        <f t="shared" si="13"/>
        <v>0</v>
      </c>
      <c r="O174" s="31">
        <f t="shared" si="13"/>
        <v>0</v>
      </c>
      <c r="P174" s="31">
        <f t="shared" si="13"/>
        <v>0</v>
      </c>
      <c r="Q174" s="31">
        <f t="shared" si="13"/>
        <v>0</v>
      </c>
      <c r="R174" s="31">
        <f t="shared" si="13"/>
        <v>0</v>
      </c>
    </row>
    <row r="175" spans="2:18">
      <c r="B175" s="141" t="s">
        <v>55</v>
      </c>
      <c r="C175" s="142"/>
      <c r="D175" s="142"/>
      <c r="E175" s="143"/>
      <c r="F175" s="45"/>
      <c r="G175" s="31">
        <f t="shared" si="13"/>
        <v>0</v>
      </c>
      <c r="H175" s="31">
        <f t="shared" si="13"/>
        <v>0</v>
      </c>
      <c r="I175" s="31">
        <f t="shared" si="13"/>
        <v>0</v>
      </c>
      <c r="J175" s="31">
        <f t="shared" si="13"/>
        <v>0</v>
      </c>
      <c r="K175" s="31">
        <f t="shared" si="13"/>
        <v>0</v>
      </c>
      <c r="L175" s="31">
        <f t="shared" si="13"/>
        <v>0</v>
      </c>
      <c r="M175" s="66">
        <f t="shared" si="13"/>
        <v>0</v>
      </c>
      <c r="N175" s="31">
        <f t="shared" si="13"/>
        <v>0</v>
      </c>
      <c r="O175" s="31">
        <f t="shared" si="13"/>
        <v>0</v>
      </c>
      <c r="P175" s="31">
        <f t="shared" si="13"/>
        <v>0</v>
      </c>
      <c r="Q175" s="31">
        <f t="shared" si="13"/>
        <v>0</v>
      </c>
      <c r="R175" s="31">
        <f t="shared" si="13"/>
        <v>0</v>
      </c>
    </row>
    <row r="176" spans="2:18">
      <c r="B176" s="144" t="s">
        <v>56</v>
      </c>
      <c r="C176" s="145"/>
      <c r="D176" s="145"/>
      <c r="E176" s="146"/>
      <c r="F176" s="46"/>
      <c r="G176" s="31">
        <f>G21+G32+G65+G76+G87+G98+G109+G120+G131+G153+G164+G142+G54+G43-0.01</f>
        <v>9476160.7727000024</v>
      </c>
      <c r="H176" s="31">
        <f t="shared" ref="H176:Q177" si="14">H21+H32+H65+H76+H87+H98+H109+H120+H131+H153+H164+H142+H54+H43</f>
        <v>21942</v>
      </c>
      <c r="I176" s="31">
        <f t="shared" si="14"/>
        <v>0</v>
      </c>
      <c r="J176" s="31">
        <f t="shared" si="14"/>
        <v>0</v>
      </c>
      <c r="K176" s="31">
        <f t="shared" si="14"/>
        <v>4991</v>
      </c>
      <c r="L176" s="31">
        <f t="shared" si="14"/>
        <v>23000</v>
      </c>
      <c r="M176" s="66">
        <f>M21+M32+M65+M76+M87+M98+M109+M120+M131+M153+M164+M142+M54+M43</f>
        <v>27991</v>
      </c>
      <c r="N176" s="31">
        <f t="shared" si="14"/>
        <v>11500</v>
      </c>
      <c r="O176" s="31">
        <f t="shared" si="14"/>
        <v>3450</v>
      </c>
      <c r="P176" s="31">
        <f t="shared" si="14"/>
        <v>6503822.7184000006</v>
      </c>
      <c r="Q176" s="31">
        <f t="shared" si="14"/>
        <v>2907455.0673000002</v>
      </c>
      <c r="R176" s="31">
        <f>R21+R32+R65+R76+R87+R98+R109+R120+R131+R153+R164+R142+R54+R43-0.01</f>
        <v>9426227.7757000029</v>
      </c>
    </row>
    <row r="177" spans="2:18">
      <c r="B177" s="147" t="s">
        <v>57</v>
      </c>
      <c r="C177" s="148"/>
      <c r="D177" s="148"/>
      <c r="E177" s="149"/>
      <c r="F177" s="47"/>
      <c r="G177" s="31">
        <f>G22+G33+G66+G77+G88+G99+G110+G121+G132+G154+G165+G143+G55+G44-0.01</f>
        <v>9476160.7727000024</v>
      </c>
      <c r="H177" s="31">
        <f t="shared" si="14"/>
        <v>21942</v>
      </c>
      <c r="I177" s="31">
        <f t="shared" si="14"/>
        <v>0</v>
      </c>
      <c r="J177" s="31">
        <f>J22+J33+J66+J77+J88+J99+J110+J121+J132+J154+J165+J143+J55+J44</f>
        <v>0</v>
      </c>
      <c r="K177" s="31">
        <f>K22+K33+K66+K77+K88+K99+K110+K121+K132+K154+K165+K143+K55+K44</f>
        <v>4991</v>
      </c>
      <c r="L177" s="31">
        <f t="shared" si="14"/>
        <v>23000</v>
      </c>
      <c r="M177" s="66">
        <f>M22+M33+M66+M77+M88+M99+M110+M121+M132+M154+M165+M143+M55+M44</f>
        <v>27991</v>
      </c>
      <c r="N177" s="31">
        <f t="shared" si="14"/>
        <v>11500</v>
      </c>
      <c r="O177" s="31">
        <f t="shared" si="14"/>
        <v>3450</v>
      </c>
      <c r="P177" s="31">
        <f t="shared" si="14"/>
        <v>6503822.7184000006</v>
      </c>
      <c r="Q177" s="31">
        <f t="shared" si="14"/>
        <v>2907455.0673000002</v>
      </c>
      <c r="R177" s="31">
        <f>R22+R33+R66+R77+R88+R99+R110+R121+R132+R154+R165+R143+R55+R44-0.01</f>
        <v>9426227.7757000029</v>
      </c>
    </row>
    <row r="178" spans="2:18" ht="16" thickBot="1">
      <c r="B178" s="150" t="s">
        <v>58</v>
      </c>
      <c r="C178" s="151"/>
      <c r="D178" s="151"/>
      <c r="E178" s="151"/>
      <c r="F178" s="151"/>
      <c r="G178" s="38">
        <f t="shared" ref="G178:R178" si="15">G23+G34+G67+G78+G89+G100+G111+G122+G133+G155+G166</f>
        <v>0</v>
      </c>
      <c r="H178" s="38">
        <f t="shared" si="15"/>
        <v>0</v>
      </c>
      <c r="I178" s="38">
        <f t="shared" si="15"/>
        <v>0</v>
      </c>
      <c r="J178" s="38">
        <f t="shared" si="15"/>
        <v>0</v>
      </c>
      <c r="K178" s="38">
        <f t="shared" si="15"/>
        <v>0</v>
      </c>
      <c r="L178" s="38">
        <f t="shared" si="15"/>
        <v>0</v>
      </c>
      <c r="M178" s="67">
        <f t="shared" si="15"/>
        <v>0</v>
      </c>
      <c r="N178" s="38">
        <f t="shared" si="15"/>
        <v>0</v>
      </c>
      <c r="O178" s="38">
        <f t="shared" si="15"/>
        <v>0</v>
      </c>
      <c r="P178" s="38">
        <f t="shared" si="15"/>
        <v>0</v>
      </c>
      <c r="Q178" s="38">
        <f t="shared" si="15"/>
        <v>0</v>
      </c>
      <c r="R178" s="38">
        <f t="shared" si="15"/>
        <v>0</v>
      </c>
    </row>
    <row r="179" spans="2:18">
      <c r="B179" s="48"/>
      <c r="C179" s="4" t="s">
        <v>59</v>
      </c>
      <c r="D179" s="49"/>
      <c r="E179" s="49"/>
      <c r="F179" s="50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</row>
    <row r="180" spans="2:18">
      <c r="B180" s="48"/>
      <c r="C180" s="152" t="s">
        <v>60</v>
      </c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4"/>
    </row>
    <row r="181" spans="2:18">
      <c r="B181" s="48"/>
      <c r="C181" s="138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40"/>
    </row>
    <row r="182" spans="2:18" ht="43.5" customHeight="1">
      <c r="B182" s="2"/>
      <c r="C182" s="71" t="s">
        <v>78</v>
      </c>
      <c r="D182" s="52" t="s">
        <v>61</v>
      </c>
      <c r="E182" s="53"/>
      <c r="F182" s="52"/>
      <c r="G182" s="54"/>
      <c r="H182" s="55"/>
      <c r="I182" s="55"/>
      <c r="J182" s="55"/>
      <c r="K182" s="56"/>
      <c r="L182" s="56"/>
      <c r="M182" s="56"/>
      <c r="N182" s="55"/>
      <c r="O182" s="55"/>
      <c r="P182" s="56"/>
      <c r="Q182" s="56"/>
      <c r="R182" s="56"/>
    </row>
    <row r="183" spans="2:18" ht="18" customHeight="1">
      <c r="B183" s="2"/>
      <c r="C183" s="57" t="s">
        <v>62</v>
      </c>
      <c r="D183" s="5" t="s">
        <v>63</v>
      </c>
      <c r="E183" s="5"/>
      <c r="F183" s="5"/>
      <c r="G183" s="55"/>
      <c r="H183" s="55"/>
      <c r="I183" s="55"/>
      <c r="J183" s="55"/>
      <c r="K183" s="56"/>
      <c r="L183" s="56"/>
      <c r="M183" s="56"/>
      <c r="N183" s="55"/>
      <c r="O183" s="55"/>
      <c r="P183" s="56"/>
      <c r="Q183" s="56"/>
      <c r="R183" s="56"/>
    </row>
    <row r="184" spans="2:18">
      <c r="B184" s="2"/>
      <c r="C184" s="2"/>
      <c r="D184" s="2"/>
      <c r="E184" s="49"/>
      <c r="F184" s="2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</row>
    <row r="185" spans="2:18">
      <c r="B185" s="2"/>
      <c r="C185" s="2"/>
      <c r="D185" s="49"/>
      <c r="E185" s="49"/>
      <c r="F185" s="2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</row>
    <row r="186" spans="2:18">
      <c r="B186" s="2"/>
      <c r="C186" s="1"/>
      <c r="D186" s="49"/>
      <c r="E186" s="49"/>
      <c r="F186" s="2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</row>
    <row r="187" spans="2:18">
      <c r="B187" s="2"/>
      <c r="C187" s="2"/>
      <c r="D187" s="49"/>
      <c r="E187" s="49"/>
      <c r="F187" s="2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</row>
    <row r="188" spans="2:18">
      <c r="B188" s="2"/>
      <c r="C188" s="2"/>
      <c r="D188" s="49"/>
      <c r="E188" s="49"/>
      <c r="F188" s="2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</row>
    <row r="189" spans="2:18">
      <c r="B189" s="2"/>
      <c r="C189" s="2"/>
      <c r="D189" s="49"/>
      <c r="E189" s="49"/>
      <c r="F189" s="2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</row>
    <row r="190" spans="2:18">
      <c r="B190" s="2"/>
      <c r="C190" s="2"/>
      <c r="D190" s="49"/>
      <c r="E190" s="49"/>
      <c r="F190" s="2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</row>
    <row r="191" spans="2:18">
      <c r="B191" s="2"/>
      <c r="C191" s="2"/>
      <c r="D191" s="49"/>
      <c r="E191" s="49"/>
      <c r="F191" s="2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</row>
    <row r="192" spans="2:18">
      <c r="B192" s="2"/>
      <c r="C192" s="2"/>
      <c r="D192" s="49"/>
      <c r="E192" s="49"/>
      <c r="F192" s="2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</row>
    <row r="193" spans="2:18">
      <c r="B193" s="2"/>
      <c r="C193" s="2"/>
      <c r="D193" s="49"/>
      <c r="E193" s="49"/>
      <c r="F193" s="2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</row>
    <row r="194" spans="2:18">
      <c r="B194" s="2"/>
      <c r="C194" s="2"/>
      <c r="D194" s="49"/>
      <c r="E194" s="49"/>
      <c r="F194" s="2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</row>
    <row r="195" spans="2:18">
      <c r="B195" s="2"/>
      <c r="C195" s="2"/>
      <c r="D195" s="49"/>
      <c r="E195" s="49"/>
      <c r="F195" s="2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</row>
    <row r="196" spans="2:18">
      <c r="B196" s="2"/>
      <c r="C196" s="2"/>
      <c r="D196" s="49"/>
      <c r="E196" s="49"/>
      <c r="F196" s="58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</row>
    <row r="197" spans="2:18">
      <c r="B197" s="2"/>
      <c r="C197" s="2"/>
      <c r="D197" s="49"/>
      <c r="E197" s="49"/>
      <c r="F197" s="2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</row>
    <row r="198" spans="2:18">
      <c r="B198" s="2"/>
      <c r="C198" s="2"/>
      <c r="D198" s="49"/>
      <c r="E198" s="49"/>
      <c r="F198" s="2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</row>
  </sheetData>
  <mergeCells count="104">
    <mergeCell ref="C181:R181"/>
    <mergeCell ref="B174:E174"/>
    <mergeCell ref="B175:E175"/>
    <mergeCell ref="B176:E176"/>
    <mergeCell ref="B177:E177"/>
    <mergeCell ref="B178:F178"/>
    <mergeCell ref="C180:R180"/>
    <mergeCell ref="R167:R168"/>
    <mergeCell ref="B169:E169"/>
    <mergeCell ref="B170:E170"/>
    <mergeCell ref="B171:E171"/>
    <mergeCell ref="B172:E172"/>
    <mergeCell ref="B173:E173"/>
    <mergeCell ref="L167:L168"/>
    <mergeCell ref="M167:M168"/>
    <mergeCell ref="N167:N168"/>
    <mergeCell ref="O167:O168"/>
    <mergeCell ref="P167:P168"/>
    <mergeCell ref="Q167:Q168"/>
    <mergeCell ref="B167:E168"/>
    <mergeCell ref="G167:G168"/>
    <mergeCell ref="H167:H168"/>
    <mergeCell ref="I167:I168"/>
    <mergeCell ref="J167:J168"/>
    <mergeCell ref="K167:K168"/>
    <mergeCell ref="B145:B155"/>
    <mergeCell ref="C145:C155"/>
    <mergeCell ref="D145:D155"/>
    <mergeCell ref="E145:E155"/>
    <mergeCell ref="B156:B166"/>
    <mergeCell ref="C156:C166"/>
    <mergeCell ref="D156:D166"/>
    <mergeCell ref="E156:E166"/>
    <mergeCell ref="B123:B133"/>
    <mergeCell ref="C123:C133"/>
    <mergeCell ref="D123:D133"/>
    <mergeCell ref="E123:E133"/>
    <mergeCell ref="B134:B144"/>
    <mergeCell ref="C134:C144"/>
    <mergeCell ref="D134:D144"/>
    <mergeCell ref="E134:E144"/>
    <mergeCell ref="B101:B111"/>
    <mergeCell ref="C101:C111"/>
    <mergeCell ref="D101:D111"/>
    <mergeCell ref="E101:E111"/>
    <mergeCell ref="B112:B122"/>
    <mergeCell ref="C112:C122"/>
    <mergeCell ref="D112:D122"/>
    <mergeCell ref="E112:E122"/>
    <mergeCell ref="B79:B89"/>
    <mergeCell ref="C79:C89"/>
    <mergeCell ref="D79:D89"/>
    <mergeCell ref="E79:E89"/>
    <mergeCell ref="B90:B100"/>
    <mergeCell ref="C90:C100"/>
    <mergeCell ref="D90:D100"/>
    <mergeCell ref="E90:E100"/>
    <mergeCell ref="B57:B67"/>
    <mergeCell ref="C57:C67"/>
    <mergeCell ref="D57:D67"/>
    <mergeCell ref="E57:E67"/>
    <mergeCell ref="B68:B78"/>
    <mergeCell ref="C68:C78"/>
    <mergeCell ref="D68:D78"/>
    <mergeCell ref="E68:E78"/>
    <mergeCell ref="B35:B45"/>
    <mergeCell ref="C35:C45"/>
    <mergeCell ref="D35:D45"/>
    <mergeCell ref="E35:E45"/>
    <mergeCell ref="B46:B56"/>
    <mergeCell ref="C46:C56"/>
    <mergeCell ref="D46:D56"/>
    <mergeCell ref="E46:E56"/>
    <mergeCell ref="B13:B23"/>
    <mergeCell ref="C13:C23"/>
    <mergeCell ref="D13:D23"/>
    <mergeCell ref="E13:E23"/>
    <mergeCell ref="B24:B34"/>
    <mergeCell ref="C24:C34"/>
    <mergeCell ref="D24:D34"/>
    <mergeCell ref="E24:E34"/>
    <mergeCell ref="B2:C2"/>
    <mergeCell ref="D2:K3"/>
    <mergeCell ref="B4:C4"/>
    <mergeCell ref="D4:K4"/>
    <mergeCell ref="B5:C5"/>
    <mergeCell ref="D5:K5"/>
    <mergeCell ref="I8:R9"/>
    <mergeCell ref="G10:G11"/>
    <mergeCell ref="H10:H11"/>
    <mergeCell ref="I10:L10"/>
    <mergeCell ref="M10:M11"/>
    <mergeCell ref="N10:Q10"/>
    <mergeCell ref="R10:R11"/>
    <mergeCell ref="B6:C6"/>
    <mergeCell ref="D6:K6"/>
    <mergeCell ref="B7:D7"/>
    <mergeCell ref="B8:B11"/>
    <mergeCell ref="C8:C11"/>
    <mergeCell ref="D8:D11"/>
    <mergeCell ref="E8:E11"/>
    <mergeCell ref="F8:F11"/>
    <mergeCell ref="G8:G9"/>
    <mergeCell ref="H8:H9"/>
  </mergeCells>
  <pageMargins left="0.70866141732283472" right="0.70866141732283472" top="0.74803149606299213" bottom="0.74803149606299213" header="0.31496062992125984" footer="0.31496062992125984"/>
  <pageSetup paperSize="8" scale="5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6038-D093-416B-A0E6-10ED507F6C85}">
  <dimension ref="B3:W199"/>
  <sheetViews>
    <sheetView tabSelected="1" topLeftCell="D13" workbookViewId="0">
      <selection activeCell="I15" sqref="I15"/>
    </sheetView>
  </sheetViews>
  <sheetFormatPr baseColWidth="10" defaultColWidth="8.83203125" defaultRowHeight="15"/>
  <cols>
    <col min="3" max="3" width="59.5" customWidth="1"/>
    <col min="6" max="6" width="21.5" customWidth="1"/>
    <col min="7" max="7" width="16.5" customWidth="1"/>
    <col min="8" max="8" width="14.33203125" customWidth="1"/>
    <col min="9" max="9" width="11.33203125" customWidth="1"/>
    <col min="10" max="10" width="10.33203125" customWidth="1"/>
    <col min="11" max="11" width="11.5" customWidth="1"/>
    <col min="12" max="13" width="12.1640625" customWidth="1"/>
    <col min="14" max="14" width="11" customWidth="1"/>
    <col min="15" max="15" width="12.5" customWidth="1"/>
    <col min="16" max="17" width="14.5" customWidth="1"/>
    <col min="18" max="18" width="14.6640625" customWidth="1"/>
    <col min="19" max="19" width="14.1640625" customWidth="1"/>
    <col min="20" max="20" width="14.5" customWidth="1"/>
    <col min="21" max="21" width="14.33203125" customWidth="1"/>
    <col min="22" max="22" width="14.5" customWidth="1"/>
    <col min="23" max="23" width="15.5" customWidth="1"/>
  </cols>
  <sheetData>
    <row r="3" spans="2:23">
      <c r="B3" s="74" t="s">
        <v>0</v>
      </c>
      <c r="C3" s="74"/>
      <c r="D3" s="75" t="s">
        <v>1</v>
      </c>
      <c r="E3" s="75"/>
      <c r="F3" s="75"/>
      <c r="G3" s="75"/>
      <c r="H3" s="75"/>
      <c r="I3" s="75"/>
      <c r="J3" s="75"/>
      <c r="K3" s="75"/>
      <c r="L3" s="9"/>
      <c r="M3" s="9"/>
      <c r="N3" s="9"/>
      <c r="O3" s="9"/>
      <c r="P3" s="9"/>
      <c r="Q3" s="9"/>
      <c r="R3" s="10" t="s">
        <v>2</v>
      </c>
    </row>
    <row r="4" spans="2:23">
      <c r="B4" s="8"/>
      <c r="C4" s="11"/>
      <c r="D4" s="75"/>
      <c r="E4" s="75"/>
      <c r="F4" s="75"/>
      <c r="G4" s="75"/>
      <c r="H4" s="75"/>
      <c r="I4" s="75"/>
      <c r="J4" s="75"/>
      <c r="K4" s="75"/>
      <c r="L4" s="9"/>
      <c r="M4" s="9"/>
      <c r="N4" s="9"/>
      <c r="O4" s="9"/>
      <c r="P4" s="9"/>
      <c r="Q4" s="9"/>
      <c r="R4" s="9"/>
    </row>
    <row r="5" spans="2:23">
      <c r="B5" s="76" t="s">
        <v>3</v>
      </c>
      <c r="C5" s="76"/>
      <c r="D5" s="75" t="s">
        <v>4</v>
      </c>
      <c r="E5" s="75"/>
      <c r="F5" s="75"/>
      <c r="G5" s="75"/>
      <c r="H5" s="75"/>
      <c r="I5" s="75"/>
      <c r="J5" s="75"/>
      <c r="K5" s="75"/>
      <c r="L5" s="9"/>
      <c r="M5" s="9"/>
      <c r="N5" s="9"/>
      <c r="O5" s="9"/>
      <c r="P5" s="9"/>
      <c r="Q5" s="9"/>
      <c r="R5" s="9"/>
    </row>
    <row r="6" spans="2:23">
      <c r="B6" s="77" t="s">
        <v>5</v>
      </c>
      <c r="C6" s="77"/>
      <c r="D6" s="75" t="s">
        <v>6</v>
      </c>
      <c r="E6" s="75"/>
      <c r="F6" s="75"/>
      <c r="G6" s="75"/>
      <c r="H6" s="75"/>
      <c r="I6" s="75"/>
      <c r="J6" s="75"/>
      <c r="K6" s="75"/>
      <c r="L6" s="9"/>
      <c r="M6" s="9"/>
      <c r="N6" s="9"/>
      <c r="O6" s="9"/>
      <c r="P6" s="9"/>
      <c r="Q6" s="9"/>
      <c r="R6" s="9"/>
    </row>
    <row r="7" spans="2:23">
      <c r="B7" s="76" t="s">
        <v>7</v>
      </c>
      <c r="C7" s="76"/>
      <c r="D7" s="85" t="s">
        <v>6</v>
      </c>
      <c r="E7" s="85"/>
      <c r="F7" s="85"/>
      <c r="G7" s="85"/>
      <c r="H7" s="85"/>
      <c r="I7" s="85"/>
      <c r="J7" s="85"/>
      <c r="K7" s="85"/>
      <c r="L7" s="12"/>
      <c r="M7" s="13" t="s">
        <v>8</v>
      </c>
      <c r="N7" s="12"/>
      <c r="O7" s="12"/>
      <c r="P7" s="12"/>
      <c r="Q7" s="12"/>
      <c r="R7" s="12"/>
    </row>
    <row r="8" spans="2:23" ht="16" thickBot="1">
      <c r="B8" s="86"/>
      <c r="C8" s="86"/>
      <c r="D8" s="86"/>
      <c r="E8" s="15"/>
      <c r="F8" s="14"/>
      <c r="G8" s="16"/>
      <c r="H8" s="16"/>
      <c r="I8" s="17"/>
      <c r="J8" s="17"/>
      <c r="K8" s="17"/>
      <c r="L8" s="17"/>
      <c r="M8" s="18"/>
      <c r="N8" s="19"/>
      <c r="O8" s="12"/>
      <c r="P8" s="12"/>
      <c r="Q8" s="12"/>
      <c r="R8" s="20" t="s">
        <v>9</v>
      </c>
    </row>
    <row r="9" spans="2:23">
      <c r="B9" s="87" t="s">
        <v>10</v>
      </c>
      <c r="C9" s="90" t="s">
        <v>11</v>
      </c>
      <c r="D9" s="93" t="s">
        <v>12</v>
      </c>
      <c r="E9" s="93" t="s">
        <v>13</v>
      </c>
      <c r="F9" s="93" t="s">
        <v>14</v>
      </c>
      <c r="G9" s="97" t="s">
        <v>15</v>
      </c>
      <c r="H9" s="99" t="s">
        <v>16</v>
      </c>
      <c r="I9" s="132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4"/>
    </row>
    <row r="10" spans="2:23" ht="16" thickBot="1">
      <c r="B10" s="88"/>
      <c r="C10" s="91"/>
      <c r="D10" s="94"/>
      <c r="E10" s="94"/>
      <c r="F10" s="95"/>
      <c r="G10" s="98"/>
      <c r="H10" s="100"/>
      <c r="I10" s="135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7"/>
    </row>
    <row r="11" spans="2:23">
      <c r="B11" s="88"/>
      <c r="C11" s="91"/>
      <c r="D11" s="95"/>
      <c r="E11" s="95"/>
      <c r="F11" s="95"/>
      <c r="G11" s="78" t="s">
        <v>17</v>
      </c>
      <c r="H11" s="78" t="s">
        <v>17</v>
      </c>
      <c r="I11" s="80" t="s">
        <v>18</v>
      </c>
      <c r="J11" s="81"/>
      <c r="K11" s="81"/>
      <c r="L11" s="81"/>
      <c r="M11" s="80" t="s">
        <v>19</v>
      </c>
      <c r="N11" s="80" t="s">
        <v>20</v>
      </c>
      <c r="O11" s="81"/>
      <c r="P11" s="81"/>
      <c r="Q11" s="81"/>
      <c r="R11" s="83" t="s">
        <v>21</v>
      </c>
      <c r="S11" s="80" t="s">
        <v>80</v>
      </c>
      <c r="T11" s="81"/>
      <c r="U11" s="81"/>
      <c r="V11" s="81"/>
      <c r="W11" s="169" t="inlineStr">
        <is>
          <t xml:space="preserve">Razem rok
2027</t>
        </is>
      </c>
    </row>
    <row r="12" spans="2:23" ht="16">
      <c r="B12" s="89"/>
      <c r="C12" s="92"/>
      <c r="D12" s="96"/>
      <c r="E12" s="96"/>
      <c r="F12" s="96"/>
      <c r="G12" s="79"/>
      <c r="H12" s="79"/>
      <c r="I12" s="21" t="s">
        <v>22</v>
      </c>
      <c r="J12" s="21" t="s">
        <v>23</v>
      </c>
      <c r="K12" s="21" t="s">
        <v>24</v>
      </c>
      <c r="L12" s="21" t="s">
        <v>25</v>
      </c>
      <c r="M12" s="82"/>
      <c r="N12" s="21" t="s">
        <v>22</v>
      </c>
      <c r="O12" s="21" t="s">
        <v>23</v>
      </c>
      <c r="P12" s="21" t="s">
        <v>24</v>
      </c>
      <c r="Q12" s="21" t="s">
        <v>25</v>
      </c>
      <c r="R12" s="84"/>
      <c r="S12" s="21" t="s">
        <v>22</v>
      </c>
      <c r="T12" s="21" t="s">
        <v>23</v>
      </c>
      <c r="U12" s="21" t="s">
        <v>24</v>
      </c>
      <c r="V12" s="21" t="s">
        <v>25</v>
      </c>
      <c r="W12" s="84"/>
    </row>
    <row r="13" spans="2:23" ht="16" thickBot="1">
      <c r="B13" s="22">
        <v>1</v>
      </c>
      <c r="C13" s="23">
        <v>2</v>
      </c>
      <c r="D13" s="23">
        <v>3</v>
      </c>
      <c r="E13" s="23">
        <v>4</v>
      </c>
      <c r="F13" s="23">
        <v>5</v>
      </c>
      <c r="G13" s="24">
        <v>6</v>
      </c>
      <c r="H13" s="23">
        <v>7</v>
      </c>
      <c r="I13" s="23">
        <v>8</v>
      </c>
      <c r="J13" s="24">
        <v>9</v>
      </c>
      <c r="K13" s="23">
        <v>10</v>
      </c>
      <c r="L13" s="24">
        <v>11</v>
      </c>
      <c r="M13" s="23">
        <v>12</v>
      </c>
      <c r="N13" s="24">
        <v>13</v>
      </c>
      <c r="O13" s="23">
        <v>14</v>
      </c>
      <c r="P13" s="24">
        <v>15</v>
      </c>
      <c r="Q13" s="23">
        <v>16</v>
      </c>
      <c r="R13" s="25">
        <v>17</v>
      </c>
      <c r="S13" s="24">
        <v>13</v>
      </c>
      <c r="T13" s="23">
        <v>14</v>
      </c>
      <c r="U13" s="24">
        <v>15</v>
      </c>
      <c r="V13" s="23">
        <v>16</v>
      </c>
      <c r="W13" s="25">
        <v>17</v>
      </c>
    </row>
    <row r="14" spans="2:23" ht="16">
      <c r="B14" s="101">
        <v>1</v>
      </c>
      <c r="C14" s="104" t="s">
        <v>66</v>
      </c>
      <c r="D14" s="107" t="s">
        <v>26</v>
      </c>
      <c r="E14" s="110">
        <v>9</v>
      </c>
      <c r="F14" s="26" t="s">
        <v>27</v>
      </c>
      <c r="G14" s="27">
        <f>H14+M14+R14+W14</f>
        <v>206349.09270000001</v>
      </c>
      <c r="H14" s="28">
        <f>H15+H22</f>
        <v>117342</v>
      </c>
      <c r="I14" s="28">
        <f>I15+I22</f>
        <v>0</v>
      </c>
      <c r="J14" s="28">
        <f>J15+J22</f>
        <v>0</v>
      </c>
      <c r="K14" s="28">
        <f>K15+K22</f>
        <v>0</v>
      </c>
      <c r="L14" s="28">
        <f>L15+L22</f>
        <v>0</v>
      </c>
      <c r="M14" s="28">
        <f t="shared" ref="M14:M77" si="0">I14+J14+K14+L14</f>
        <v>0</v>
      </c>
      <c r="N14" s="28">
        <f>N15+N22</f>
        <v>0</v>
      </c>
      <c r="O14" s="28">
        <f>O15+O22</f>
        <v>0</v>
      </c>
      <c r="P14" s="28">
        <f>P15+P22</f>
        <v>0</v>
      </c>
      <c r="Q14" s="28">
        <f>Q15+Q22</f>
        <v>0</v>
      </c>
      <c r="R14" s="29">
        <f t="shared" ref="R14:R77" si="1">N14+O14+P14+Q14</f>
        <v>0</v>
      </c>
      <c r="S14" s="28">
        <f>S15+S22</f>
        <v>0</v>
      </c>
      <c r="T14" s="28">
        <f>T15+T22</f>
        <v>0</v>
      </c>
      <c r="U14" s="28">
        <f>U15+U22</f>
        <v>89007.092700000008</v>
      </c>
      <c r="V14" s="28">
        <f>V15+V22</f>
        <v>0</v>
      </c>
      <c r="W14" s="29">
        <f t="shared" ref="W14:W77" si="2">S14+T14+U14+V14</f>
        <v>89007.092700000008</v>
      </c>
    </row>
    <row r="15" spans="2:23" ht="32">
      <c r="B15" s="102"/>
      <c r="C15" s="105"/>
      <c r="D15" s="108"/>
      <c r="E15" s="108"/>
      <c r="F15" s="30" t="s">
        <v>28</v>
      </c>
      <c r="G15" s="31">
        <f>H15+M15+R15+W15</f>
        <v>167763.49</v>
      </c>
      <c r="H15" s="32">
        <f>H17+H18+H19+H20+H21+H16</f>
        <v>95400</v>
      </c>
      <c r="I15" s="32">
        <f>I17+I18+I19+I20+I21+I16</f>
        <v>0</v>
      </c>
      <c r="J15" s="32">
        <f>J17+J18+J19+J20+J21+J16</f>
        <v>0</v>
      </c>
      <c r="K15" s="32">
        <f>K17+K18+K19+K20+K21+K16</f>
        <v>0</v>
      </c>
      <c r="L15" s="32">
        <f>L17+L18+L19+L20+L21+L16</f>
        <v>0</v>
      </c>
      <c r="M15" s="32">
        <f t="shared" si="0"/>
        <v>0</v>
      </c>
      <c r="N15" s="32">
        <f>N16+N17+N18+N19+N20+N21</f>
        <v>0</v>
      </c>
      <c r="O15" s="32">
        <f>O16+O17+O18+O19+O20+O21</f>
        <v>0</v>
      </c>
      <c r="P15" s="32">
        <f>P16+P17+P18+P19+P20+P21</f>
        <v>0</v>
      </c>
      <c r="Q15" s="32">
        <f>Q16+Q17+Q18+Q19+Q20+Q21</f>
        <v>0</v>
      </c>
      <c r="R15" s="33">
        <f t="shared" si="1"/>
        <v>0</v>
      </c>
      <c r="S15" s="32">
        <f>S16+S17+S18+S19+S20+S21</f>
        <v>0</v>
      </c>
      <c r="T15" s="32">
        <f>T16+T17+T18+T19+T20+T21</f>
        <v>0</v>
      </c>
      <c r="U15" s="32">
        <f>U16+U17+U18+U19+U20+U21</f>
        <v>72363.490000000005</v>
      </c>
      <c r="V15" s="32">
        <f>V16+V17+V18+V19+V20+V21</f>
        <v>0</v>
      </c>
      <c r="W15" s="33">
        <f t="shared" si="2"/>
        <v>72363.490000000005</v>
      </c>
    </row>
    <row r="16" spans="2:23" ht="30">
      <c r="B16" s="102"/>
      <c r="C16" s="105"/>
      <c r="D16" s="108"/>
      <c r="E16" s="108"/>
      <c r="F16" s="34" t="s">
        <v>29</v>
      </c>
      <c r="G16" s="31">
        <f>H16+M16+R16+W16</f>
        <v>167763.49</v>
      </c>
      <c r="H16" s="63">
        <v>95400</v>
      </c>
      <c r="I16" s="36"/>
      <c r="J16" s="36"/>
      <c r="K16" s="36"/>
      <c r="L16" s="36"/>
      <c r="M16" s="32">
        <f t="shared" si="0"/>
        <v>0</v>
      </c>
      <c r="N16" s="36"/>
      <c r="O16" s="61"/>
      <c r="P16" s="36"/>
      <c r="Q16" s="36"/>
      <c r="R16" s="33">
        <f t="shared" si="1"/>
        <v>0</v>
      </c>
      <c r="S16" s="36"/>
      <c r="T16" s="61"/>
      <c r="U16" s="36">
        <v>72363.490000000005</v>
      </c>
      <c r="V16" s="36"/>
      <c r="W16" s="33">
        <f t="shared" si="2"/>
        <v>72363.490000000005</v>
      </c>
    </row>
    <row r="17" spans="2:23">
      <c r="B17" s="102"/>
      <c r="C17" s="105"/>
      <c r="D17" s="108"/>
      <c r="E17" s="108"/>
      <c r="F17" s="34" t="s">
        <v>30</v>
      </c>
      <c r="G17" s="31">
        <f t="shared" ref="G17:G80" si="3">H17+M17+R17+W17</f>
        <v>0</v>
      </c>
      <c r="H17" s="36"/>
      <c r="I17" s="36"/>
      <c r="J17" s="36"/>
      <c r="K17" s="36"/>
      <c r="L17" s="36"/>
      <c r="M17" s="32">
        <f t="shared" si="0"/>
        <v>0</v>
      </c>
      <c r="N17" s="36"/>
      <c r="O17" s="36"/>
      <c r="P17" s="36"/>
      <c r="Q17" s="36"/>
      <c r="R17" s="33">
        <f t="shared" si="1"/>
        <v>0</v>
      </c>
      <c r="S17" s="36"/>
      <c r="T17" s="36"/>
      <c r="U17" s="36"/>
      <c r="V17" s="36"/>
      <c r="W17" s="33">
        <f t="shared" si="2"/>
        <v>0</v>
      </c>
    </row>
    <row r="18" spans="2:23">
      <c r="B18" s="102"/>
      <c r="C18" s="105"/>
      <c r="D18" s="108"/>
      <c r="E18" s="108"/>
      <c r="F18" s="34" t="s">
        <v>31</v>
      </c>
      <c r="G18" s="31">
        <f t="shared" si="3"/>
        <v>0</v>
      </c>
      <c r="H18" s="36"/>
      <c r="I18" s="36"/>
      <c r="J18" s="36"/>
      <c r="K18" s="36"/>
      <c r="L18" s="36"/>
      <c r="M18" s="32">
        <f t="shared" si="0"/>
        <v>0</v>
      </c>
      <c r="N18" s="36"/>
      <c r="O18" s="36"/>
      <c r="P18" s="36"/>
      <c r="Q18" s="36"/>
      <c r="R18" s="33">
        <f t="shared" si="1"/>
        <v>0</v>
      </c>
      <c r="S18" s="36"/>
      <c r="T18" s="36"/>
      <c r="U18" s="36"/>
      <c r="V18" s="36"/>
      <c r="W18" s="33">
        <f t="shared" si="2"/>
        <v>0</v>
      </c>
    </row>
    <row r="19" spans="2:23">
      <c r="B19" s="102"/>
      <c r="C19" s="105"/>
      <c r="D19" s="108"/>
      <c r="E19" s="108"/>
      <c r="F19" s="34" t="s">
        <v>32</v>
      </c>
      <c r="G19" s="31">
        <f t="shared" si="3"/>
        <v>0</v>
      </c>
      <c r="H19" s="36"/>
      <c r="I19" s="36"/>
      <c r="J19" s="36"/>
      <c r="K19" s="36"/>
      <c r="L19" s="36"/>
      <c r="M19" s="32">
        <f t="shared" si="0"/>
        <v>0</v>
      </c>
      <c r="N19" s="36"/>
      <c r="O19" s="36"/>
      <c r="P19" s="36"/>
      <c r="Q19" s="36"/>
      <c r="R19" s="33">
        <f t="shared" si="1"/>
        <v>0</v>
      </c>
      <c r="S19" s="36"/>
      <c r="T19" s="36"/>
      <c r="U19" s="36"/>
      <c r="V19" s="36"/>
      <c r="W19" s="33">
        <f t="shared" si="2"/>
        <v>0</v>
      </c>
    </row>
    <row r="20" spans="2:23">
      <c r="B20" s="102"/>
      <c r="C20" s="105"/>
      <c r="D20" s="108"/>
      <c r="E20" s="108"/>
      <c r="F20" s="34" t="s">
        <v>33</v>
      </c>
      <c r="G20" s="31">
        <f t="shared" si="3"/>
        <v>0</v>
      </c>
      <c r="H20" s="36"/>
      <c r="I20" s="36"/>
      <c r="J20" s="36"/>
      <c r="K20" s="36"/>
      <c r="L20" s="36"/>
      <c r="M20" s="32">
        <f t="shared" si="0"/>
        <v>0</v>
      </c>
      <c r="N20" s="36"/>
      <c r="O20" s="36"/>
      <c r="P20" s="36"/>
      <c r="Q20" s="36"/>
      <c r="R20" s="33">
        <f t="shared" si="1"/>
        <v>0</v>
      </c>
      <c r="S20" s="36"/>
      <c r="T20" s="36"/>
      <c r="U20" s="36"/>
      <c r="V20" s="36"/>
      <c r="W20" s="33">
        <f t="shared" si="2"/>
        <v>0</v>
      </c>
    </row>
    <row r="21" spans="2:23">
      <c r="B21" s="102"/>
      <c r="C21" s="105"/>
      <c r="D21" s="108"/>
      <c r="E21" s="108"/>
      <c r="F21" s="34" t="s">
        <v>34</v>
      </c>
      <c r="G21" s="31">
        <f t="shared" si="3"/>
        <v>0</v>
      </c>
      <c r="H21" s="36"/>
      <c r="I21" s="36"/>
      <c r="J21" s="36"/>
      <c r="K21" s="36"/>
      <c r="L21" s="36"/>
      <c r="M21" s="32">
        <f t="shared" si="0"/>
        <v>0</v>
      </c>
      <c r="N21" s="36"/>
      <c r="O21" s="36"/>
      <c r="P21" s="36"/>
      <c r="Q21" s="36"/>
      <c r="R21" s="33">
        <f t="shared" si="1"/>
        <v>0</v>
      </c>
      <c r="S21" s="36"/>
      <c r="T21" s="36"/>
      <c r="U21" s="36"/>
      <c r="V21" s="36"/>
      <c r="W21" s="33">
        <f t="shared" si="2"/>
        <v>0</v>
      </c>
    </row>
    <row r="22" spans="2:23" ht="32">
      <c r="B22" s="102"/>
      <c r="C22" s="105"/>
      <c r="D22" s="108"/>
      <c r="E22" s="108"/>
      <c r="F22" s="30" t="s">
        <v>35</v>
      </c>
      <c r="G22" s="31">
        <f t="shared" si="3"/>
        <v>38585.602700000003</v>
      </c>
      <c r="H22" s="31">
        <f>H23+H24</f>
        <v>21942</v>
      </c>
      <c r="I22" s="31">
        <f>I23+I24</f>
        <v>0</v>
      </c>
      <c r="J22" s="31">
        <f>J23+J24</f>
        <v>0</v>
      </c>
      <c r="K22" s="31">
        <f>K23+K24</f>
        <v>0</v>
      </c>
      <c r="L22" s="31">
        <f>L23+L24</f>
        <v>0</v>
      </c>
      <c r="M22" s="32">
        <f t="shared" si="0"/>
        <v>0</v>
      </c>
      <c r="N22" s="32">
        <f>N23+N24</f>
        <v>0</v>
      </c>
      <c r="O22" s="32">
        <f>O23+O24</f>
        <v>0</v>
      </c>
      <c r="P22" s="32">
        <f>P23+P24</f>
        <v>0</v>
      </c>
      <c r="Q22" s="32">
        <f>Q23+Q24</f>
        <v>0</v>
      </c>
      <c r="R22" s="33">
        <f t="shared" si="1"/>
        <v>0</v>
      </c>
      <c r="S22" s="32">
        <f>S23+S24</f>
        <v>0</v>
      </c>
      <c r="T22" s="32">
        <f>T23+T24</f>
        <v>0</v>
      </c>
      <c r="U22" s="32">
        <f>U23+U24</f>
        <v>16643.602700000003</v>
      </c>
      <c r="V22" s="32">
        <f>V23+V24</f>
        <v>0</v>
      </c>
      <c r="W22" s="33">
        <f t="shared" si="2"/>
        <v>16643.602700000003</v>
      </c>
    </row>
    <row r="23" spans="2:23">
      <c r="B23" s="102"/>
      <c r="C23" s="105"/>
      <c r="D23" s="108"/>
      <c r="E23" s="108"/>
      <c r="F23" s="34" t="s">
        <v>36</v>
      </c>
      <c r="G23" s="31">
        <f t="shared" si="3"/>
        <v>38585.602700000003</v>
      </c>
      <c r="H23" s="36">
        <f>(H16*1.23)-H16</f>
        <v>21942</v>
      </c>
      <c r="I23" s="36"/>
      <c r="J23" s="36"/>
      <c r="K23" s="36"/>
      <c r="L23" s="36"/>
      <c r="M23" s="32">
        <f t="shared" si="0"/>
        <v>0</v>
      </c>
      <c r="N23" s="36"/>
      <c r="O23" s="36"/>
      <c r="P23" s="36"/>
      <c r="Q23" s="36"/>
      <c r="R23" s="33">
        <f t="shared" si="1"/>
        <v>0</v>
      </c>
      <c r="S23" s="36"/>
      <c r="T23" s="36"/>
      <c r="U23" s="36">
        <f>U16*0.23</f>
        <v>16643.602700000003</v>
      </c>
      <c r="V23" s="36"/>
      <c r="W23" s="33">
        <f t="shared" si="2"/>
        <v>16643.602700000003</v>
      </c>
    </row>
    <row r="24" spans="2:23" ht="31" thickBot="1">
      <c r="B24" s="103"/>
      <c r="C24" s="106"/>
      <c r="D24" s="109"/>
      <c r="E24" s="109"/>
      <c r="F24" s="37" t="s">
        <v>37</v>
      </c>
      <c r="G24" s="31">
        <f t="shared" si="3"/>
        <v>0</v>
      </c>
      <c r="H24" s="39"/>
      <c r="I24" s="39"/>
      <c r="J24" s="39"/>
      <c r="K24" s="39"/>
      <c r="L24" s="39"/>
      <c r="M24" s="40">
        <f t="shared" si="0"/>
        <v>0</v>
      </c>
      <c r="N24" s="39"/>
      <c r="O24" s="39"/>
      <c r="P24" s="39"/>
      <c r="Q24" s="39"/>
      <c r="R24" s="41">
        <f t="shared" si="1"/>
        <v>0</v>
      </c>
      <c r="S24" s="39"/>
      <c r="T24" s="39"/>
      <c r="U24" s="39"/>
      <c r="V24" s="39"/>
      <c r="W24" s="41">
        <f t="shared" si="2"/>
        <v>0</v>
      </c>
    </row>
    <row r="25" spans="2:23" ht="16">
      <c r="B25" s="101">
        <v>2</v>
      </c>
      <c r="C25" s="104" t="s">
        <v>64</v>
      </c>
      <c r="D25" s="110" t="s">
        <v>26</v>
      </c>
      <c r="E25" s="110">
        <v>9</v>
      </c>
      <c r="F25" s="26" t="s">
        <v>27</v>
      </c>
      <c r="G25" s="31">
        <f t="shared" si="3"/>
        <v>229641</v>
      </c>
      <c r="H25" s="28">
        <f>H26+H33</f>
        <v>0</v>
      </c>
      <c r="I25" s="28">
        <f>I26+I33</f>
        <v>0</v>
      </c>
      <c r="J25" s="28">
        <f>J26+J33</f>
        <v>0</v>
      </c>
      <c r="K25" s="28">
        <f>K26+K33</f>
        <v>26691</v>
      </c>
      <c r="L25" s="28">
        <f>L26+L33</f>
        <v>123000</v>
      </c>
      <c r="M25" s="28">
        <f t="shared" si="0"/>
        <v>149691</v>
      </c>
      <c r="N25" s="28">
        <f>N26+N33</f>
        <v>61500</v>
      </c>
      <c r="O25" s="28">
        <f>O26+O33</f>
        <v>18450</v>
      </c>
      <c r="P25" s="28">
        <f>P26+P33</f>
        <v>0</v>
      </c>
      <c r="Q25" s="28">
        <f>Q26+Q33</f>
        <v>0</v>
      </c>
      <c r="R25" s="29">
        <f t="shared" si="1"/>
        <v>79950</v>
      </c>
      <c r="S25" s="28">
        <f>S26+S33</f>
        <v>0</v>
      </c>
      <c r="T25" s="28">
        <f>T26+T33</f>
        <v>0</v>
      </c>
      <c r="U25" s="28">
        <f>U26+U33</f>
        <v>0</v>
      </c>
      <c r="V25" s="28">
        <f>V26+V33</f>
        <v>0</v>
      </c>
      <c r="W25" s="29">
        <f t="shared" si="2"/>
        <v>0</v>
      </c>
    </row>
    <row r="26" spans="2:23" ht="32">
      <c r="B26" s="102"/>
      <c r="C26" s="105"/>
      <c r="D26" s="108"/>
      <c r="E26" s="108"/>
      <c r="F26" s="30" t="s">
        <v>28</v>
      </c>
      <c r="G26" s="31">
        <f t="shared" si="3"/>
        <v>186700</v>
      </c>
      <c r="H26" s="32">
        <f>H28+H29+H30+H31+H32+H27</f>
        <v>0</v>
      </c>
      <c r="I26" s="32">
        <f>I28+I29+I30+I31+I32+I27</f>
        <v>0</v>
      </c>
      <c r="J26" s="32">
        <f>J28+J29+J30+J31+J32+J27</f>
        <v>0</v>
      </c>
      <c r="K26" s="32">
        <f>K28+K29+K30+K31+K32+K27</f>
        <v>21700</v>
      </c>
      <c r="L26" s="32">
        <f>L28+L29+L30+L31+L32+L27</f>
        <v>100000</v>
      </c>
      <c r="M26" s="32">
        <f t="shared" si="0"/>
        <v>121700</v>
      </c>
      <c r="N26" s="32">
        <f>N27+N28+N29+N30+N31+N32</f>
        <v>50000</v>
      </c>
      <c r="O26" s="32">
        <f>O27+O28+O29+O30+O31+O32</f>
        <v>15000</v>
      </c>
      <c r="P26" s="32">
        <f>P27+P28+P29+P30+P31+P32</f>
        <v>0</v>
      </c>
      <c r="Q26" s="32">
        <f>Q27+Q28+Q29+Q30+Q31+Q32</f>
        <v>0</v>
      </c>
      <c r="R26" s="33">
        <f t="shared" si="1"/>
        <v>65000</v>
      </c>
      <c r="S26" s="32">
        <f>S27+S28+S29+S30+S31+S32</f>
        <v>0</v>
      </c>
      <c r="T26" s="32">
        <f>T27+T28+T29+T30+T31+T32</f>
        <v>0</v>
      </c>
      <c r="U26" s="32">
        <f>U27+U28+U29+U30+U31+U32</f>
        <v>0</v>
      </c>
      <c r="V26" s="32">
        <f>V27+V28+V29+V30+V31+V32</f>
        <v>0</v>
      </c>
      <c r="W26" s="33">
        <f t="shared" si="2"/>
        <v>0</v>
      </c>
    </row>
    <row r="27" spans="2:23" ht="30">
      <c r="B27" s="102"/>
      <c r="C27" s="105"/>
      <c r="D27" s="108"/>
      <c r="E27" s="108"/>
      <c r="F27" s="34" t="s">
        <v>29</v>
      </c>
      <c r="G27" s="31">
        <f t="shared" si="3"/>
        <v>186700</v>
      </c>
      <c r="H27" s="59"/>
      <c r="I27" s="60"/>
      <c r="J27" s="36"/>
      <c r="K27" s="61">
        <v>21700</v>
      </c>
      <c r="L27" s="36">
        <v>100000</v>
      </c>
      <c r="M27" s="32">
        <f>I27+J27+K27+L27</f>
        <v>121700</v>
      </c>
      <c r="N27" s="36">
        <v>50000</v>
      </c>
      <c r="O27" s="36">
        <v>15000</v>
      </c>
      <c r="P27" s="36"/>
      <c r="Q27" s="36"/>
      <c r="R27" s="33">
        <f t="shared" si="1"/>
        <v>65000</v>
      </c>
      <c r="S27" s="36"/>
      <c r="T27" s="36"/>
      <c r="U27" s="36"/>
      <c r="V27" s="36"/>
      <c r="W27" s="33">
        <f t="shared" si="2"/>
        <v>0</v>
      </c>
    </row>
    <row r="28" spans="2:23">
      <c r="B28" s="102"/>
      <c r="C28" s="105"/>
      <c r="D28" s="108"/>
      <c r="E28" s="108"/>
      <c r="F28" s="34" t="s">
        <v>30</v>
      </c>
      <c r="G28" s="31">
        <f t="shared" si="3"/>
        <v>0</v>
      </c>
      <c r="H28" s="60"/>
      <c r="I28" s="60"/>
      <c r="J28" s="60"/>
      <c r="K28" s="60"/>
      <c r="L28" s="60"/>
      <c r="M28" s="32">
        <f t="shared" si="0"/>
        <v>0</v>
      </c>
      <c r="N28" s="36"/>
      <c r="O28" s="36"/>
      <c r="P28" s="36"/>
      <c r="Q28" s="36"/>
      <c r="R28" s="33">
        <f t="shared" si="1"/>
        <v>0</v>
      </c>
      <c r="S28" s="36"/>
      <c r="T28" s="36"/>
      <c r="U28" s="36"/>
      <c r="V28" s="36"/>
      <c r="W28" s="33">
        <f t="shared" si="2"/>
        <v>0</v>
      </c>
    </row>
    <row r="29" spans="2:23">
      <c r="B29" s="102"/>
      <c r="C29" s="105"/>
      <c r="D29" s="108"/>
      <c r="E29" s="108"/>
      <c r="F29" s="34" t="s">
        <v>31</v>
      </c>
      <c r="G29" s="31">
        <f t="shared" si="3"/>
        <v>0</v>
      </c>
      <c r="H29" s="60"/>
      <c r="I29" s="60"/>
      <c r="J29" s="60"/>
      <c r="K29" s="60"/>
      <c r="L29" s="60"/>
      <c r="M29" s="32">
        <f t="shared" si="0"/>
        <v>0</v>
      </c>
      <c r="N29" s="36"/>
      <c r="O29" s="36"/>
      <c r="P29" s="36"/>
      <c r="Q29" s="36"/>
      <c r="R29" s="33">
        <f t="shared" si="1"/>
        <v>0</v>
      </c>
      <c r="S29" s="36"/>
      <c r="T29" s="36"/>
      <c r="U29" s="36"/>
      <c r="V29" s="36"/>
      <c r="W29" s="33">
        <f t="shared" si="2"/>
        <v>0</v>
      </c>
    </row>
    <row r="30" spans="2:23">
      <c r="B30" s="102"/>
      <c r="C30" s="105"/>
      <c r="D30" s="108"/>
      <c r="E30" s="108"/>
      <c r="F30" s="34" t="s">
        <v>32</v>
      </c>
      <c r="G30" s="31">
        <f t="shared" si="3"/>
        <v>0</v>
      </c>
      <c r="H30" s="60"/>
      <c r="I30" s="60"/>
      <c r="J30" s="60"/>
      <c r="K30" s="60"/>
      <c r="L30" s="60"/>
      <c r="M30" s="32">
        <f t="shared" si="0"/>
        <v>0</v>
      </c>
      <c r="N30" s="36"/>
      <c r="O30" s="36"/>
      <c r="P30" s="36"/>
      <c r="Q30" s="36"/>
      <c r="R30" s="33">
        <f t="shared" si="1"/>
        <v>0</v>
      </c>
      <c r="S30" s="36"/>
      <c r="T30" s="36"/>
      <c r="U30" s="36"/>
      <c r="V30" s="36"/>
      <c r="W30" s="33">
        <f t="shared" si="2"/>
        <v>0</v>
      </c>
    </row>
    <row r="31" spans="2:23">
      <c r="B31" s="102"/>
      <c r="C31" s="105"/>
      <c r="D31" s="108"/>
      <c r="E31" s="108"/>
      <c r="F31" s="34" t="s">
        <v>33</v>
      </c>
      <c r="G31" s="31">
        <f t="shared" si="3"/>
        <v>0</v>
      </c>
      <c r="H31" s="60"/>
      <c r="I31" s="60"/>
      <c r="J31" s="60"/>
      <c r="K31" s="60"/>
      <c r="L31" s="60"/>
      <c r="M31" s="32">
        <f t="shared" si="0"/>
        <v>0</v>
      </c>
      <c r="N31" s="36"/>
      <c r="O31" s="36"/>
      <c r="P31" s="36"/>
      <c r="Q31" s="36"/>
      <c r="R31" s="33">
        <f t="shared" si="1"/>
        <v>0</v>
      </c>
      <c r="S31" s="36"/>
      <c r="T31" s="36"/>
      <c r="U31" s="36"/>
      <c r="V31" s="36"/>
      <c r="W31" s="33">
        <f t="shared" si="2"/>
        <v>0</v>
      </c>
    </row>
    <row r="32" spans="2:23">
      <c r="B32" s="102"/>
      <c r="C32" s="105"/>
      <c r="D32" s="108"/>
      <c r="E32" s="108"/>
      <c r="F32" s="34" t="s">
        <v>34</v>
      </c>
      <c r="G32" s="31">
        <f t="shared" si="3"/>
        <v>0</v>
      </c>
      <c r="H32" s="60"/>
      <c r="I32" s="60"/>
      <c r="J32" s="60"/>
      <c r="K32" s="60"/>
      <c r="L32" s="60"/>
      <c r="M32" s="32">
        <f t="shared" si="0"/>
        <v>0</v>
      </c>
      <c r="N32" s="36"/>
      <c r="O32" s="36"/>
      <c r="P32" s="36"/>
      <c r="Q32" s="36"/>
      <c r="R32" s="33">
        <f t="shared" si="1"/>
        <v>0</v>
      </c>
      <c r="S32" s="36"/>
      <c r="T32" s="36"/>
      <c r="U32" s="36"/>
      <c r="V32" s="36"/>
      <c r="W32" s="33">
        <f t="shared" si="2"/>
        <v>0</v>
      </c>
    </row>
    <row r="33" spans="2:23" ht="32">
      <c r="B33" s="102"/>
      <c r="C33" s="105"/>
      <c r="D33" s="108"/>
      <c r="E33" s="108"/>
      <c r="F33" s="30" t="s">
        <v>35</v>
      </c>
      <c r="G33" s="31">
        <f t="shared" si="3"/>
        <v>42941</v>
      </c>
      <c r="H33" s="31">
        <f>H34+H35</f>
        <v>0</v>
      </c>
      <c r="I33" s="31">
        <f>I34+I35</f>
        <v>0</v>
      </c>
      <c r="J33" s="31">
        <f>J34+J35</f>
        <v>0</v>
      </c>
      <c r="K33" s="31">
        <f>K34+K35</f>
        <v>4991</v>
      </c>
      <c r="L33" s="31">
        <f>L34+L35</f>
        <v>23000</v>
      </c>
      <c r="M33" s="32">
        <f t="shared" si="0"/>
        <v>27991</v>
      </c>
      <c r="N33" s="32">
        <f>N34+N35</f>
        <v>11500</v>
      </c>
      <c r="O33" s="32">
        <f>O34+O35</f>
        <v>3450</v>
      </c>
      <c r="P33" s="32">
        <f>P34+P35</f>
        <v>0</v>
      </c>
      <c r="Q33" s="32">
        <f>Q34+Q35</f>
        <v>0</v>
      </c>
      <c r="R33" s="33">
        <f t="shared" si="1"/>
        <v>14950</v>
      </c>
      <c r="S33" s="32">
        <f>S34+S35</f>
        <v>0</v>
      </c>
      <c r="T33" s="32">
        <f>T34+T35</f>
        <v>0</v>
      </c>
      <c r="U33" s="32">
        <f>U34+U35</f>
        <v>0</v>
      </c>
      <c r="V33" s="32">
        <f>V34+V35</f>
        <v>0</v>
      </c>
      <c r="W33" s="33">
        <f t="shared" si="2"/>
        <v>0</v>
      </c>
    </row>
    <row r="34" spans="2:23">
      <c r="B34" s="102"/>
      <c r="C34" s="105"/>
      <c r="D34" s="108"/>
      <c r="E34" s="108"/>
      <c r="F34" s="34" t="s">
        <v>36</v>
      </c>
      <c r="G34" s="31">
        <f t="shared" si="3"/>
        <v>42941</v>
      </c>
      <c r="H34" s="36"/>
      <c r="I34" s="36"/>
      <c r="J34" s="36"/>
      <c r="K34" s="36">
        <f>(K27*1.23)-K27</f>
        <v>4991</v>
      </c>
      <c r="L34" s="36">
        <f>(L27*1.23)-L27</f>
        <v>23000</v>
      </c>
      <c r="M34" s="32">
        <f>I34+J34+K34+L34</f>
        <v>27991</v>
      </c>
      <c r="N34" s="167">
        <f>N27*0.23</f>
        <v>11500.0</v>
      </c>
      <c r="O34" s="167">
        <f>O27*0.23</f>
        <v>3450.0</v>
      </c>
      <c r="P34" s="36"/>
      <c r="Q34" s="36"/>
      <c r="R34" s="33">
        <f t="shared" si="1"/>
        <v>14950</v>
      </c>
      <c r="S34" s="36"/>
      <c r="T34" s="36"/>
      <c r="U34" s="36"/>
      <c r="V34" s="36"/>
      <c r="W34" s="33">
        <f t="shared" si="2"/>
        <v>0</v>
      </c>
    </row>
    <row r="35" spans="2:23" ht="31" thickBot="1">
      <c r="B35" s="103"/>
      <c r="C35" s="106"/>
      <c r="D35" s="109"/>
      <c r="E35" s="109"/>
      <c r="F35" s="37" t="s">
        <v>37</v>
      </c>
      <c r="G35" s="31">
        <f t="shared" si="3"/>
        <v>0</v>
      </c>
      <c r="H35" s="39"/>
      <c r="I35" s="39"/>
      <c r="J35" s="39"/>
      <c r="K35" s="39"/>
      <c r="L35" s="39"/>
      <c r="M35" s="40">
        <f t="shared" si="0"/>
        <v>0</v>
      </c>
      <c r="N35" s="39"/>
      <c r="O35" s="39"/>
      <c r="P35" s="39"/>
      <c r="Q35" s="39"/>
      <c r="R35" s="41">
        <f t="shared" si="1"/>
        <v>0</v>
      </c>
      <c r="S35" s="39"/>
      <c r="T35" s="39"/>
      <c r="U35" s="39"/>
      <c r="V35" s="39"/>
      <c r="W35" s="41">
        <f t="shared" si="2"/>
        <v>0</v>
      </c>
    </row>
    <row r="36" spans="2:23" ht="16">
      <c r="B36" s="101">
        <v>3</v>
      </c>
      <c r="C36" s="104" t="s">
        <v>65</v>
      </c>
      <c r="D36" s="110" t="s">
        <v>26</v>
      </c>
      <c r="E36" s="110">
        <v>9</v>
      </c>
      <c r="F36" s="26" t="s">
        <v>27</v>
      </c>
      <c r="G36" s="31">
        <f t="shared" si="3"/>
        <v>373920</v>
      </c>
      <c r="H36" s="28">
        <f>H37+H44</f>
        <v>0</v>
      </c>
      <c r="I36" s="28">
        <f>I37+I44</f>
        <v>0</v>
      </c>
      <c r="J36" s="28">
        <f>J37+J44</f>
        <v>0</v>
      </c>
      <c r="K36" s="28">
        <f>K37+K44</f>
        <v>0</v>
      </c>
      <c r="L36" s="28">
        <f>L37+L44</f>
        <v>0</v>
      </c>
      <c r="M36" s="28">
        <f t="shared" si="0"/>
        <v>0</v>
      </c>
      <c r="N36" s="28">
        <f>N37+N44</f>
        <v>0</v>
      </c>
      <c r="O36" s="28">
        <f>O37+O44</f>
        <v>0</v>
      </c>
      <c r="P36" s="28">
        <f>P37+P44</f>
        <v>159900</v>
      </c>
      <c r="Q36" s="28">
        <f>Q37+Q44</f>
        <v>184500</v>
      </c>
      <c r="R36" s="29">
        <f t="shared" si="1"/>
        <v>344400</v>
      </c>
      <c r="S36" s="28">
        <f>S37+S44</f>
        <v>17220</v>
      </c>
      <c r="T36" s="28">
        <f>T37+T44</f>
        <v>12300</v>
      </c>
      <c r="U36" s="28">
        <f>U37+U44</f>
        <v>0</v>
      </c>
      <c r="V36" s="28">
        <f>V37+V44</f>
        <v>0</v>
      </c>
      <c r="W36" s="29">
        <f t="shared" si="2"/>
        <v>29520</v>
      </c>
    </row>
    <row r="37" spans="2:23" ht="32">
      <c r="B37" s="102"/>
      <c r="C37" s="105"/>
      <c r="D37" s="108"/>
      <c r="E37" s="108"/>
      <c r="F37" s="30" t="s">
        <v>28</v>
      </c>
      <c r="G37" s="31">
        <f t="shared" si="3"/>
        <v>304000</v>
      </c>
      <c r="H37" s="32">
        <f>H39+H40+H41+H42+H43+H38</f>
        <v>0</v>
      </c>
      <c r="I37" s="32">
        <f>I39+I40+I41+I42+I43+I38</f>
        <v>0</v>
      </c>
      <c r="J37" s="32">
        <f>J39+J40+J41+J42+J43+J38</f>
        <v>0</v>
      </c>
      <c r="K37" s="32">
        <f>K39+K40+K41+K42+K43+K38</f>
        <v>0</v>
      </c>
      <c r="L37" s="32">
        <f>L39+L40+L41+L42+L43+L38</f>
        <v>0</v>
      </c>
      <c r="M37" s="32">
        <f t="shared" si="0"/>
        <v>0</v>
      </c>
      <c r="N37" s="32">
        <f>N38+N39+N40+N41+N42+N43</f>
        <v>0</v>
      </c>
      <c r="O37" s="32">
        <f>O38+O39+O40+O41+O42+O43</f>
        <v>0</v>
      </c>
      <c r="P37" s="32">
        <f>P38+P39+P40+P41+P42+P43</f>
        <v>130000</v>
      </c>
      <c r="Q37" s="32">
        <f>Q38+Q39+Q40+Q41+Q42+Q43</f>
        <v>150000</v>
      </c>
      <c r="R37" s="33">
        <f t="shared" si="1"/>
        <v>280000</v>
      </c>
      <c r="S37" s="32">
        <f>S38+S39+S40+S41+S42+S43</f>
        <v>14000</v>
      </c>
      <c r="T37" s="32">
        <f>T38+T39+T40+T41+T42+T43</f>
        <v>10000</v>
      </c>
      <c r="U37" s="32">
        <f>U38+U39+U40+U41+U42+U43</f>
        <v>0</v>
      </c>
      <c r="V37" s="32">
        <f>V38+V39+V40+V41+V42+V43</f>
        <v>0</v>
      </c>
      <c r="W37" s="33">
        <f t="shared" si="2"/>
        <v>24000</v>
      </c>
    </row>
    <row r="38" spans="2:23" ht="30">
      <c r="B38" s="102"/>
      <c r="C38" s="105"/>
      <c r="D38" s="108"/>
      <c r="E38" s="108"/>
      <c r="F38" s="34" t="s">
        <v>29</v>
      </c>
      <c r="G38" s="31">
        <f t="shared" si="3"/>
        <v>304000</v>
      </c>
      <c r="H38" s="35"/>
      <c r="I38" s="36"/>
      <c r="J38" s="36"/>
      <c r="K38" s="36"/>
      <c r="L38" s="36"/>
      <c r="M38" s="32">
        <f t="shared" si="0"/>
        <v>0</v>
      </c>
      <c r="N38" s="36"/>
      <c r="O38" s="36"/>
      <c r="P38" s="36">
        <v>130000</v>
      </c>
      <c r="Q38" s="36">
        <v>150000</v>
      </c>
      <c r="R38" s="33">
        <f t="shared" si="1"/>
        <v>280000</v>
      </c>
      <c r="S38" s="36">
        <v>14000</v>
      </c>
      <c r="T38" s="36">
        <v>10000</v>
      </c>
      <c r="U38" s="36">
        <v>0</v>
      </c>
      <c r="V38" s="36"/>
      <c r="W38" s="33">
        <f t="shared" si="2"/>
        <v>24000</v>
      </c>
    </row>
    <row r="39" spans="2:23">
      <c r="B39" s="102"/>
      <c r="C39" s="105"/>
      <c r="D39" s="108"/>
      <c r="E39" s="108"/>
      <c r="F39" s="34" t="s">
        <v>30</v>
      </c>
      <c r="G39" s="31">
        <f t="shared" si="3"/>
        <v>0</v>
      </c>
      <c r="H39" s="36"/>
      <c r="I39" s="36"/>
      <c r="J39" s="36"/>
      <c r="K39" s="36"/>
      <c r="L39" s="36"/>
      <c r="M39" s="32">
        <f t="shared" si="0"/>
        <v>0</v>
      </c>
      <c r="N39" s="36"/>
      <c r="O39" s="36"/>
      <c r="P39" s="36"/>
      <c r="Q39" s="36"/>
      <c r="R39" s="33">
        <f t="shared" si="1"/>
        <v>0</v>
      </c>
      <c r="S39" s="36"/>
      <c r="T39" s="36"/>
      <c r="U39" s="36"/>
      <c r="V39" s="36"/>
      <c r="W39" s="33">
        <f t="shared" si="2"/>
        <v>0</v>
      </c>
    </row>
    <row r="40" spans="2:23">
      <c r="B40" s="102"/>
      <c r="C40" s="105"/>
      <c r="D40" s="108"/>
      <c r="E40" s="108"/>
      <c r="F40" s="34" t="s">
        <v>31</v>
      </c>
      <c r="G40" s="31">
        <f t="shared" si="3"/>
        <v>0</v>
      </c>
      <c r="H40" s="36"/>
      <c r="I40" s="36"/>
      <c r="J40" s="36"/>
      <c r="K40" s="36"/>
      <c r="L40" s="36"/>
      <c r="M40" s="32">
        <f t="shared" si="0"/>
        <v>0</v>
      </c>
      <c r="N40" s="36"/>
      <c r="O40" s="36"/>
      <c r="P40" s="36"/>
      <c r="Q40" s="36"/>
      <c r="R40" s="33">
        <f t="shared" si="1"/>
        <v>0</v>
      </c>
      <c r="S40" s="36"/>
      <c r="T40" s="36"/>
      <c r="U40" s="36"/>
      <c r="V40" s="36"/>
      <c r="W40" s="33">
        <f t="shared" si="2"/>
        <v>0</v>
      </c>
    </row>
    <row r="41" spans="2:23">
      <c r="B41" s="102"/>
      <c r="C41" s="105"/>
      <c r="D41" s="108"/>
      <c r="E41" s="108"/>
      <c r="F41" s="34" t="s">
        <v>32</v>
      </c>
      <c r="G41" s="31">
        <f t="shared" si="3"/>
        <v>0</v>
      </c>
      <c r="H41" s="36"/>
      <c r="I41" s="36"/>
      <c r="J41" s="36"/>
      <c r="K41" s="36"/>
      <c r="L41" s="36"/>
      <c r="M41" s="32">
        <f t="shared" si="0"/>
        <v>0</v>
      </c>
      <c r="N41" s="36"/>
      <c r="O41" s="36"/>
      <c r="P41" s="36"/>
      <c r="Q41" s="36"/>
      <c r="R41" s="33">
        <f t="shared" si="1"/>
        <v>0</v>
      </c>
      <c r="S41" s="36"/>
      <c r="T41" s="36"/>
      <c r="U41" s="36"/>
      <c r="V41" s="36"/>
      <c r="W41" s="33">
        <f t="shared" si="2"/>
        <v>0</v>
      </c>
    </row>
    <row r="42" spans="2:23">
      <c r="B42" s="102"/>
      <c r="C42" s="105"/>
      <c r="D42" s="108"/>
      <c r="E42" s="108"/>
      <c r="F42" s="34" t="s">
        <v>33</v>
      </c>
      <c r="G42" s="31">
        <f t="shared" si="3"/>
        <v>0</v>
      </c>
      <c r="H42" s="36"/>
      <c r="I42" s="36"/>
      <c r="J42" s="36"/>
      <c r="K42" s="36"/>
      <c r="L42" s="36"/>
      <c r="M42" s="32">
        <f t="shared" si="0"/>
        <v>0</v>
      </c>
      <c r="N42" s="36"/>
      <c r="O42" s="36"/>
      <c r="P42" s="36"/>
      <c r="Q42" s="36"/>
      <c r="R42" s="33">
        <f t="shared" si="1"/>
        <v>0</v>
      </c>
      <c r="S42" s="36"/>
      <c r="T42" s="36"/>
      <c r="U42" s="36"/>
      <c r="V42" s="36"/>
      <c r="W42" s="33">
        <f t="shared" si="2"/>
        <v>0</v>
      </c>
    </row>
    <row r="43" spans="2:23">
      <c r="B43" s="102"/>
      <c r="C43" s="105"/>
      <c r="D43" s="108"/>
      <c r="E43" s="108"/>
      <c r="F43" s="34" t="s">
        <v>34</v>
      </c>
      <c r="G43" s="31">
        <f t="shared" si="3"/>
        <v>0</v>
      </c>
      <c r="H43" s="36"/>
      <c r="I43" s="36"/>
      <c r="J43" s="36"/>
      <c r="K43" s="36"/>
      <c r="L43" s="36"/>
      <c r="M43" s="32">
        <f t="shared" si="0"/>
        <v>0</v>
      </c>
      <c r="N43" s="36"/>
      <c r="O43" s="36"/>
      <c r="P43" s="36"/>
      <c r="Q43" s="36"/>
      <c r="R43" s="33">
        <f t="shared" si="1"/>
        <v>0</v>
      </c>
      <c r="S43" s="36"/>
      <c r="T43" s="36"/>
      <c r="U43" s="36"/>
      <c r="V43" s="36"/>
      <c r="W43" s="33">
        <f t="shared" si="2"/>
        <v>0</v>
      </c>
    </row>
    <row r="44" spans="2:23" ht="32">
      <c r="B44" s="102"/>
      <c r="C44" s="105"/>
      <c r="D44" s="108"/>
      <c r="E44" s="108"/>
      <c r="F44" s="30" t="s">
        <v>35</v>
      </c>
      <c r="G44" s="31">
        <f t="shared" si="3"/>
        <v>69920</v>
      </c>
      <c r="H44" s="31">
        <f>H45+H46</f>
        <v>0</v>
      </c>
      <c r="I44" s="31">
        <f>I45+I46</f>
        <v>0</v>
      </c>
      <c r="J44" s="31">
        <f>J45+J46</f>
        <v>0</v>
      </c>
      <c r="K44" s="31">
        <f>K45+K46</f>
        <v>0</v>
      </c>
      <c r="L44" s="31">
        <f>L45+L46</f>
        <v>0</v>
      </c>
      <c r="M44" s="32">
        <f t="shared" si="0"/>
        <v>0</v>
      </c>
      <c r="N44" s="31">
        <f>N45+N46</f>
        <v>0</v>
      </c>
      <c r="O44" s="31">
        <f>O45+O46</f>
        <v>0</v>
      </c>
      <c r="P44" s="32">
        <f>P45+P46</f>
        <v>29900</v>
      </c>
      <c r="Q44" s="32">
        <f>Q45+Q46</f>
        <v>34500</v>
      </c>
      <c r="R44" s="33">
        <f t="shared" si="1"/>
        <v>64400</v>
      </c>
      <c r="S44" s="31">
        <f>S45+S46</f>
        <v>3220</v>
      </c>
      <c r="T44" s="31">
        <f>T45+T46</f>
        <v>2300</v>
      </c>
      <c r="U44" s="32">
        <f>U45+U46</f>
        <v>0</v>
      </c>
      <c r="V44" s="32">
        <f>V45+V46</f>
        <v>0</v>
      </c>
      <c r="W44" s="33">
        <f t="shared" si="2"/>
        <v>5520</v>
      </c>
    </row>
    <row r="45" spans="2:23">
      <c r="B45" s="102"/>
      <c r="C45" s="105"/>
      <c r="D45" s="108"/>
      <c r="E45" s="108"/>
      <c r="F45" s="34" t="s">
        <v>36</v>
      </c>
      <c r="G45" s="31">
        <f t="shared" si="3"/>
        <v>69920</v>
      </c>
      <c r="H45" s="36"/>
      <c r="I45" s="36"/>
      <c r="J45" s="36"/>
      <c r="K45" s="36"/>
      <c r="L45" s="36"/>
      <c r="M45" s="32">
        <f t="shared" si="0"/>
        <v>0</v>
      </c>
      <c r="N45" s="36"/>
      <c r="O45" s="36"/>
      <c r="P45" s="36">
        <f>(P38*1.23)-P38</f>
        <v>29900</v>
      </c>
      <c r="Q45" s="36">
        <f>(Q38*1.23)-Q38</f>
        <v>34500</v>
      </c>
      <c r="R45" s="33">
        <f t="shared" si="1"/>
        <v>64400</v>
      </c>
      <c r="S45" s="36">
        <f>S38*0.23</f>
        <v>3220</v>
      </c>
      <c r="T45" s="36">
        <f>T38*0.23</f>
        <v>2300</v>
      </c>
      <c r="U45" s="36">
        <f>(U38*1.23)-U38</f>
        <v>0</v>
      </c>
      <c r="V45" s="36"/>
      <c r="W45" s="33">
        <f t="shared" si="2"/>
        <v>5520</v>
      </c>
    </row>
    <row r="46" spans="2:23" ht="31" thickBot="1">
      <c r="B46" s="103"/>
      <c r="C46" s="106"/>
      <c r="D46" s="109"/>
      <c r="E46" s="109"/>
      <c r="F46" s="37" t="s">
        <v>37</v>
      </c>
      <c r="G46" s="31">
        <f t="shared" si="3"/>
        <v>0</v>
      </c>
      <c r="H46" s="39"/>
      <c r="I46" s="39"/>
      <c r="J46" s="39"/>
      <c r="K46" s="39"/>
      <c r="L46" s="39"/>
      <c r="M46" s="40">
        <f t="shared" si="0"/>
        <v>0</v>
      </c>
      <c r="N46" s="39"/>
      <c r="O46" s="39"/>
      <c r="P46" s="39"/>
      <c r="Q46" s="39"/>
      <c r="R46" s="41">
        <f t="shared" si="1"/>
        <v>0</v>
      </c>
      <c r="S46" s="39"/>
      <c r="T46" s="39"/>
      <c r="U46" s="39"/>
      <c r="V46" s="39"/>
      <c r="W46" s="41">
        <f t="shared" si="2"/>
        <v>0</v>
      </c>
    </row>
    <row r="47" spans="2:23" ht="16">
      <c r="B47" s="113" t="s">
        <v>38</v>
      </c>
      <c r="C47" s="104" t="s">
        <v>68</v>
      </c>
      <c r="D47" s="110" t="s">
        <v>39</v>
      </c>
      <c r="E47" s="110">
        <v>1</v>
      </c>
      <c r="F47" s="26" t="s">
        <v>27</v>
      </c>
      <c r="G47" s="31">
        <f t="shared" si="3"/>
        <v>7020525.1200000001</v>
      </c>
      <c r="H47" s="28">
        <f>H48+H55</f>
        <v>0</v>
      </c>
      <c r="I47" s="28">
        <f>I48+I55</f>
        <v>0</v>
      </c>
      <c r="J47" s="28">
        <f>J48+J55</f>
        <v>0</v>
      </c>
      <c r="K47" s="28">
        <f>K48+K55</f>
        <v>0</v>
      </c>
      <c r="L47" s="28">
        <f>L48+L55</f>
        <v>0</v>
      </c>
      <c r="M47" s="28">
        <f t="shared" si="0"/>
        <v>0</v>
      </c>
      <c r="N47" s="28">
        <f>N48+N55</f>
        <v>0</v>
      </c>
      <c r="O47" s="28">
        <f>O48+O55</f>
        <v>0</v>
      </c>
      <c r="P47" s="28">
        <f>P48+P55</f>
        <v>337335.99929999997</v>
      </c>
      <c r="Q47" s="28">
        <f>Q48+Q55</f>
        <v>5102557.9407000002</v>
      </c>
      <c r="R47" s="29">
        <f t="shared" si="1"/>
        <v>5439893.9400000004</v>
      </c>
      <c r="S47" s="28">
        <f>S48+S55</f>
        <v>246000</v>
      </c>
      <c r="T47" s="28">
        <f>T48+T55</f>
        <v>984000</v>
      </c>
      <c r="U47" s="28">
        <f>U48+U55</f>
        <v>350631.18</v>
      </c>
      <c r="V47" s="28">
        <f>V48+V55</f>
        <v>0</v>
      </c>
      <c r="W47" s="29">
        <f t="shared" si="2"/>
        <v>1580631.18</v>
      </c>
    </row>
    <row r="48" spans="2:23" ht="32">
      <c r="B48" s="102"/>
      <c r="C48" s="105"/>
      <c r="D48" s="108"/>
      <c r="E48" s="108"/>
      <c r="F48" s="30" t="s">
        <v>28</v>
      </c>
      <c r="G48" s="31">
        <f t="shared" si="3"/>
        <v>5707744</v>
      </c>
      <c r="H48" s="32">
        <f>H50+H51+H52+H53+H54+H49</f>
        <v>0</v>
      </c>
      <c r="I48" s="32">
        <f>I50+I51+I52+I53+I54+I49</f>
        <v>0</v>
      </c>
      <c r="J48" s="32">
        <f>J50+J51+J52+J53+J54+J49</f>
        <v>0</v>
      </c>
      <c r="K48" s="32">
        <f>K50+K51+K52+K53+K54+K49</f>
        <v>0</v>
      </c>
      <c r="L48" s="32">
        <f>L50+L51+L52+L53+L54+L49</f>
        <v>0</v>
      </c>
      <c r="M48" s="32">
        <f t="shared" si="0"/>
        <v>0</v>
      </c>
      <c r="N48" s="32">
        <f>N49+N50+N51+N52+N53+N54</f>
        <v>0</v>
      </c>
      <c r="O48" s="32">
        <f>O49+O50+O51+O52+O53+O54</f>
        <v>0</v>
      </c>
      <c r="P48" s="32">
        <f>P49+P50+P51+P52+P53+P54</f>
        <v>274256.90999999997</v>
      </c>
      <c r="Q48" s="32">
        <f>Q49+Q50+Q51+Q52+Q53+Q54</f>
        <v>4148421.09</v>
      </c>
      <c r="R48" s="33">
        <f t="shared" si="1"/>
        <v>4422678</v>
      </c>
      <c r="S48" s="32">
        <f>S49+S50+S51+S52+S53+S54</f>
        <v>200000</v>
      </c>
      <c r="T48" s="32">
        <f>T49+T50+T51+T52+T53+T54</f>
        <v>800000</v>
      </c>
      <c r="U48" s="32">
        <f>U49+U50+U51+U52+U53+U54</f>
        <v>285066</v>
      </c>
      <c r="V48" s="32">
        <f>V49+V50+V51+V52+V53+V54</f>
        <v>0</v>
      </c>
      <c r="W48" s="33">
        <f t="shared" si="2"/>
        <v>1285066</v>
      </c>
    </row>
    <row r="49" spans="2:23" ht="30">
      <c r="B49" s="102"/>
      <c r="C49" s="105"/>
      <c r="D49" s="108"/>
      <c r="E49" s="108"/>
      <c r="F49" s="34" t="s">
        <v>29</v>
      </c>
      <c r="G49" s="31">
        <f t="shared" si="3"/>
        <v>5707744</v>
      </c>
      <c r="H49" s="35"/>
      <c r="I49" s="36"/>
      <c r="J49" s="36"/>
      <c r="K49" s="36"/>
      <c r="L49" s="36"/>
      <c r="M49" s="31">
        <f t="shared" si="0"/>
        <v>0</v>
      </c>
      <c r="N49" s="35"/>
      <c r="O49" s="35"/>
      <c r="P49" s="36">
        <v>274256.90999999997</v>
      </c>
      <c r="Q49" s="36">
        <v>4148421.09</v>
      </c>
      <c r="R49" s="33">
        <f t="shared" si="1"/>
        <v>4422678</v>
      </c>
      <c r="S49" s="35">
        <v>200000</v>
      </c>
      <c r="T49" s="35">
        <v>800000</v>
      </c>
      <c r="U49" s="36">
        <v>285066</v>
      </c>
      <c r="V49" s="36"/>
      <c r="W49" s="33">
        <f t="shared" si="2"/>
        <v>1285066</v>
      </c>
    </row>
    <row r="50" spans="2:23">
      <c r="B50" s="102"/>
      <c r="C50" s="105"/>
      <c r="D50" s="108"/>
      <c r="E50" s="108"/>
      <c r="F50" s="34" t="s">
        <v>30</v>
      </c>
      <c r="G50" s="31">
        <f t="shared" si="3"/>
        <v>0</v>
      </c>
      <c r="H50" s="36"/>
      <c r="I50" s="36"/>
      <c r="J50" s="36"/>
      <c r="K50" s="36"/>
      <c r="L50" s="36"/>
      <c r="M50" s="31">
        <f t="shared" si="0"/>
        <v>0</v>
      </c>
      <c r="N50" s="36"/>
      <c r="O50" s="36"/>
      <c r="P50" s="36"/>
      <c r="Q50" s="36"/>
      <c r="R50" s="33">
        <f t="shared" si="1"/>
        <v>0</v>
      </c>
      <c r="S50" s="36"/>
      <c r="T50" s="36"/>
      <c r="U50" s="36"/>
      <c r="V50" s="36"/>
      <c r="W50" s="33">
        <f t="shared" si="2"/>
        <v>0</v>
      </c>
    </row>
    <row r="51" spans="2:23">
      <c r="B51" s="102"/>
      <c r="C51" s="105"/>
      <c r="D51" s="108"/>
      <c r="E51" s="108"/>
      <c r="F51" s="34" t="s">
        <v>31</v>
      </c>
      <c r="G51" s="31">
        <f t="shared" si="3"/>
        <v>0</v>
      </c>
      <c r="H51" s="36"/>
      <c r="I51" s="36"/>
      <c r="J51" s="36"/>
      <c r="K51" s="60"/>
      <c r="L51" s="36"/>
      <c r="M51" s="31">
        <f t="shared" si="0"/>
        <v>0</v>
      </c>
      <c r="N51" s="36"/>
      <c r="O51" s="36"/>
      <c r="P51" s="36"/>
      <c r="Q51" s="36"/>
      <c r="R51" s="33">
        <f t="shared" si="1"/>
        <v>0</v>
      </c>
      <c r="S51" s="36"/>
      <c r="T51" s="36"/>
      <c r="U51" s="36"/>
      <c r="V51" s="36"/>
      <c r="W51" s="33">
        <f t="shared" si="2"/>
        <v>0</v>
      </c>
    </row>
    <row r="52" spans="2:23">
      <c r="B52" s="102"/>
      <c r="C52" s="105"/>
      <c r="D52" s="108"/>
      <c r="E52" s="108"/>
      <c r="F52" s="34" t="s">
        <v>32</v>
      </c>
      <c r="G52" s="31">
        <f t="shared" si="3"/>
        <v>0</v>
      </c>
      <c r="H52" s="36"/>
      <c r="I52" s="36"/>
      <c r="J52" s="36"/>
      <c r="K52" s="36"/>
      <c r="L52" s="36"/>
      <c r="M52" s="31">
        <f t="shared" si="0"/>
        <v>0</v>
      </c>
      <c r="N52" s="36"/>
      <c r="O52" s="36"/>
      <c r="P52" s="36"/>
      <c r="Q52" s="36"/>
      <c r="R52" s="33">
        <f t="shared" si="1"/>
        <v>0</v>
      </c>
      <c r="S52" s="36"/>
      <c r="T52" s="36"/>
      <c r="U52" s="36"/>
      <c r="V52" s="36"/>
      <c r="W52" s="33">
        <f t="shared" si="2"/>
        <v>0</v>
      </c>
    </row>
    <row r="53" spans="2:23">
      <c r="B53" s="102"/>
      <c r="C53" s="105"/>
      <c r="D53" s="108"/>
      <c r="E53" s="108"/>
      <c r="F53" s="34" t="s">
        <v>33</v>
      </c>
      <c r="G53" s="31">
        <f t="shared" si="3"/>
        <v>0</v>
      </c>
      <c r="H53" s="36"/>
      <c r="I53" s="36"/>
      <c r="J53" s="36"/>
      <c r="K53" s="36"/>
      <c r="L53" s="36"/>
      <c r="M53" s="31">
        <f t="shared" si="0"/>
        <v>0</v>
      </c>
      <c r="N53" s="36"/>
      <c r="O53" s="36"/>
      <c r="P53" s="36"/>
      <c r="Q53" s="36"/>
      <c r="R53" s="33">
        <f t="shared" si="1"/>
        <v>0</v>
      </c>
      <c r="S53" s="36"/>
      <c r="T53" s="36"/>
      <c r="U53" s="36"/>
      <c r="V53" s="36"/>
      <c r="W53" s="33">
        <f t="shared" si="2"/>
        <v>0</v>
      </c>
    </row>
    <row r="54" spans="2:23">
      <c r="B54" s="102"/>
      <c r="C54" s="105"/>
      <c r="D54" s="108"/>
      <c r="E54" s="108"/>
      <c r="F54" s="34" t="s">
        <v>34</v>
      </c>
      <c r="G54" s="31">
        <f t="shared" si="3"/>
        <v>0</v>
      </c>
      <c r="H54" s="36"/>
      <c r="I54" s="36"/>
      <c r="J54" s="36"/>
      <c r="K54" s="36"/>
      <c r="L54" s="36"/>
      <c r="M54" s="31">
        <f t="shared" si="0"/>
        <v>0</v>
      </c>
      <c r="N54" s="36"/>
      <c r="O54" s="36"/>
      <c r="P54" s="36"/>
      <c r="Q54" s="36"/>
      <c r="R54" s="33">
        <f t="shared" si="1"/>
        <v>0</v>
      </c>
      <c r="S54" s="36"/>
      <c r="T54" s="36"/>
      <c r="U54" s="36"/>
      <c r="V54" s="36"/>
      <c r="W54" s="33">
        <f t="shared" si="2"/>
        <v>0</v>
      </c>
    </row>
    <row r="55" spans="2:23" ht="32">
      <c r="B55" s="102"/>
      <c r="C55" s="105"/>
      <c r="D55" s="108"/>
      <c r="E55" s="108"/>
      <c r="F55" s="30" t="s">
        <v>35</v>
      </c>
      <c r="G55" s="31">
        <f t="shared" si="3"/>
        <v>1312781.1199999999</v>
      </c>
      <c r="H55" s="31">
        <f>H56+H57</f>
        <v>0</v>
      </c>
      <c r="I55" s="31">
        <f>I56+I57</f>
        <v>0</v>
      </c>
      <c r="J55" s="31">
        <f>J56+J57</f>
        <v>0</v>
      </c>
      <c r="K55" s="31">
        <f>K56+K57</f>
        <v>0</v>
      </c>
      <c r="L55" s="31">
        <f>L56+L57</f>
        <v>0</v>
      </c>
      <c r="M55" s="31">
        <f t="shared" si="0"/>
        <v>0</v>
      </c>
      <c r="N55" s="31">
        <f>N56+N57</f>
        <v>0</v>
      </c>
      <c r="O55" s="31">
        <f>O56+O57</f>
        <v>0</v>
      </c>
      <c r="P55" s="32">
        <f>P56+P57</f>
        <v>63079.0893</v>
      </c>
      <c r="Q55" s="32">
        <f>Q56+Q57</f>
        <v>954136.85069999995</v>
      </c>
      <c r="R55" s="33">
        <f t="shared" si="1"/>
        <v>1017215.94</v>
      </c>
      <c r="S55" s="31">
        <f>S56+S57</f>
        <v>46000</v>
      </c>
      <c r="T55" s="31">
        <f>T56+T57</f>
        <v>184000</v>
      </c>
      <c r="U55" s="32">
        <f>U56+U57</f>
        <v>65565.180000000008</v>
      </c>
      <c r="V55" s="32">
        <f>V56+V57</f>
        <v>0</v>
      </c>
      <c r="W55" s="33">
        <f t="shared" si="2"/>
        <v>295565.18</v>
      </c>
    </row>
    <row r="56" spans="2:23">
      <c r="B56" s="102"/>
      <c r="C56" s="105"/>
      <c r="D56" s="108"/>
      <c r="E56" s="108"/>
      <c r="F56" s="34" t="s">
        <v>36</v>
      </c>
      <c r="G56" s="31">
        <f t="shared" si="3"/>
        <v>1312781.1199999999</v>
      </c>
      <c r="H56" s="36"/>
      <c r="I56" s="36"/>
      <c r="J56" s="36"/>
      <c r="K56" s="36"/>
      <c r="L56" s="36"/>
      <c r="M56" s="31">
        <f t="shared" si="0"/>
        <v>0</v>
      </c>
      <c r="N56" s="36"/>
      <c r="O56" s="36"/>
      <c r="P56" s="36">
        <f>P49*0.23</f>
        <v>63079.0893</v>
      </c>
      <c r="Q56" s="36">
        <f>Q49*0.23</f>
        <v>954136.85069999995</v>
      </c>
      <c r="R56" s="33">
        <f t="shared" si="1"/>
        <v>1017215.94</v>
      </c>
      <c r="S56" s="36">
        <f>S49*0.23</f>
        <v>46000</v>
      </c>
      <c r="T56" s="36">
        <f>T49*0.23</f>
        <v>184000</v>
      </c>
      <c r="U56" s="36">
        <f>U49*0.23</f>
        <v>65565.180000000008</v>
      </c>
      <c r="V56" s="36">
        <f>V49*0.23</f>
        <v>0</v>
      </c>
      <c r="W56" s="33">
        <f t="shared" si="2"/>
        <v>295565.18</v>
      </c>
    </row>
    <row r="57" spans="2:23" ht="31" thickBot="1">
      <c r="B57" s="103"/>
      <c r="C57" s="106"/>
      <c r="D57" s="109"/>
      <c r="E57" s="109"/>
      <c r="F57" s="37" t="s">
        <v>37</v>
      </c>
      <c r="G57" s="31">
        <f t="shared" si="3"/>
        <v>0</v>
      </c>
      <c r="H57" s="39"/>
      <c r="I57" s="39"/>
      <c r="J57" s="39"/>
      <c r="K57" s="39"/>
      <c r="L57" s="39"/>
      <c r="M57" s="40">
        <f t="shared" si="0"/>
        <v>0</v>
      </c>
      <c r="N57" s="39"/>
      <c r="O57" s="39"/>
      <c r="P57" s="39"/>
      <c r="Q57" s="39"/>
      <c r="R57" s="41">
        <f t="shared" si="1"/>
        <v>0</v>
      </c>
      <c r="S57" s="39"/>
      <c r="T57" s="39"/>
      <c r="U57" s="39"/>
      <c r="V57" s="39"/>
      <c r="W57" s="41">
        <f t="shared" si="2"/>
        <v>0</v>
      </c>
    </row>
    <row r="58" spans="2:23" ht="16">
      <c r="B58" s="101" t="s">
        <v>40</v>
      </c>
      <c r="C58" s="104" t="s">
        <v>69</v>
      </c>
      <c r="D58" s="110" t="s">
        <v>39</v>
      </c>
      <c r="E58" s="110">
        <v>1</v>
      </c>
      <c r="F58" s="26" t="s">
        <v>27</v>
      </c>
      <c r="G58" s="31">
        <f t="shared" si="3"/>
        <v>10252585.148400001</v>
      </c>
      <c r="H58" s="28">
        <f>H59+H66</f>
        <v>0</v>
      </c>
      <c r="I58" s="28">
        <f>I59+I66</f>
        <v>0</v>
      </c>
      <c r="J58" s="28">
        <f>J59+J66</f>
        <v>0</v>
      </c>
      <c r="K58" s="28">
        <f>K59+K66</f>
        <v>0</v>
      </c>
      <c r="L58" s="28">
        <f>L59+L66</f>
        <v>0</v>
      </c>
      <c r="M58" s="28">
        <f t="shared" si="0"/>
        <v>0</v>
      </c>
      <c r="N58" s="28">
        <f>N59+N66</f>
        <v>0</v>
      </c>
      <c r="O58" s="28">
        <f>O59+O66</f>
        <v>0</v>
      </c>
      <c r="P58" s="28">
        <f>P59+P66</f>
        <v>229424.64300000001</v>
      </c>
      <c r="Q58" s="28">
        <f>Q59+Q66</f>
        <v>8119551.6204000004</v>
      </c>
      <c r="R58" s="29">
        <f t="shared" si="1"/>
        <v>8348976.2634000005</v>
      </c>
      <c r="S58" s="28">
        <f>S59+S66</f>
        <v>307500</v>
      </c>
      <c r="T58" s="28">
        <f>T59+T66</f>
        <v>612108.88500000001</v>
      </c>
      <c r="U58" s="28">
        <f>U59+U66</f>
        <v>984000</v>
      </c>
      <c r="V58" s="28">
        <f>V59+V66</f>
        <v>0</v>
      </c>
      <c r="W58" s="29">
        <f t="shared" si="2"/>
        <v>1903608.885</v>
      </c>
    </row>
    <row r="59" spans="2:23" ht="32">
      <c r="B59" s="102"/>
      <c r="C59" s="105"/>
      <c r="D59" s="111"/>
      <c r="E59" s="108"/>
      <c r="F59" s="30" t="s">
        <v>28</v>
      </c>
      <c r="G59" s="31">
        <f t="shared" si="3"/>
        <v>8335435.0800000001</v>
      </c>
      <c r="H59" s="32">
        <f>H61+H62+H63+H64+H65+H60</f>
        <v>0</v>
      </c>
      <c r="I59" s="32">
        <f>I61+I62+I63+I64+I65+I60</f>
        <v>0</v>
      </c>
      <c r="J59" s="32">
        <f>J61+J62+J63+J64+J65+J60</f>
        <v>0</v>
      </c>
      <c r="K59" s="32">
        <f>K61+K62+K63+K64+K65+K60</f>
        <v>0</v>
      </c>
      <c r="L59" s="32">
        <f>L61+L62+L63+L64+L65+L60</f>
        <v>0</v>
      </c>
      <c r="M59" s="32">
        <f t="shared" si="0"/>
        <v>0</v>
      </c>
      <c r="N59" s="32">
        <f>N60+N61+N62+N63+N64+N65</f>
        <v>0</v>
      </c>
      <c r="O59" s="32">
        <f>O60+O61+O62+O63+O64+O65</f>
        <v>0</v>
      </c>
      <c r="P59" s="32">
        <f>P60+P61+P62+P63+P64+P65</f>
        <v>186524.1</v>
      </c>
      <c r="Q59" s="32">
        <f>Q60+Q61+Q62+Q63+Q64+Q65</f>
        <v>6601261.4800000004</v>
      </c>
      <c r="R59" s="33">
        <f t="shared" si="1"/>
        <v>6787785.5800000001</v>
      </c>
      <c r="S59" s="32">
        <f>S60+S61+S62+S63+S64+S65</f>
        <v>250000</v>
      </c>
      <c r="T59" s="32">
        <f>T60+T61+T62+T63+T64+T65</f>
        <v>497649.5</v>
      </c>
      <c r="U59" s="32">
        <f>U60+U61+U62+U63+U64+U65</f>
        <v>800000</v>
      </c>
      <c r="V59" s="32">
        <f>V60+V61+V62+V63+V64+V65</f>
        <v>0</v>
      </c>
      <c r="W59" s="33">
        <f t="shared" si="2"/>
        <v>1547649.5</v>
      </c>
    </row>
    <row r="60" spans="2:23" ht="30">
      <c r="B60" s="102"/>
      <c r="C60" s="105"/>
      <c r="D60" s="111"/>
      <c r="E60" s="108"/>
      <c r="F60" s="34" t="s">
        <v>29</v>
      </c>
      <c r="G60" s="31">
        <f t="shared" si="3"/>
        <v>8335435.0800000001</v>
      </c>
      <c r="H60" s="35"/>
      <c r="I60" s="36"/>
      <c r="J60" s="36"/>
      <c r="K60" s="36"/>
      <c r="L60" s="36"/>
      <c r="M60" s="31">
        <f t="shared" si="0"/>
        <v>0</v>
      </c>
      <c r="N60" s="36"/>
      <c r="O60" s="36"/>
      <c r="P60" s="36">
        <v>186524.1</v>
      </c>
      <c r="Q60" s="36">
        <v>6601261.4800000004</v>
      </c>
      <c r="R60" s="33">
        <f t="shared" si="1"/>
        <v>6787785.5800000001</v>
      </c>
      <c r="S60" s="36">
        <v>250000</v>
      </c>
      <c r="T60" s="36">
        <v>497649.5</v>
      </c>
      <c r="U60" s="36">
        <v>800000</v>
      </c>
      <c r="V60" s="36"/>
      <c r="W60" s="33">
        <f t="shared" si="2"/>
        <v>1547649.5</v>
      </c>
    </row>
    <row r="61" spans="2:23">
      <c r="B61" s="102"/>
      <c r="C61" s="105"/>
      <c r="D61" s="111"/>
      <c r="E61" s="108"/>
      <c r="F61" s="34" t="s">
        <v>30</v>
      </c>
      <c r="G61" s="31">
        <f t="shared" si="3"/>
        <v>0</v>
      </c>
      <c r="H61" s="36"/>
      <c r="I61" s="36"/>
      <c r="J61" s="36"/>
      <c r="K61" s="36"/>
      <c r="L61" s="36"/>
      <c r="M61" s="31">
        <f t="shared" si="0"/>
        <v>0</v>
      </c>
      <c r="N61" s="36"/>
      <c r="O61" s="36"/>
      <c r="P61" s="36"/>
      <c r="Q61" s="36"/>
      <c r="R61" s="33">
        <f t="shared" si="1"/>
        <v>0</v>
      </c>
      <c r="S61" s="36"/>
      <c r="T61" s="36"/>
      <c r="U61" s="36"/>
      <c r="V61" s="36"/>
      <c r="W61" s="33">
        <f t="shared" si="2"/>
        <v>0</v>
      </c>
    </row>
    <row r="62" spans="2:23">
      <c r="B62" s="102"/>
      <c r="C62" s="105"/>
      <c r="D62" s="111"/>
      <c r="E62" s="108"/>
      <c r="F62" s="34" t="s">
        <v>31</v>
      </c>
      <c r="G62" s="31">
        <f t="shared" si="3"/>
        <v>0</v>
      </c>
      <c r="H62" s="36"/>
      <c r="I62" s="36"/>
      <c r="J62" s="36"/>
      <c r="K62" s="36"/>
      <c r="L62" s="36"/>
      <c r="M62" s="31">
        <f t="shared" si="0"/>
        <v>0</v>
      </c>
      <c r="N62" s="36"/>
      <c r="O62" s="36"/>
      <c r="P62" s="36"/>
      <c r="Q62" s="36"/>
      <c r="R62" s="33">
        <f t="shared" si="1"/>
        <v>0</v>
      </c>
      <c r="S62" s="36"/>
      <c r="T62" s="36"/>
      <c r="U62" s="36"/>
      <c r="V62" s="36"/>
      <c r="W62" s="33">
        <f t="shared" si="2"/>
        <v>0</v>
      </c>
    </row>
    <row r="63" spans="2:23">
      <c r="B63" s="102"/>
      <c r="C63" s="105"/>
      <c r="D63" s="111"/>
      <c r="E63" s="108"/>
      <c r="F63" s="34" t="s">
        <v>32</v>
      </c>
      <c r="G63" s="31">
        <f t="shared" si="3"/>
        <v>0</v>
      </c>
      <c r="H63" s="36"/>
      <c r="I63" s="36"/>
      <c r="J63" s="36"/>
      <c r="K63" s="36"/>
      <c r="L63" s="36"/>
      <c r="M63" s="31">
        <f t="shared" si="0"/>
        <v>0</v>
      </c>
      <c r="N63" s="36"/>
      <c r="O63" s="36"/>
      <c r="P63" s="36"/>
      <c r="Q63" s="36"/>
      <c r="R63" s="33">
        <f t="shared" si="1"/>
        <v>0</v>
      </c>
      <c r="S63" s="36"/>
      <c r="T63" s="36"/>
      <c r="U63" s="36"/>
      <c r="V63" s="36"/>
      <c r="W63" s="33">
        <f t="shared" si="2"/>
        <v>0</v>
      </c>
    </row>
    <row r="64" spans="2:23">
      <c r="B64" s="102"/>
      <c r="C64" s="105"/>
      <c r="D64" s="111"/>
      <c r="E64" s="108"/>
      <c r="F64" s="34" t="s">
        <v>33</v>
      </c>
      <c r="G64" s="31">
        <f t="shared" si="3"/>
        <v>0</v>
      </c>
      <c r="H64" s="36"/>
      <c r="I64" s="36"/>
      <c r="J64" s="36"/>
      <c r="K64" s="36"/>
      <c r="L64" s="36"/>
      <c r="M64" s="31">
        <f t="shared" si="0"/>
        <v>0</v>
      </c>
      <c r="N64" s="36"/>
      <c r="O64" s="36"/>
      <c r="P64" s="36"/>
      <c r="Q64" s="36"/>
      <c r="R64" s="33">
        <f t="shared" si="1"/>
        <v>0</v>
      </c>
      <c r="S64" s="36"/>
      <c r="T64" s="36"/>
      <c r="U64" s="36"/>
      <c r="V64" s="36"/>
      <c r="W64" s="33">
        <f t="shared" si="2"/>
        <v>0</v>
      </c>
    </row>
    <row r="65" spans="2:23">
      <c r="B65" s="102"/>
      <c r="C65" s="105"/>
      <c r="D65" s="111"/>
      <c r="E65" s="108"/>
      <c r="F65" s="34" t="s">
        <v>34</v>
      </c>
      <c r="G65" s="31">
        <f t="shared" si="3"/>
        <v>0</v>
      </c>
      <c r="H65" s="36"/>
      <c r="I65" s="36"/>
      <c r="J65" s="36"/>
      <c r="K65" s="36"/>
      <c r="L65" s="36"/>
      <c r="M65" s="31">
        <f t="shared" si="0"/>
        <v>0</v>
      </c>
      <c r="N65" s="36"/>
      <c r="O65" s="36"/>
      <c r="P65" s="36"/>
      <c r="Q65" s="36"/>
      <c r="R65" s="33">
        <f t="shared" si="1"/>
        <v>0</v>
      </c>
      <c r="S65" s="36"/>
      <c r="T65" s="36"/>
      <c r="U65" s="36"/>
      <c r="V65" s="36"/>
      <c r="W65" s="33">
        <f t="shared" si="2"/>
        <v>0</v>
      </c>
    </row>
    <row r="66" spans="2:23" ht="32">
      <c r="B66" s="102"/>
      <c r="C66" s="105"/>
      <c r="D66" s="111"/>
      <c r="E66" s="108"/>
      <c r="F66" s="30" t="s">
        <v>35</v>
      </c>
      <c r="G66" s="31">
        <f t="shared" si="3"/>
        <v>1917150.0684000002</v>
      </c>
      <c r="H66" s="31">
        <f>H67+H68</f>
        <v>0</v>
      </c>
      <c r="I66" s="31">
        <f>I67+I68</f>
        <v>0</v>
      </c>
      <c r="J66" s="31">
        <f>J67+J68</f>
        <v>0</v>
      </c>
      <c r="K66" s="31">
        <f>K67+K68</f>
        <v>0</v>
      </c>
      <c r="L66" s="31">
        <f>L67+L68</f>
        <v>0</v>
      </c>
      <c r="M66" s="31">
        <f t="shared" si="0"/>
        <v>0</v>
      </c>
      <c r="N66" s="31">
        <f>N67+N68</f>
        <v>0</v>
      </c>
      <c r="O66" s="31">
        <f>O67+O68</f>
        <v>0</v>
      </c>
      <c r="P66" s="32">
        <f>P67+P68</f>
        <v>42900.543000000005</v>
      </c>
      <c r="Q66" s="32">
        <f>Q67+Q68</f>
        <v>1518290.1404000001</v>
      </c>
      <c r="R66" s="33">
        <f t="shared" si="1"/>
        <v>1561190.6834000002</v>
      </c>
      <c r="S66" s="31">
        <f>S67+S68</f>
        <v>57500</v>
      </c>
      <c r="T66" s="31">
        <f>T67+T68</f>
        <v>114459.38500000001</v>
      </c>
      <c r="U66" s="32">
        <f>U67+U68</f>
        <v>184000</v>
      </c>
      <c r="V66" s="32">
        <f>V67+V68</f>
        <v>0</v>
      </c>
      <c r="W66" s="33">
        <f t="shared" si="2"/>
        <v>355959.38500000001</v>
      </c>
    </row>
    <row r="67" spans="2:23">
      <c r="B67" s="102"/>
      <c r="C67" s="105"/>
      <c r="D67" s="111"/>
      <c r="E67" s="108"/>
      <c r="F67" s="34" t="s">
        <v>36</v>
      </c>
      <c r="G67" s="31">
        <f t="shared" si="3"/>
        <v>1917150.0684000002</v>
      </c>
      <c r="H67" s="36"/>
      <c r="I67" s="36"/>
      <c r="J67" s="36"/>
      <c r="K67" s="36"/>
      <c r="L67" s="36"/>
      <c r="M67" s="31">
        <f t="shared" si="0"/>
        <v>0</v>
      </c>
      <c r="N67" s="36"/>
      <c r="O67" s="36"/>
      <c r="P67" s="36">
        <f>P60*0.23</f>
        <v>42900.543000000005</v>
      </c>
      <c r="Q67" s="36">
        <f>Q60*0.23</f>
        <v>1518290.1404000001</v>
      </c>
      <c r="R67" s="33">
        <f t="shared" si="1"/>
        <v>1561190.6834000002</v>
      </c>
      <c r="S67" s="36">
        <f>S60*0.23</f>
        <v>57500</v>
      </c>
      <c r="T67" s="36">
        <f>T60*0.23</f>
        <v>114459.38500000001</v>
      </c>
      <c r="U67" s="36">
        <f>U60*0.23</f>
        <v>184000</v>
      </c>
      <c r="V67" s="36">
        <f>V60*0.23</f>
        <v>0</v>
      </c>
      <c r="W67" s="33">
        <f t="shared" si="2"/>
        <v>355959.38500000001</v>
      </c>
    </row>
    <row r="68" spans="2:23" ht="31" thickBot="1">
      <c r="B68" s="103"/>
      <c r="C68" s="106"/>
      <c r="D68" s="112"/>
      <c r="E68" s="109"/>
      <c r="F68" s="37" t="s">
        <v>37</v>
      </c>
      <c r="G68" s="31">
        <f t="shared" si="3"/>
        <v>0</v>
      </c>
      <c r="H68" s="39"/>
      <c r="I68" s="39"/>
      <c r="J68" s="39"/>
      <c r="K68" s="39"/>
      <c r="L68" s="39"/>
      <c r="M68" s="40">
        <f t="shared" si="0"/>
        <v>0</v>
      </c>
      <c r="N68" s="39"/>
      <c r="O68" s="39"/>
      <c r="P68" s="39"/>
      <c r="Q68" s="39"/>
      <c r="R68" s="41">
        <f t="shared" si="1"/>
        <v>0</v>
      </c>
      <c r="S68" s="39"/>
      <c r="T68" s="39"/>
      <c r="U68" s="39"/>
      <c r="V68" s="39"/>
      <c r="W68" s="41">
        <f t="shared" si="2"/>
        <v>0</v>
      </c>
    </row>
    <row r="69" spans="2:23" ht="16">
      <c r="B69" s="113" t="s">
        <v>41</v>
      </c>
      <c r="C69" s="114" t="s">
        <v>70</v>
      </c>
      <c r="D69" s="110" t="s">
        <v>39</v>
      </c>
      <c r="E69" s="110">
        <v>1</v>
      </c>
      <c r="F69" s="26" t="s">
        <v>27</v>
      </c>
      <c r="G69" s="31">
        <f t="shared" si="3"/>
        <v>1391256.69</v>
      </c>
      <c r="H69" s="28">
        <f>H70+H77</f>
        <v>0</v>
      </c>
      <c r="I69" s="28">
        <f>I70+I77</f>
        <v>0</v>
      </c>
      <c r="J69" s="28">
        <f>J70+J77</f>
        <v>0</v>
      </c>
      <c r="K69" s="28">
        <f>K70+K77</f>
        <v>0</v>
      </c>
      <c r="L69" s="28">
        <f>L70+L77</f>
        <v>0</v>
      </c>
      <c r="M69" s="28">
        <f t="shared" si="0"/>
        <v>0</v>
      </c>
      <c r="N69" s="28">
        <f>N70+N77</f>
        <v>0</v>
      </c>
      <c r="O69" s="28">
        <f>O70+O77</f>
        <v>0</v>
      </c>
      <c r="P69" s="28">
        <f>P70+P77</f>
        <v>51963.305699999997</v>
      </c>
      <c r="Q69" s="28">
        <f>Q70+Q77</f>
        <v>511317.74040000001</v>
      </c>
      <c r="R69" s="29">
        <f t="shared" si="1"/>
        <v>563281.04610000004</v>
      </c>
      <c r="S69" s="28">
        <f>S70+S77</f>
        <v>184500</v>
      </c>
      <c r="T69" s="28">
        <f>T70+T77</f>
        <v>307500</v>
      </c>
      <c r="U69" s="28">
        <f>U70+U77</f>
        <v>335975.64390000002</v>
      </c>
      <c r="V69" s="28">
        <f>V70+V77</f>
        <v>0</v>
      </c>
      <c r="W69" s="29">
        <f t="shared" si="2"/>
        <v>827975.64390000002</v>
      </c>
    </row>
    <row r="70" spans="2:23" ht="32">
      <c r="B70" s="102"/>
      <c r="C70" s="105"/>
      <c r="D70" s="108"/>
      <c r="E70" s="108"/>
      <c r="F70" s="30" t="s">
        <v>28</v>
      </c>
      <c r="G70" s="31">
        <f t="shared" si="3"/>
        <v>1131103</v>
      </c>
      <c r="H70" s="32">
        <f>H72+H73+H74+H75+H76+H71</f>
        <v>0</v>
      </c>
      <c r="I70" s="32">
        <f>I72+I73+I74+I75+I76+I71</f>
        <v>0</v>
      </c>
      <c r="J70" s="32">
        <f>J72+J73+J74+J75+J76+J71</f>
        <v>0</v>
      </c>
      <c r="K70" s="32">
        <f>K72+K73+K74+K75+K76+K71</f>
        <v>0</v>
      </c>
      <c r="L70" s="32">
        <f>L72+L73+L74+L75+L76+L71</f>
        <v>0</v>
      </c>
      <c r="M70" s="32">
        <f t="shared" si="0"/>
        <v>0</v>
      </c>
      <c r="N70" s="32">
        <f>N71+N72+N73+N74+N75+N76</f>
        <v>0</v>
      </c>
      <c r="O70" s="32">
        <f>O71+O72+O73+O74+O75+O76</f>
        <v>0</v>
      </c>
      <c r="P70" s="32">
        <f>P71+P72+P73+P74+P75+P76</f>
        <v>42246.59</v>
      </c>
      <c r="Q70" s="32">
        <f>Q71+Q72+Q73+Q74+Q75+Q76</f>
        <v>415705.48</v>
      </c>
      <c r="R70" s="33">
        <f t="shared" si="1"/>
        <v>457952.06999999995</v>
      </c>
      <c r="S70" s="32">
        <f>S71+S72+S73+S74+S75+S76</f>
        <v>150000</v>
      </c>
      <c r="T70" s="32">
        <f>T71+T72+T73+T74+T75+T76</f>
        <v>250000</v>
      </c>
      <c r="U70" s="32">
        <f>U71+U72+U73+U74+U75+U76</f>
        <v>273150.93</v>
      </c>
      <c r="V70" s="32">
        <f>V71+V72+V73+V74+V75+V76</f>
        <v>0</v>
      </c>
      <c r="W70" s="33">
        <f t="shared" si="2"/>
        <v>673150.92999999993</v>
      </c>
    </row>
    <row r="71" spans="2:23" ht="30">
      <c r="B71" s="102"/>
      <c r="C71" s="105"/>
      <c r="D71" s="108"/>
      <c r="E71" s="108"/>
      <c r="F71" s="34" t="s">
        <v>29</v>
      </c>
      <c r="G71" s="31">
        <f t="shared" si="3"/>
        <v>1131103</v>
      </c>
      <c r="H71" s="35"/>
      <c r="I71" s="36"/>
      <c r="J71" s="36"/>
      <c r="K71" s="36"/>
      <c r="L71" s="36"/>
      <c r="M71" s="31">
        <f t="shared" si="0"/>
        <v>0</v>
      </c>
      <c r="N71" s="36"/>
      <c r="O71" s="36"/>
      <c r="P71" s="36">
        <v>42246.59</v>
      </c>
      <c r="Q71" s="36">
        <v>415705.48</v>
      </c>
      <c r="R71" s="33">
        <f t="shared" si="1"/>
        <v>457952.06999999995</v>
      </c>
      <c r="S71" s="36">
        <v>150000</v>
      </c>
      <c r="T71" s="36">
        <v>250000</v>
      </c>
      <c r="U71" s="36">
        <v>273150.93</v>
      </c>
      <c r="V71" s="36"/>
      <c r="W71" s="33">
        <f t="shared" si="2"/>
        <v>673150.92999999993</v>
      </c>
    </row>
    <row r="72" spans="2:23">
      <c r="B72" s="102"/>
      <c r="C72" s="105"/>
      <c r="D72" s="108"/>
      <c r="E72" s="108"/>
      <c r="F72" s="34" t="s">
        <v>30</v>
      </c>
      <c r="G72" s="31">
        <f t="shared" si="3"/>
        <v>0</v>
      </c>
      <c r="H72" s="36"/>
      <c r="I72" s="36"/>
      <c r="J72" s="36"/>
      <c r="K72" s="36"/>
      <c r="L72" s="36"/>
      <c r="M72" s="31">
        <f t="shared" si="0"/>
        <v>0</v>
      </c>
      <c r="N72" s="36"/>
      <c r="O72" s="36"/>
      <c r="P72" s="36"/>
      <c r="Q72" s="36"/>
      <c r="R72" s="33">
        <f t="shared" si="1"/>
        <v>0</v>
      </c>
      <c r="S72" s="36"/>
      <c r="T72" s="36"/>
      <c r="U72" s="36"/>
      <c r="V72" s="36"/>
      <c r="W72" s="33">
        <f t="shared" si="2"/>
        <v>0</v>
      </c>
    </row>
    <row r="73" spans="2:23">
      <c r="B73" s="102"/>
      <c r="C73" s="105"/>
      <c r="D73" s="108"/>
      <c r="E73" s="108"/>
      <c r="F73" s="34" t="s">
        <v>31</v>
      </c>
      <c r="G73" s="31">
        <f t="shared" si="3"/>
        <v>0</v>
      </c>
      <c r="H73" s="36"/>
      <c r="I73" s="36"/>
      <c r="J73" s="36"/>
      <c r="K73" s="36"/>
      <c r="L73" s="36"/>
      <c r="M73" s="31">
        <f t="shared" si="0"/>
        <v>0</v>
      </c>
      <c r="N73" s="36"/>
      <c r="O73" s="36"/>
      <c r="P73" s="36"/>
      <c r="Q73" s="36"/>
      <c r="R73" s="33">
        <f t="shared" si="1"/>
        <v>0</v>
      </c>
      <c r="S73" s="36"/>
      <c r="T73" s="36"/>
      <c r="U73" s="36"/>
      <c r="V73" s="36"/>
      <c r="W73" s="33">
        <f t="shared" si="2"/>
        <v>0</v>
      </c>
    </row>
    <row r="74" spans="2:23">
      <c r="B74" s="102"/>
      <c r="C74" s="105"/>
      <c r="D74" s="108"/>
      <c r="E74" s="108"/>
      <c r="F74" s="34" t="s">
        <v>32</v>
      </c>
      <c r="G74" s="31">
        <f t="shared" si="3"/>
        <v>0</v>
      </c>
      <c r="H74" s="36"/>
      <c r="I74" s="36"/>
      <c r="J74" s="36"/>
      <c r="K74" s="36"/>
      <c r="L74" s="36"/>
      <c r="M74" s="31">
        <f t="shared" si="0"/>
        <v>0</v>
      </c>
      <c r="N74" s="36"/>
      <c r="O74" s="36"/>
      <c r="P74" s="36"/>
      <c r="Q74" s="36"/>
      <c r="R74" s="33">
        <f t="shared" si="1"/>
        <v>0</v>
      </c>
      <c r="S74" s="36"/>
      <c r="T74" s="36"/>
      <c r="U74" s="36"/>
      <c r="V74" s="36"/>
      <c r="W74" s="33">
        <f t="shared" si="2"/>
        <v>0</v>
      </c>
    </row>
    <row r="75" spans="2:23">
      <c r="B75" s="102"/>
      <c r="C75" s="105"/>
      <c r="D75" s="108"/>
      <c r="E75" s="108"/>
      <c r="F75" s="34" t="s">
        <v>33</v>
      </c>
      <c r="G75" s="31">
        <f t="shared" si="3"/>
        <v>0</v>
      </c>
      <c r="H75" s="36"/>
      <c r="I75" s="36"/>
      <c r="J75" s="36"/>
      <c r="K75" s="36"/>
      <c r="L75" s="36"/>
      <c r="M75" s="31">
        <f t="shared" si="0"/>
        <v>0</v>
      </c>
      <c r="N75" s="36"/>
      <c r="O75" s="36"/>
      <c r="P75" s="36"/>
      <c r="Q75" s="36"/>
      <c r="R75" s="33">
        <f t="shared" si="1"/>
        <v>0</v>
      </c>
      <c r="S75" s="36"/>
      <c r="T75" s="36"/>
      <c r="U75" s="36"/>
      <c r="V75" s="36"/>
      <c r="W75" s="33">
        <f t="shared" si="2"/>
        <v>0</v>
      </c>
    </row>
    <row r="76" spans="2:23">
      <c r="B76" s="102"/>
      <c r="C76" s="105"/>
      <c r="D76" s="108"/>
      <c r="E76" s="108"/>
      <c r="F76" s="34" t="s">
        <v>34</v>
      </c>
      <c r="G76" s="31">
        <f t="shared" si="3"/>
        <v>0</v>
      </c>
      <c r="H76" s="36"/>
      <c r="I76" s="36"/>
      <c r="J76" s="36"/>
      <c r="K76" s="36"/>
      <c r="L76" s="36"/>
      <c r="M76" s="31">
        <f t="shared" si="0"/>
        <v>0</v>
      </c>
      <c r="N76" s="36"/>
      <c r="O76" s="36"/>
      <c r="P76" s="36"/>
      <c r="Q76" s="36"/>
      <c r="R76" s="33">
        <f t="shared" si="1"/>
        <v>0</v>
      </c>
      <c r="S76" s="36"/>
      <c r="T76" s="36"/>
      <c r="U76" s="36"/>
      <c r="V76" s="36"/>
      <c r="W76" s="33">
        <f t="shared" si="2"/>
        <v>0</v>
      </c>
    </row>
    <row r="77" spans="2:23" ht="32">
      <c r="B77" s="102"/>
      <c r="C77" s="105"/>
      <c r="D77" s="108"/>
      <c r="E77" s="108"/>
      <c r="F77" s="30" t="s">
        <v>35</v>
      </c>
      <c r="G77" s="31">
        <f t="shared" si="3"/>
        <v>260153.69</v>
      </c>
      <c r="H77" s="31">
        <f>H78+H79</f>
        <v>0</v>
      </c>
      <c r="I77" s="31">
        <f>I78+I79</f>
        <v>0</v>
      </c>
      <c r="J77" s="31">
        <f>J78+J79</f>
        <v>0</v>
      </c>
      <c r="K77" s="31">
        <f>K78+K79</f>
        <v>0</v>
      </c>
      <c r="L77" s="31">
        <f>L78+L79</f>
        <v>0</v>
      </c>
      <c r="M77" s="31">
        <f t="shared" si="0"/>
        <v>0</v>
      </c>
      <c r="N77" s="31">
        <f>N78+N79</f>
        <v>0</v>
      </c>
      <c r="O77" s="31">
        <f>O78+O79</f>
        <v>0</v>
      </c>
      <c r="P77" s="32">
        <f>P78+P79</f>
        <v>9716.7156999999988</v>
      </c>
      <c r="Q77" s="32">
        <f>Q78+Q79</f>
        <v>95612.260399999999</v>
      </c>
      <c r="R77" s="33">
        <f t="shared" si="1"/>
        <v>105328.9761</v>
      </c>
      <c r="S77" s="31">
        <f>S78+S79</f>
        <v>34500</v>
      </c>
      <c r="T77" s="31">
        <f>T78+T79</f>
        <v>57500</v>
      </c>
      <c r="U77" s="32">
        <f>U78+U79</f>
        <v>62824.713900000002</v>
      </c>
      <c r="V77" s="32">
        <f>V78+V79</f>
        <v>0</v>
      </c>
      <c r="W77" s="33">
        <f t="shared" si="2"/>
        <v>154824.7139</v>
      </c>
    </row>
    <row r="78" spans="2:23">
      <c r="B78" s="102"/>
      <c r="C78" s="105"/>
      <c r="D78" s="108"/>
      <c r="E78" s="108"/>
      <c r="F78" s="34" t="s">
        <v>36</v>
      </c>
      <c r="G78" s="31">
        <f t="shared" si="3"/>
        <v>260153.69</v>
      </c>
      <c r="H78" s="36"/>
      <c r="I78" s="36"/>
      <c r="J78" s="36"/>
      <c r="K78" s="36"/>
      <c r="L78" s="36"/>
      <c r="M78" s="31">
        <f t="shared" ref="M78:M141" si="4">I78+J78+K78+L78</f>
        <v>0</v>
      </c>
      <c r="N78" s="36"/>
      <c r="O78" s="36"/>
      <c r="P78" s="36">
        <f>P71*0.23</f>
        <v>9716.7156999999988</v>
      </c>
      <c r="Q78" s="36">
        <f>Q71*0.23</f>
        <v>95612.260399999999</v>
      </c>
      <c r="R78" s="33">
        <f t="shared" ref="R78:R141" si="5">N78+O78+P78+Q78</f>
        <v>105328.9761</v>
      </c>
      <c r="S78" s="36">
        <f>S71*0.23</f>
        <v>34500</v>
      </c>
      <c r="T78" s="36">
        <f>T71*0.23</f>
        <v>57500</v>
      </c>
      <c r="U78" s="36">
        <f>U71*0.23</f>
        <v>62824.713900000002</v>
      </c>
      <c r="V78" s="36">
        <f>V71*0.23</f>
        <v>0</v>
      </c>
      <c r="W78" s="33">
        <f t="shared" ref="W78:W141" si="6">S78+T78+U78+V78</f>
        <v>154824.7139</v>
      </c>
    </row>
    <row r="79" spans="2:23" ht="31" thickBot="1">
      <c r="B79" s="103"/>
      <c r="C79" s="106"/>
      <c r="D79" s="109"/>
      <c r="E79" s="109"/>
      <c r="F79" s="37" t="s">
        <v>37</v>
      </c>
      <c r="G79" s="31">
        <f t="shared" si="3"/>
        <v>0</v>
      </c>
      <c r="H79" s="39"/>
      <c r="I79" s="39"/>
      <c r="J79" s="39"/>
      <c r="K79" s="39"/>
      <c r="L79" s="39"/>
      <c r="M79" s="40">
        <f t="shared" si="4"/>
        <v>0</v>
      </c>
      <c r="N79" s="39"/>
      <c r="O79" s="39"/>
      <c r="P79" s="39"/>
      <c r="Q79" s="39"/>
      <c r="R79" s="41">
        <f t="shared" si="5"/>
        <v>0</v>
      </c>
      <c r="S79" s="39"/>
      <c r="T79" s="39"/>
      <c r="U79" s="39"/>
      <c r="V79" s="39"/>
      <c r="W79" s="41">
        <f t="shared" si="6"/>
        <v>0</v>
      </c>
    </row>
    <row r="80" spans="2:23" ht="16">
      <c r="B80" s="101" t="s">
        <v>42</v>
      </c>
      <c r="C80" s="114" t="s">
        <v>71</v>
      </c>
      <c r="D80" s="110" t="s">
        <v>39</v>
      </c>
      <c r="E80" s="110">
        <v>1</v>
      </c>
      <c r="F80" s="26" t="s">
        <v>27</v>
      </c>
      <c r="G80" s="31">
        <f t="shared" si="3"/>
        <v>4887972.03</v>
      </c>
      <c r="H80" s="28">
        <f>H81+H88</f>
        <v>0</v>
      </c>
      <c r="I80" s="28">
        <f>I81+I88</f>
        <v>0</v>
      </c>
      <c r="J80" s="28">
        <f>J81+J88</f>
        <v>0</v>
      </c>
      <c r="K80" s="28">
        <f>K81+K88</f>
        <v>0</v>
      </c>
      <c r="L80" s="28">
        <f>L81+L88</f>
        <v>0</v>
      </c>
      <c r="M80" s="28">
        <f t="shared" si="4"/>
        <v>0</v>
      </c>
      <c r="N80" s="28">
        <f>N81+N88</f>
        <v>0</v>
      </c>
      <c r="O80" s="28">
        <f>O81+O88</f>
        <v>0</v>
      </c>
      <c r="P80" s="28">
        <f>P81+P88</f>
        <v>138207.3756</v>
      </c>
      <c r="Q80" s="28">
        <f>Q81+Q88</f>
        <v>2150122.5453000003</v>
      </c>
      <c r="R80" s="29">
        <f t="shared" si="5"/>
        <v>2288329.9209000003</v>
      </c>
      <c r="S80" s="28">
        <f>S81+S88</f>
        <v>984000</v>
      </c>
      <c r="T80" s="28">
        <f>T81+T88</f>
        <v>861000</v>
      </c>
      <c r="U80" s="28">
        <f>U81+U88</f>
        <v>754642.1091</v>
      </c>
      <c r="V80" s="28">
        <f>V81+V88</f>
        <v>0</v>
      </c>
      <c r="W80" s="29">
        <f t="shared" si="6"/>
        <v>2599642.1091</v>
      </c>
    </row>
    <row r="81" spans="2:23" ht="32">
      <c r="B81" s="102"/>
      <c r="C81" s="105"/>
      <c r="D81" s="108"/>
      <c r="E81" s="108"/>
      <c r="F81" s="30" t="s">
        <v>28</v>
      </c>
      <c r="G81" s="31">
        <f t="shared" ref="G81:G144" si="7">H81+M81+R81+W81</f>
        <v>3973961</v>
      </c>
      <c r="H81" s="32">
        <f>H83+H84+H85+H86+H87+H82</f>
        <v>0</v>
      </c>
      <c r="I81" s="32">
        <f>I83+I84+I85+I86+I87+I82</f>
        <v>0</v>
      </c>
      <c r="J81" s="32">
        <f>J83+J84+J85+J86+J87+J82</f>
        <v>0</v>
      </c>
      <c r="K81" s="32">
        <f>K83+K84+K85+K86+K87+K82</f>
        <v>0</v>
      </c>
      <c r="L81" s="32">
        <f>L83+L84+L85+L86+L87+L82</f>
        <v>0</v>
      </c>
      <c r="M81" s="32">
        <f t="shared" si="4"/>
        <v>0</v>
      </c>
      <c r="N81" s="32">
        <f>N82+N83+N84+N85+N86+N87</f>
        <v>0</v>
      </c>
      <c r="O81" s="32">
        <f>O82+O83+O84+O85+O86+O87</f>
        <v>0</v>
      </c>
      <c r="P81" s="32">
        <f>P82+P83+P84+P85+P86+P87</f>
        <v>112363.72</v>
      </c>
      <c r="Q81" s="32">
        <f>Q82+Q83+Q84+Q85+Q86+Q87</f>
        <v>1748067.11</v>
      </c>
      <c r="R81" s="33">
        <f t="shared" si="5"/>
        <v>1860430.83</v>
      </c>
      <c r="S81" s="32">
        <f>S82+S83+S84+S85+S86+S87</f>
        <v>800000</v>
      </c>
      <c r="T81" s="32">
        <f>T82+T83+T84+T85+T86+T87</f>
        <v>700000</v>
      </c>
      <c r="U81" s="32">
        <f>U82+U83+U84+U85+U86+U87</f>
        <v>613530.17000000004</v>
      </c>
      <c r="V81" s="32">
        <f>V82+V83+V84+V85+V86+V87</f>
        <v>0</v>
      </c>
      <c r="W81" s="33">
        <f t="shared" si="6"/>
        <v>2113530.17</v>
      </c>
    </row>
    <row r="82" spans="2:23" ht="30">
      <c r="B82" s="102"/>
      <c r="C82" s="105"/>
      <c r="D82" s="108"/>
      <c r="E82" s="108"/>
      <c r="F82" s="34" t="s">
        <v>29</v>
      </c>
      <c r="G82" s="31">
        <f t="shared" si="7"/>
        <v>3973961</v>
      </c>
      <c r="H82" s="35"/>
      <c r="I82" s="36"/>
      <c r="J82" s="36"/>
      <c r="K82" s="36"/>
      <c r="L82" s="36"/>
      <c r="M82" s="31">
        <f t="shared" si="4"/>
        <v>0</v>
      </c>
      <c r="N82" s="36"/>
      <c r="O82" s="36"/>
      <c r="P82" s="36">
        <v>112363.72</v>
      </c>
      <c r="Q82" s="36">
        <v>1748067.11</v>
      </c>
      <c r="R82" s="33">
        <f t="shared" si="5"/>
        <v>1860430.83</v>
      </c>
      <c r="S82" s="36">
        <v>800000</v>
      </c>
      <c r="T82" s="36">
        <v>700000</v>
      </c>
      <c r="U82" s="36">
        <v>613530.17000000004</v>
      </c>
      <c r="V82" s="36"/>
      <c r="W82" s="33">
        <f t="shared" si="6"/>
        <v>2113530.17</v>
      </c>
    </row>
    <row r="83" spans="2:23">
      <c r="B83" s="102"/>
      <c r="C83" s="105"/>
      <c r="D83" s="108"/>
      <c r="E83" s="108"/>
      <c r="F83" s="34" t="s">
        <v>30</v>
      </c>
      <c r="G83" s="31">
        <f t="shared" si="7"/>
        <v>0</v>
      </c>
      <c r="H83" s="36"/>
      <c r="I83" s="36"/>
      <c r="J83" s="36"/>
      <c r="K83" s="36"/>
      <c r="L83" s="36"/>
      <c r="M83" s="31">
        <f t="shared" si="4"/>
        <v>0</v>
      </c>
      <c r="N83" s="36"/>
      <c r="O83" s="36"/>
      <c r="P83" s="36"/>
      <c r="Q83" s="36"/>
      <c r="R83" s="33">
        <f t="shared" si="5"/>
        <v>0</v>
      </c>
      <c r="S83" s="36"/>
      <c r="T83" s="36"/>
      <c r="U83" s="36"/>
      <c r="V83" s="36"/>
      <c r="W83" s="33">
        <f t="shared" si="6"/>
        <v>0</v>
      </c>
    </row>
    <row r="84" spans="2:23">
      <c r="B84" s="102"/>
      <c r="C84" s="105"/>
      <c r="D84" s="108"/>
      <c r="E84" s="108"/>
      <c r="F84" s="34" t="s">
        <v>31</v>
      </c>
      <c r="G84" s="31">
        <f t="shared" si="7"/>
        <v>0</v>
      </c>
      <c r="H84" s="36"/>
      <c r="I84" s="36"/>
      <c r="J84" s="36"/>
      <c r="K84" s="36"/>
      <c r="L84" s="36"/>
      <c r="M84" s="31">
        <f t="shared" si="4"/>
        <v>0</v>
      </c>
      <c r="N84" s="36"/>
      <c r="O84" s="36"/>
      <c r="P84" s="36"/>
      <c r="Q84" s="36"/>
      <c r="R84" s="33">
        <f t="shared" si="5"/>
        <v>0</v>
      </c>
      <c r="S84" s="36"/>
      <c r="T84" s="36"/>
      <c r="U84" s="36"/>
      <c r="V84" s="36"/>
      <c r="W84" s="33">
        <f t="shared" si="6"/>
        <v>0</v>
      </c>
    </row>
    <row r="85" spans="2:23">
      <c r="B85" s="102"/>
      <c r="C85" s="105"/>
      <c r="D85" s="108"/>
      <c r="E85" s="108"/>
      <c r="F85" s="34" t="s">
        <v>32</v>
      </c>
      <c r="G85" s="31">
        <f t="shared" si="7"/>
        <v>0</v>
      </c>
      <c r="H85" s="36"/>
      <c r="I85" s="36"/>
      <c r="J85" s="36"/>
      <c r="K85" s="36"/>
      <c r="L85" s="36"/>
      <c r="M85" s="31">
        <f t="shared" si="4"/>
        <v>0</v>
      </c>
      <c r="N85" s="36"/>
      <c r="O85" s="36"/>
      <c r="P85" s="36"/>
      <c r="Q85" s="36"/>
      <c r="R85" s="33">
        <f t="shared" si="5"/>
        <v>0</v>
      </c>
      <c r="S85" s="36"/>
      <c r="T85" s="36"/>
      <c r="U85" s="36"/>
      <c r="V85" s="36"/>
      <c r="W85" s="33">
        <f t="shared" si="6"/>
        <v>0</v>
      </c>
    </row>
    <row r="86" spans="2:23">
      <c r="B86" s="102"/>
      <c r="C86" s="105"/>
      <c r="D86" s="108"/>
      <c r="E86" s="108"/>
      <c r="F86" s="34" t="s">
        <v>33</v>
      </c>
      <c r="G86" s="31">
        <f t="shared" si="7"/>
        <v>0</v>
      </c>
      <c r="H86" s="36"/>
      <c r="I86" s="36"/>
      <c r="J86" s="36"/>
      <c r="K86" s="36"/>
      <c r="L86" s="36"/>
      <c r="M86" s="31">
        <f t="shared" si="4"/>
        <v>0</v>
      </c>
      <c r="N86" s="36"/>
      <c r="O86" s="36"/>
      <c r="P86" s="36"/>
      <c r="Q86" s="36"/>
      <c r="R86" s="33">
        <f t="shared" si="5"/>
        <v>0</v>
      </c>
      <c r="S86" s="36"/>
      <c r="T86" s="36"/>
      <c r="U86" s="36"/>
      <c r="V86" s="36"/>
      <c r="W86" s="33">
        <f t="shared" si="6"/>
        <v>0</v>
      </c>
    </row>
    <row r="87" spans="2:23">
      <c r="B87" s="102"/>
      <c r="C87" s="105"/>
      <c r="D87" s="108"/>
      <c r="E87" s="108"/>
      <c r="F87" s="34" t="s">
        <v>34</v>
      </c>
      <c r="G87" s="31">
        <f t="shared" si="7"/>
        <v>0</v>
      </c>
      <c r="H87" s="36"/>
      <c r="I87" s="36"/>
      <c r="J87" s="36"/>
      <c r="K87" s="36"/>
      <c r="L87" s="36"/>
      <c r="M87" s="31">
        <f t="shared" si="4"/>
        <v>0</v>
      </c>
      <c r="N87" s="36"/>
      <c r="O87" s="36"/>
      <c r="P87" s="36"/>
      <c r="Q87" s="36"/>
      <c r="R87" s="33">
        <f t="shared" si="5"/>
        <v>0</v>
      </c>
      <c r="S87" s="36"/>
      <c r="T87" s="36"/>
      <c r="U87" s="36"/>
      <c r="V87" s="36"/>
      <c r="W87" s="33">
        <f t="shared" si="6"/>
        <v>0</v>
      </c>
    </row>
    <row r="88" spans="2:23" ht="32">
      <c r="B88" s="102"/>
      <c r="C88" s="105"/>
      <c r="D88" s="108"/>
      <c r="E88" s="108"/>
      <c r="F88" s="30" t="s">
        <v>35</v>
      </c>
      <c r="G88" s="31">
        <f t="shared" si="7"/>
        <v>914011.03</v>
      </c>
      <c r="H88" s="31">
        <f>H89+H90</f>
        <v>0</v>
      </c>
      <c r="I88" s="31">
        <f>I89+I90</f>
        <v>0</v>
      </c>
      <c r="J88" s="31">
        <f>J89+J90</f>
        <v>0</v>
      </c>
      <c r="K88" s="31">
        <f>K89+K90</f>
        <v>0</v>
      </c>
      <c r="L88" s="31">
        <f>L89+L90</f>
        <v>0</v>
      </c>
      <c r="M88" s="31">
        <f t="shared" si="4"/>
        <v>0</v>
      </c>
      <c r="N88" s="31">
        <f>N89+N90</f>
        <v>0</v>
      </c>
      <c r="O88" s="31">
        <f>O89+O90</f>
        <v>0</v>
      </c>
      <c r="P88" s="32">
        <f>P89+P90</f>
        <v>25843.655600000002</v>
      </c>
      <c r="Q88" s="32">
        <f>Q89+Q90</f>
        <v>402055.43530000007</v>
      </c>
      <c r="R88" s="33">
        <f t="shared" si="5"/>
        <v>427899.09090000007</v>
      </c>
      <c r="S88" s="31">
        <f>S89+S90</f>
        <v>184000</v>
      </c>
      <c r="T88" s="31">
        <f>T89+T90</f>
        <v>161000</v>
      </c>
      <c r="U88" s="32">
        <f>U89+U90</f>
        <v>141111.93910000002</v>
      </c>
      <c r="V88" s="32">
        <f>V89+V90</f>
        <v>0</v>
      </c>
      <c r="W88" s="33">
        <f t="shared" si="6"/>
        <v>486111.93910000002</v>
      </c>
    </row>
    <row r="89" spans="2:23">
      <c r="B89" s="102"/>
      <c r="C89" s="105"/>
      <c r="D89" s="108"/>
      <c r="E89" s="108"/>
      <c r="F89" s="34" t="s">
        <v>36</v>
      </c>
      <c r="G89" s="31">
        <f t="shared" si="7"/>
        <v>914011.03</v>
      </c>
      <c r="H89" s="36"/>
      <c r="I89" s="36"/>
      <c r="J89" s="36"/>
      <c r="K89" s="36"/>
      <c r="L89" s="36"/>
      <c r="M89" s="31">
        <f t="shared" si="4"/>
        <v>0</v>
      </c>
      <c r="N89" s="36"/>
      <c r="O89" s="36"/>
      <c r="P89" s="36">
        <f>P82*0.23</f>
        <v>25843.655600000002</v>
      </c>
      <c r="Q89" s="36">
        <f>Q82*0.23</f>
        <v>402055.43530000007</v>
      </c>
      <c r="R89" s="33">
        <f t="shared" si="5"/>
        <v>427899.09090000007</v>
      </c>
      <c r="S89" s="36">
        <f>S82*0.23</f>
        <v>184000</v>
      </c>
      <c r="T89" s="36">
        <f>T82*0.23</f>
        <v>161000</v>
      </c>
      <c r="U89" s="36">
        <f>U82*0.23</f>
        <v>141111.93910000002</v>
      </c>
      <c r="V89" s="36">
        <f>V82*0.23</f>
        <v>0</v>
      </c>
      <c r="W89" s="33">
        <f t="shared" si="6"/>
        <v>486111.93910000002</v>
      </c>
    </row>
    <row r="90" spans="2:23" ht="54" customHeight="1" thickBot="1">
      <c r="B90" s="103"/>
      <c r="C90" s="106"/>
      <c r="D90" s="109"/>
      <c r="E90" s="109"/>
      <c r="F90" s="37" t="s">
        <v>37</v>
      </c>
      <c r="G90" s="31">
        <f t="shared" si="7"/>
        <v>0</v>
      </c>
      <c r="H90" s="39"/>
      <c r="I90" s="39"/>
      <c r="J90" s="39"/>
      <c r="K90" s="39"/>
      <c r="L90" s="62"/>
      <c r="M90" s="40">
        <f t="shared" si="4"/>
        <v>0</v>
      </c>
      <c r="N90" s="39"/>
      <c r="O90" s="39"/>
      <c r="P90" s="39"/>
      <c r="Q90" s="39"/>
      <c r="R90" s="41">
        <f t="shared" si="5"/>
        <v>0</v>
      </c>
      <c r="S90" s="39"/>
      <c r="T90" s="39"/>
      <c r="U90" s="39"/>
      <c r="V90" s="39"/>
      <c r="W90" s="41">
        <f t="shared" si="6"/>
        <v>0</v>
      </c>
    </row>
    <row r="91" spans="2:23" ht="16">
      <c r="B91" s="123" t="s">
        <v>43</v>
      </c>
      <c r="C91" s="114" t="s">
        <v>72</v>
      </c>
      <c r="D91" s="110" t="s">
        <v>39</v>
      </c>
      <c r="E91" s="110">
        <v>1</v>
      </c>
      <c r="F91" s="26" t="s">
        <v>27</v>
      </c>
      <c r="G91" s="31">
        <f t="shared" si="7"/>
        <v>4400856.3599999994</v>
      </c>
      <c r="H91" s="28">
        <f>H92+H99</f>
        <v>0</v>
      </c>
      <c r="I91" s="28">
        <f>I92+I99</f>
        <v>0</v>
      </c>
      <c r="J91" s="28">
        <f>J92+J99</f>
        <v>0</v>
      </c>
      <c r="K91" s="28">
        <f>K92+K99</f>
        <v>0</v>
      </c>
      <c r="L91" s="28">
        <f>L92+L99</f>
        <v>0</v>
      </c>
      <c r="M91" s="28">
        <f t="shared" si="4"/>
        <v>0</v>
      </c>
      <c r="N91" s="28">
        <f>N92+N99</f>
        <v>0</v>
      </c>
      <c r="O91" s="28">
        <f>O92+O99</f>
        <v>0</v>
      </c>
      <c r="P91" s="28">
        <f>P92+P99</f>
        <v>204529.68899999998</v>
      </c>
      <c r="Q91" s="28">
        <f>Q92+Q99</f>
        <v>2431618.3034999999</v>
      </c>
      <c r="R91" s="29">
        <f t="shared" si="5"/>
        <v>2636147.9924999997</v>
      </c>
      <c r="S91" s="28">
        <f>S92+S99</f>
        <v>492000</v>
      </c>
      <c r="T91" s="28">
        <f>T92+T99</f>
        <v>738000</v>
      </c>
      <c r="U91" s="28">
        <f>U92+U99</f>
        <v>534708.36750000005</v>
      </c>
      <c r="V91" s="28">
        <f>V92+V99</f>
        <v>0</v>
      </c>
      <c r="W91" s="29">
        <f t="shared" si="6"/>
        <v>1764708.3675000002</v>
      </c>
    </row>
    <row r="92" spans="2:23" ht="32">
      <c r="B92" s="102"/>
      <c r="C92" s="105"/>
      <c r="D92" s="108"/>
      <c r="E92" s="108"/>
      <c r="F92" s="30" t="s">
        <v>28</v>
      </c>
      <c r="G92" s="31">
        <f t="shared" si="7"/>
        <v>3577932</v>
      </c>
      <c r="H92" s="32">
        <f>H94+H95+H96+H97+H98+H93</f>
        <v>0</v>
      </c>
      <c r="I92" s="32">
        <f>I94+I95+I96+I97+I98+I93</f>
        <v>0</v>
      </c>
      <c r="J92" s="32">
        <f>J94+J95+J96+J97+J98+J93</f>
        <v>0</v>
      </c>
      <c r="K92" s="32">
        <f>K94+K95+K96+K97+K98+K93</f>
        <v>0</v>
      </c>
      <c r="L92" s="32">
        <f>L94+L95+L96+L97+L98+L93</f>
        <v>0</v>
      </c>
      <c r="M92" s="32">
        <f t="shared" si="4"/>
        <v>0</v>
      </c>
      <c r="N92" s="32">
        <f>N93+N94+N95+N96+N97+N98</f>
        <v>0</v>
      </c>
      <c r="O92" s="32">
        <f>O93+O94+O95+O96+O97+O98</f>
        <v>0</v>
      </c>
      <c r="P92" s="32">
        <f>P93+P94+P95+P96+P97+P98</f>
        <v>166284.29999999999</v>
      </c>
      <c r="Q92" s="32">
        <f>Q93+Q94+Q95+Q96+Q97+Q98</f>
        <v>1976925.45</v>
      </c>
      <c r="R92" s="33">
        <f t="shared" si="5"/>
        <v>2143209.75</v>
      </c>
      <c r="S92" s="32">
        <f>S93+S94+S95+S96+S97+S98</f>
        <v>400000</v>
      </c>
      <c r="T92" s="32">
        <f>T93+T94+T95+T96+T97+T98</f>
        <v>600000</v>
      </c>
      <c r="U92" s="32">
        <f>U93+U94+U95+U96+U97+U98</f>
        <v>434722.25</v>
      </c>
      <c r="V92" s="32">
        <f>V93+V94+V95+V96+V97+V98</f>
        <v>0</v>
      </c>
      <c r="W92" s="33">
        <f t="shared" si="6"/>
        <v>1434722.25</v>
      </c>
    </row>
    <row r="93" spans="2:23" ht="30">
      <c r="B93" s="102"/>
      <c r="C93" s="105"/>
      <c r="D93" s="108"/>
      <c r="E93" s="108"/>
      <c r="F93" s="34" t="s">
        <v>29</v>
      </c>
      <c r="G93" s="31">
        <f t="shared" si="7"/>
        <v>3577932</v>
      </c>
      <c r="H93" s="35"/>
      <c r="I93" s="36"/>
      <c r="J93" s="36"/>
      <c r="K93" s="36"/>
      <c r="L93" s="36"/>
      <c r="M93" s="31">
        <f t="shared" si="4"/>
        <v>0</v>
      </c>
      <c r="N93" s="36"/>
      <c r="O93" s="36"/>
      <c r="P93" s="36">
        <v>166284.29999999999</v>
      </c>
      <c r="Q93" s="36">
        <v>1976925.45</v>
      </c>
      <c r="R93" s="33">
        <f t="shared" si="5"/>
        <v>2143209.75</v>
      </c>
      <c r="S93" s="36">
        <v>400000</v>
      </c>
      <c r="T93" s="36">
        <v>600000</v>
      </c>
      <c r="U93" s="36">
        <v>434722.25</v>
      </c>
      <c r="V93" s="36"/>
      <c r="W93" s="33">
        <f t="shared" si="6"/>
        <v>1434722.25</v>
      </c>
    </row>
    <row r="94" spans="2:23">
      <c r="B94" s="102"/>
      <c r="C94" s="105"/>
      <c r="D94" s="108"/>
      <c r="E94" s="108"/>
      <c r="F94" s="34" t="s">
        <v>30</v>
      </c>
      <c r="G94" s="31">
        <f t="shared" si="7"/>
        <v>0</v>
      </c>
      <c r="H94" s="36"/>
      <c r="I94" s="36"/>
      <c r="J94" s="36"/>
      <c r="K94" s="36"/>
      <c r="L94" s="36"/>
      <c r="M94" s="31">
        <f t="shared" si="4"/>
        <v>0</v>
      </c>
      <c r="N94" s="36"/>
      <c r="O94" s="36"/>
      <c r="P94" s="36"/>
      <c r="Q94" s="36"/>
      <c r="R94" s="33">
        <f t="shared" si="5"/>
        <v>0</v>
      </c>
      <c r="S94" s="36"/>
      <c r="T94" s="36"/>
      <c r="U94" s="36"/>
      <c r="V94" s="36"/>
      <c r="W94" s="33">
        <f t="shared" si="6"/>
        <v>0</v>
      </c>
    </row>
    <row r="95" spans="2:23">
      <c r="B95" s="102"/>
      <c r="C95" s="105"/>
      <c r="D95" s="108"/>
      <c r="E95" s="108"/>
      <c r="F95" s="34" t="s">
        <v>31</v>
      </c>
      <c r="G95" s="31">
        <f t="shared" si="7"/>
        <v>0</v>
      </c>
      <c r="H95" s="36"/>
      <c r="I95" s="36"/>
      <c r="J95" s="36"/>
      <c r="K95" s="36"/>
      <c r="L95" s="36"/>
      <c r="M95" s="31">
        <f t="shared" si="4"/>
        <v>0</v>
      </c>
      <c r="N95" s="36"/>
      <c r="O95" s="36"/>
      <c r="P95" s="36"/>
      <c r="Q95" s="36"/>
      <c r="R95" s="33">
        <f t="shared" si="5"/>
        <v>0</v>
      </c>
      <c r="S95" s="36"/>
      <c r="T95" s="36"/>
      <c r="U95" s="36"/>
      <c r="V95" s="36"/>
      <c r="W95" s="33">
        <f t="shared" si="6"/>
        <v>0</v>
      </c>
    </row>
    <row r="96" spans="2:23">
      <c r="B96" s="102"/>
      <c r="C96" s="105"/>
      <c r="D96" s="108"/>
      <c r="E96" s="108"/>
      <c r="F96" s="34" t="s">
        <v>32</v>
      </c>
      <c r="G96" s="31">
        <f t="shared" si="7"/>
        <v>0</v>
      </c>
      <c r="H96" s="36"/>
      <c r="I96" s="36"/>
      <c r="J96" s="36"/>
      <c r="K96" s="36"/>
      <c r="L96" s="36"/>
      <c r="M96" s="31">
        <f t="shared" si="4"/>
        <v>0</v>
      </c>
      <c r="N96" s="36"/>
      <c r="O96" s="36"/>
      <c r="P96" s="36"/>
      <c r="Q96" s="36"/>
      <c r="R96" s="33">
        <f t="shared" si="5"/>
        <v>0</v>
      </c>
      <c r="S96" s="36"/>
      <c r="T96" s="36"/>
      <c r="U96" s="36"/>
      <c r="V96" s="36"/>
      <c r="W96" s="33">
        <f t="shared" si="6"/>
        <v>0</v>
      </c>
    </row>
    <row r="97" spans="2:23">
      <c r="B97" s="102"/>
      <c r="C97" s="105"/>
      <c r="D97" s="108"/>
      <c r="E97" s="108"/>
      <c r="F97" s="34" t="s">
        <v>33</v>
      </c>
      <c r="G97" s="31">
        <f t="shared" si="7"/>
        <v>0</v>
      </c>
      <c r="H97" s="36"/>
      <c r="I97" s="36"/>
      <c r="J97" s="36"/>
      <c r="K97" s="36"/>
      <c r="L97" s="36"/>
      <c r="M97" s="31">
        <f t="shared" si="4"/>
        <v>0</v>
      </c>
      <c r="N97" s="36"/>
      <c r="O97" s="36"/>
      <c r="P97" s="36"/>
      <c r="Q97" s="36"/>
      <c r="R97" s="33">
        <f t="shared" si="5"/>
        <v>0</v>
      </c>
      <c r="S97" s="36"/>
      <c r="T97" s="36"/>
      <c r="U97" s="36"/>
      <c r="V97" s="36"/>
      <c r="W97" s="33">
        <f t="shared" si="6"/>
        <v>0</v>
      </c>
    </row>
    <row r="98" spans="2:23">
      <c r="B98" s="102"/>
      <c r="C98" s="105"/>
      <c r="D98" s="108"/>
      <c r="E98" s="108"/>
      <c r="F98" s="34" t="s">
        <v>34</v>
      </c>
      <c r="G98" s="31">
        <f t="shared" si="7"/>
        <v>0</v>
      </c>
      <c r="H98" s="36"/>
      <c r="I98" s="36"/>
      <c r="J98" s="36"/>
      <c r="K98" s="36"/>
      <c r="L98" s="36"/>
      <c r="M98" s="31">
        <f t="shared" si="4"/>
        <v>0</v>
      </c>
      <c r="N98" s="36"/>
      <c r="O98" s="36"/>
      <c r="P98" s="36"/>
      <c r="Q98" s="36"/>
      <c r="R98" s="33">
        <f t="shared" si="5"/>
        <v>0</v>
      </c>
      <c r="S98" s="36"/>
      <c r="T98" s="36"/>
      <c r="U98" s="36"/>
      <c r="V98" s="36"/>
      <c r="W98" s="33">
        <f t="shared" si="6"/>
        <v>0</v>
      </c>
    </row>
    <row r="99" spans="2:23" ht="32">
      <c r="B99" s="102"/>
      <c r="C99" s="105"/>
      <c r="D99" s="108"/>
      <c r="E99" s="108"/>
      <c r="F99" s="30" t="s">
        <v>35</v>
      </c>
      <c r="G99" s="31">
        <f t="shared" si="7"/>
        <v>822924.3600000001</v>
      </c>
      <c r="H99" s="31">
        <f>H100+H101</f>
        <v>0</v>
      </c>
      <c r="I99" s="31">
        <f>I100+I101</f>
        <v>0</v>
      </c>
      <c r="J99" s="31">
        <f>J100+J101</f>
        <v>0</v>
      </c>
      <c r="K99" s="31">
        <f>K100+K101</f>
        <v>0</v>
      </c>
      <c r="L99" s="31">
        <f>L100+L101</f>
        <v>0</v>
      </c>
      <c r="M99" s="31">
        <f t="shared" si="4"/>
        <v>0</v>
      </c>
      <c r="N99" s="31">
        <f>N100+N101</f>
        <v>0</v>
      </c>
      <c r="O99" s="31">
        <f>O100+O101</f>
        <v>0</v>
      </c>
      <c r="P99" s="32">
        <f>P100+P101</f>
        <v>38245.388999999996</v>
      </c>
      <c r="Q99" s="32">
        <f>Q100+Q101</f>
        <v>454692.85350000003</v>
      </c>
      <c r="R99" s="33">
        <f t="shared" si="5"/>
        <v>492938.24250000005</v>
      </c>
      <c r="S99" s="31">
        <f>S100+S101</f>
        <v>92000</v>
      </c>
      <c r="T99" s="31">
        <f>T100+T101</f>
        <v>138000</v>
      </c>
      <c r="U99" s="32">
        <f>U100+U101</f>
        <v>99986.117500000008</v>
      </c>
      <c r="V99" s="32">
        <f>V100+V101</f>
        <v>0</v>
      </c>
      <c r="W99" s="33">
        <f t="shared" si="6"/>
        <v>329986.11749999999</v>
      </c>
    </row>
    <row r="100" spans="2:23">
      <c r="B100" s="102"/>
      <c r="C100" s="105"/>
      <c r="D100" s="108"/>
      <c r="E100" s="108"/>
      <c r="F100" s="34" t="s">
        <v>36</v>
      </c>
      <c r="G100" s="31">
        <f t="shared" si="7"/>
        <v>822924.3600000001</v>
      </c>
      <c r="H100" s="36"/>
      <c r="I100" s="36"/>
      <c r="J100" s="36"/>
      <c r="K100" s="36"/>
      <c r="L100" s="36"/>
      <c r="M100" s="31">
        <f t="shared" si="4"/>
        <v>0</v>
      </c>
      <c r="N100" s="36"/>
      <c r="O100" s="36"/>
      <c r="P100" s="36">
        <f>P93*0.23</f>
        <v>38245.388999999996</v>
      </c>
      <c r="Q100" s="36">
        <f>Q93*0.23</f>
        <v>454692.85350000003</v>
      </c>
      <c r="R100" s="33">
        <f t="shared" si="5"/>
        <v>492938.24250000005</v>
      </c>
      <c r="S100" s="36">
        <f>S93*0.23</f>
        <v>92000</v>
      </c>
      <c r="T100" s="36">
        <f>T93*0.23</f>
        <v>138000</v>
      </c>
      <c r="U100" s="36">
        <f>U93*0.23</f>
        <v>99986.117500000008</v>
      </c>
      <c r="V100" s="36"/>
      <c r="W100" s="33">
        <f t="shared" si="6"/>
        <v>329986.11749999999</v>
      </c>
    </row>
    <row r="101" spans="2:23" ht="48" customHeight="1" thickBot="1">
      <c r="B101" s="103"/>
      <c r="C101" s="106"/>
      <c r="D101" s="109"/>
      <c r="E101" s="109"/>
      <c r="F101" s="37" t="s">
        <v>37</v>
      </c>
      <c r="G101" s="31">
        <f t="shared" si="7"/>
        <v>0</v>
      </c>
      <c r="H101" s="39"/>
      <c r="I101" s="39"/>
      <c r="J101" s="39"/>
      <c r="K101" s="39"/>
      <c r="L101" s="62"/>
      <c r="M101" s="40">
        <f t="shared" si="4"/>
        <v>0</v>
      </c>
      <c r="N101" s="39"/>
      <c r="O101" s="39"/>
      <c r="P101" s="39"/>
      <c r="Q101" s="39"/>
      <c r="R101" s="41">
        <f t="shared" si="5"/>
        <v>0</v>
      </c>
      <c r="S101" s="39"/>
      <c r="T101" s="39"/>
      <c r="U101" s="39"/>
      <c r="V101" s="39"/>
      <c r="W101" s="41">
        <f t="shared" si="6"/>
        <v>0</v>
      </c>
    </row>
    <row r="102" spans="2:23" ht="16">
      <c r="B102" s="115" t="s">
        <v>44</v>
      </c>
      <c r="C102" s="118" t="s">
        <v>73</v>
      </c>
      <c r="D102" s="107" t="s">
        <v>39</v>
      </c>
      <c r="E102" s="107">
        <v>1</v>
      </c>
      <c r="F102" s="26" t="s">
        <v>27</v>
      </c>
      <c r="G102" s="31">
        <f t="shared" si="7"/>
        <v>7260343.1400000006</v>
      </c>
      <c r="H102" s="28">
        <f>H103+H110</f>
        <v>0</v>
      </c>
      <c r="I102" s="28">
        <f>I103+I110</f>
        <v>0</v>
      </c>
      <c r="J102" s="28">
        <f>J103+J110</f>
        <v>0</v>
      </c>
      <c r="K102" s="28">
        <f>K103+K110</f>
        <v>0</v>
      </c>
      <c r="L102" s="28">
        <f>L103+L110</f>
        <v>0</v>
      </c>
      <c r="M102" s="28">
        <f t="shared" si="4"/>
        <v>0</v>
      </c>
      <c r="N102" s="28">
        <f>N103+N110</f>
        <v>0</v>
      </c>
      <c r="O102" s="28">
        <f>O103+O110</f>
        <v>0</v>
      </c>
      <c r="P102" s="28">
        <f>P103+P110</f>
        <v>215450.76060000001</v>
      </c>
      <c r="Q102" s="28">
        <f>Q103+Q110</f>
        <v>3891581.8586999997</v>
      </c>
      <c r="R102" s="29">
        <f t="shared" si="5"/>
        <v>4107032.6192999999</v>
      </c>
      <c r="S102" s="28">
        <f>S103+S110</f>
        <v>984000</v>
      </c>
      <c r="T102" s="28">
        <f>T103+T110</f>
        <v>1230000</v>
      </c>
      <c r="U102" s="28">
        <f>U103+U110</f>
        <v>939310.52069999999</v>
      </c>
      <c r="V102" s="28">
        <f>V103+V110</f>
        <v>0</v>
      </c>
      <c r="W102" s="29">
        <f t="shared" si="6"/>
        <v>3153310.5207000002</v>
      </c>
    </row>
    <row r="103" spans="2:23" ht="32">
      <c r="B103" s="116"/>
      <c r="C103" s="119"/>
      <c r="D103" s="121"/>
      <c r="E103" s="121"/>
      <c r="F103" s="30" t="s">
        <v>28</v>
      </c>
      <c r="G103" s="31">
        <f t="shared" si="7"/>
        <v>5902718</v>
      </c>
      <c r="H103" s="32">
        <f>H105+H106+H107+H108+H109+H104</f>
        <v>0</v>
      </c>
      <c r="I103" s="32">
        <f>I105+I106+I107+I108+I109+I104</f>
        <v>0</v>
      </c>
      <c r="J103" s="32">
        <f>J105+J106+J107+J108+J109+J104</f>
        <v>0</v>
      </c>
      <c r="K103" s="32">
        <f>K105+K106+K107+K108+K109+K104</f>
        <v>0</v>
      </c>
      <c r="L103" s="32">
        <f>L105+L106+L107+L108+L109+L104</f>
        <v>0</v>
      </c>
      <c r="M103" s="32">
        <f t="shared" si="4"/>
        <v>0</v>
      </c>
      <c r="N103" s="32">
        <f>N104+N105+N106+N107+N108+N109</f>
        <v>0</v>
      </c>
      <c r="O103" s="32">
        <f>O104+O105+O106+O107+O108+O109</f>
        <v>0</v>
      </c>
      <c r="P103" s="32">
        <f>P104+P105+P106+P107+P108+P109</f>
        <v>175163.22</v>
      </c>
      <c r="Q103" s="32">
        <f>Q104+Q105+Q106+Q107+Q108+Q109</f>
        <v>3163887.69</v>
      </c>
      <c r="R103" s="33">
        <f t="shared" si="5"/>
        <v>3339050.91</v>
      </c>
      <c r="S103" s="32">
        <f>S104+S105+S106+S107+S108+S109</f>
        <v>800000</v>
      </c>
      <c r="T103" s="32">
        <f>T104+T105+T106+T107+T108+T109</f>
        <v>1000000</v>
      </c>
      <c r="U103" s="32">
        <f>U104+U105+U106+U107+U108+U109</f>
        <v>763667.09</v>
      </c>
      <c r="V103" s="32">
        <f>V104+V105+V106+V107+V108+V109</f>
        <v>0</v>
      </c>
      <c r="W103" s="33">
        <f t="shared" si="6"/>
        <v>2563667.09</v>
      </c>
    </row>
    <row r="104" spans="2:23" ht="30">
      <c r="B104" s="116"/>
      <c r="C104" s="119"/>
      <c r="D104" s="121"/>
      <c r="E104" s="121"/>
      <c r="F104" s="34" t="s">
        <v>29</v>
      </c>
      <c r="G104" s="31">
        <f t="shared" si="7"/>
        <v>5902718</v>
      </c>
      <c r="H104" s="35"/>
      <c r="I104" s="36"/>
      <c r="J104" s="36"/>
      <c r="K104" s="36"/>
      <c r="L104" s="36"/>
      <c r="M104" s="31">
        <f t="shared" si="4"/>
        <v>0</v>
      </c>
      <c r="N104" s="36"/>
      <c r="O104" s="36"/>
      <c r="P104" s="36">
        <v>175163.22</v>
      </c>
      <c r="Q104" s="36">
        <v>3163887.69</v>
      </c>
      <c r="R104" s="33">
        <f t="shared" si="5"/>
        <v>3339050.91</v>
      </c>
      <c r="S104" s="36">
        <v>800000</v>
      </c>
      <c r="T104" s="36">
        <v>1000000</v>
      </c>
      <c r="U104" s="36">
        <v>763667.09</v>
      </c>
      <c r="V104" s="36"/>
      <c r="W104" s="33">
        <f t="shared" si="6"/>
        <v>2563667.09</v>
      </c>
    </row>
    <row r="105" spans="2:23">
      <c r="B105" s="116"/>
      <c r="C105" s="119"/>
      <c r="D105" s="121"/>
      <c r="E105" s="121"/>
      <c r="F105" s="34" t="s">
        <v>30</v>
      </c>
      <c r="G105" s="31">
        <f t="shared" si="7"/>
        <v>0</v>
      </c>
      <c r="H105" s="36"/>
      <c r="I105" s="36"/>
      <c r="J105" s="36"/>
      <c r="K105" s="36"/>
      <c r="L105" s="36"/>
      <c r="M105" s="31">
        <f t="shared" si="4"/>
        <v>0</v>
      </c>
      <c r="N105" s="36"/>
      <c r="O105" s="36"/>
      <c r="P105" s="36"/>
      <c r="Q105" s="36"/>
      <c r="R105" s="33">
        <f t="shared" si="5"/>
        <v>0</v>
      </c>
      <c r="S105" s="36"/>
      <c r="T105" s="36"/>
      <c r="U105" s="36"/>
      <c r="V105" s="36"/>
      <c r="W105" s="33">
        <f t="shared" si="6"/>
        <v>0</v>
      </c>
    </row>
    <row r="106" spans="2:23">
      <c r="B106" s="116"/>
      <c r="C106" s="119"/>
      <c r="D106" s="121"/>
      <c r="E106" s="121"/>
      <c r="F106" s="34" t="s">
        <v>31</v>
      </c>
      <c r="G106" s="31">
        <f t="shared" si="7"/>
        <v>0</v>
      </c>
      <c r="H106" s="36"/>
      <c r="I106" s="36"/>
      <c r="J106" s="36"/>
      <c r="K106" s="36"/>
      <c r="L106" s="36"/>
      <c r="M106" s="31">
        <f t="shared" si="4"/>
        <v>0</v>
      </c>
      <c r="N106" s="36"/>
      <c r="O106" s="36"/>
      <c r="P106" s="36"/>
      <c r="Q106" s="36"/>
      <c r="R106" s="33">
        <f t="shared" si="5"/>
        <v>0</v>
      </c>
      <c r="S106" s="36"/>
      <c r="T106" s="36"/>
      <c r="U106" s="36"/>
      <c r="V106" s="36"/>
      <c r="W106" s="33">
        <f t="shared" si="6"/>
        <v>0</v>
      </c>
    </row>
    <row r="107" spans="2:23">
      <c r="B107" s="116"/>
      <c r="C107" s="119"/>
      <c r="D107" s="121"/>
      <c r="E107" s="121"/>
      <c r="F107" s="34" t="s">
        <v>32</v>
      </c>
      <c r="G107" s="31">
        <f t="shared" si="7"/>
        <v>0</v>
      </c>
      <c r="H107" s="36"/>
      <c r="I107" s="36"/>
      <c r="J107" s="36"/>
      <c r="K107" s="36"/>
      <c r="L107" s="36"/>
      <c r="M107" s="31">
        <f t="shared" si="4"/>
        <v>0</v>
      </c>
      <c r="N107" s="36"/>
      <c r="O107" s="36"/>
      <c r="P107" s="36"/>
      <c r="Q107" s="36"/>
      <c r="R107" s="33">
        <f t="shared" si="5"/>
        <v>0</v>
      </c>
      <c r="S107" s="36"/>
      <c r="T107" s="36"/>
      <c r="U107" s="36"/>
      <c r="V107" s="36"/>
      <c r="W107" s="33">
        <f t="shared" si="6"/>
        <v>0</v>
      </c>
    </row>
    <row r="108" spans="2:23">
      <c r="B108" s="116"/>
      <c r="C108" s="119"/>
      <c r="D108" s="121"/>
      <c r="E108" s="121"/>
      <c r="F108" s="34" t="s">
        <v>33</v>
      </c>
      <c r="G108" s="31">
        <f t="shared" si="7"/>
        <v>0</v>
      </c>
      <c r="H108" s="36"/>
      <c r="I108" s="36"/>
      <c r="J108" s="36"/>
      <c r="K108" s="36"/>
      <c r="L108" s="36"/>
      <c r="M108" s="31">
        <f t="shared" si="4"/>
        <v>0</v>
      </c>
      <c r="N108" s="36"/>
      <c r="O108" s="36"/>
      <c r="P108" s="36"/>
      <c r="Q108" s="36"/>
      <c r="R108" s="33">
        <f t="shared" si="5"/>
        <v>0</v>
      </c>
      <c r="S108" s="36"/>
      <c r="T108" s="36"/>
      <c r="U108" s="36"/>
      <c r="V108" s="36"/>
      <c r="W108" s="33">
        <f t="shared" si="6"/>
        <v>0</v>
      </c>
    </row>
    <row r="109" spans="2:23">
      <c r="B109" s="116"/>
      <c r="C109" s="119"/>
      <c r="D109" s="121"/>
      <c r="E109" s="121"/>
      <c r="F109" s="34" t="s">
        <v>34</v>
      </c>
      <c r="G109" s="31">
        <f t="shared" si="7"/>
        <v>0</v>
      </c>
      <c r="H109" s="36"/>
      <c r="I109" s="36"/>
      <c r="J109" s="36"/>
      <c r="K109" s="36"/>
      <c r="L109" s="36"/>
      <c r="M109" s="31">
        <f t="shared" si="4"/>
        <v>0</v>
      </c>
      <c r="N109" s="36"/>
      <c r="O109" s="36"/>
      <c r="P109" s="36"/>
      <c r="Q109" s="36"/>
      <c r="R109" s="33">
        <f t="shared" si="5"/>
        <v>0</v>
      </c>
      <c r="S109" s="36"/>
      <c r="T109" s="36"/>
      <c r="U109" s="36"/>
      <c r="V109" s="36"/>
      <c r="W109" s="33">
        <f t="shared" si="6"/>
        <v>0</v>
      </c>
    </row>
    <row r="110" spans="2:23" ht="32">
      <c r="B110" s="116"/>
      <c r="C110" s="119"/>
      <c r="D110" s="121"/>
      <c r="E110" s="121"/>
      <c r="F110" s="30" t="s">
        <v>35</v>
      </c>
      <c r="G110" s="31">
        <f t="shared" si="7"/>
        <v>1357625.1400000001</v>
      </c>
      <c r="H110" s="31">
        <f>H111+H112</f>
        <v>0</v>
      </c>
      <c r="I110" s="31">
        <f>I111+I112</f>
        <v>0</v>
      </c>
      <c r="J110" s="31">
        <f>J111+J112</f>
        <v>0</v>
      </c>
      <c r="K110" s="31">
        <f>K111+K112</f>
        <v>0</v>
      </c>
      <c r="L110" s="31">
        <f>L111+L112</f>
        <v>0</v>
      </c>
      <c r="M110" s="31">
        <f t="shared" si="4"/>
        <v>0</v>
      </c>
      <c r="N110" s="31">
        <f>N111+N112</f>
        <v>0</v>
      </c>
      <c r="O110" s="31">
        <f>O111+O112</f>
        <v>0</v>
      </c>
      <c r="P110" s="32">
        <f>P111+P112</f>
        <v>40287.5406</v>
      </c>
      <c r="Q110" s="32">
        <f>Q111+Q112</f>
        <v>727694.16870000004</v>
      </c>
      <c r="R110" s="33">
        <f t="shared" si="5"/>
        <v>767981.70929999999</v>
      </c>
      <c r="S110" s="31">
        <f>S111+S112</f>
        <v>184000</v>
      </c>
      <c r="T110" s="31">
        <f>T111+T112</f>
        <v>230000</v>
      </c>
      <c r="U110" s="32">
        <f>U111+U112</f>
        <v>175643.4307</v>
      </c>
      <c r="V110" s="32">
        <f>V111+V112</f>
        <v>0</v>
      </c>
      <c r="W110" s="33">
        <f t="shared" si="6"/>
        <v>589643.43070000003</v>
      </c>
    </row>
    <row r="111" spans="2:23">
      <c r="B111" s="116"/>
      <c r="C111" s="119"/>
      <c r="D111" s="121"/>
      <c r="E111" s="121"/>
      <c r="F111" s="34" t="s">
        <v>36</v>
      </c>
      <c r="G111" s="31">
        <f t="shared" si="7"/>
        <v>1357625.1400000001</v>
      </c>
      <c r="H111" s="36"/>
      <c r="I111" s="36"/>
      <c r="J111" s="36"/>
      <c r="K111" s="36"/>
      <c r="L111" s="36"/>
      <c r="M111" s="31">
        <f t="shared" si="4"/>
        <v>0</v>
      </c>
      <c r="N111" s="36"/>
      <c r="O111" s="36"/>
      <c r="P111" s="36">
        <f>P104*0.23</f>
        <v>40287.5406</v>
      </c>
      <c r="Q111" s="36">
        <f>Q104*0.23</f>
        <v>727694.16870000004</v>
      </c>
      <c r="R111" s="33">
        <f t="shared" si="5"/>
        <v>767981.70929999999</v>
      </c>
      <c r="S111" s="36">
        <f>S104*0.23</f>
        <v>184000</v>
      </c>
      <c r="T111" s="36">
        <f>T104*0.23</f>
        <v>230000</v>
      </c>
      <c r="U111" s="36">
        <f>U104*0.23</f>
        <v>175643.4307</v>
      </c>
      <c r="V111" s="167">
        <f>V104*0.23</f>
        <v>0.0</v>
      </c>
      <c r="W111" s="33">
        <f t="shared" si="6"/>
        <v>589643.43070000003</v>
      </c>
    </row>
    <row r="112" spans="2:23" ht="56.25" customHeight="1" thickBot="1">
      <c r="B112" s="117"/>
      <c r="C112" s="120"/>
      <c r="D112" s="122"/>
      <c r="E112" s="122"/>
      <c r="F112" s="37" t="s">
        <v>37</v>
      </c>
      <c r="G112" s="31">
        <f t="shared" si="7"/>
        <v>0</v>
      </c>
      <c r="H112" s="39"/>
      <c r="I112" s="39"/>
      <c r="J112" s="39"/>
      <c r="K112" s="39"/>
      <c r="L112" s="39"/>
      <c r="M112" s="40">
        <f t="shared" si="4"/>
        <v>0</v>
      </c>
      <c r="N112" s="39"/>
      <c r="O112" s="39"/>
      <c r="P112" s="39"/>
      <c r="Q112" s="39"/>
      <c r="R112" s="41">
        <f t="shared" si="5"/>
        <v>0</v>
      </c>
      <c r="S112" s="39"/>
      <c r="T112" s="39"/>
      <c r="U112" s="39"/>
      <c r="V112" s="39"/>
      <c r="W112" s="41">
        <f t="shared" si="6"/>
        <v>0</v>
      </c>
    </row>
    <row r="113" spans="2:23" ht="16">
      <c r="B113" s="101" t="s">
        <v>45</v>
      </c>
      <c r="C113" s="114" t="s">
        <v>74</v>
      </c>
      <c r="D113" s="110" t="s">
        <v>39</v>
      </c>
      <c r="E113" s="110">
        <v>1</v>
      </c>
      <c r="F113" s="26" t="s">
        <v>27</v>
      </c>
      <c r="G113" s="31">
        <f t="shared" si="7"/>
        <v>2458904.0699999998</v>
      </c>
      <c r="H113" s="28">
        <f>H114+H121</f>
        <v>0</v>
      </c>
      <c r="I113" s="28">
        <f>I114+I121</f>
        <v>0</v>
      </c>
      <c r="J113" s="28">
        <f>J114+J121</f>
        <v>0</v>
      </c>
      <c r="K113" s="28">
        <f>K114+K121</f>
        <v>0</v>
      </c>
      <c r="L113" s="28">
        <f>L114+L121</f>
        <v>0</v>
      </c>
      <c r="M113" s="28">
        <f t="shared" si="4"/>
        <v>0</v>
      </c>
      <c r="N113" s="28">
        <f>N114+N121</f>
        <v>0</v>
      </c>
      <c r="O113" s="28">
        <f>O114+O121</f>
        <v>0</v>
      </c>
      <c r="P113" s="28">
        <f>P114+P121</f>
        <v>65283.935100000002</v>
      </c>
      <c r="Q113" s="28">
        <f>Q114+Q121</f>
        <v>1127429.9309999999</v>
      </c>
      <c r="R113" s="29">
        <f t="shared" si="5"/>
        <v>1192713.8660999998</v>
      </c>
      <c r="S113" s="28">
        <f>S114+S121</f>
        <v>123000</v>
      </c>
      <c r="T113" s="28">
        <f>T114+T121</f>
        <v>492000</v>
      </c>
      <c r="U113" s="28">
        <f>U114+U121</f>
        <v>651190.20390000008</v>
      </c>
      <c r="V113" s="28">
        <f>V114+V121</f>
        <v>0</v>
      </c>
      <c r="W113" s="29">
        <f t="shared" si="6"/>
        <v>1266190.2039000001</v>
      </c>
    </row>
    <row r="114" spans="2:23" ht="32">
      <c r="B114" s="102"/>
      <c r="C114" s="105"/>
      <c r="D114" s="108"/>
      <c r="E114" s="108"/>
      <c r="F114" s="30" t="s">
        <v>28</v>
      </c>
      <c r="G114" s="31">
        <f t="shared" si="7"/>
        <v>1999109</v>
      </c>
      <c r="H114" s="32">
        <f>H116+H117+H118+H119+H120+H115</f>
        <v>0</v>
      </c>
      <c r="I114" s="32">
        <f>I116+I117+I118+I119+I120+I115</f>
        <v>0</v>
      </c>
      <c r="J114" s="32">
        <f>J116+J117+J118+J119+J120+J115</f>
        <v>0</v>
      </c>
      <c r="K114" s="32">
        <f>K116+K117+K118+K119+K120+K115</f>
        <v>0</v>
      </c>
      <c r="L114" s="32">
        <f>L116+L117+L118+L119+L120+L115</f>
        <v>0</v>
      </c>
      <c r="M114" s="32">
        <f t="shared" si="4"/>
        <v>0</v>
      </c>
      <c r="N114" s="32">
        <f>N115+N116+N117+N118+N119+N120</f>
        <v>0</v>
      </c>
      <c r="O114" s="32">
        <f>O115+O116+O117+O118+O119+O120</f>
        <v>0</v>
      </c>
      <c r="P114" s="32">
        <f>P115+P116+P117+P118+P119+P120</f>
        <v>53076.37</v>
      </c>
      <c r="Q114" s="32">
        <f>Q115+Q116+Q117+Q118+Q119+Q120</f>
        <v>916609.7</v>
      </c>
      <c r="R114" s="33">
        <f t="shared" si="5"/>
        <v>969686.07</v>
      </c>
      <c r="S114" s="32">
        <f>S115+S116+S117+S118+S119+S120</f>
        <v>100000</v>
      </c>
      <c r="T114" s="32">
        <f>T115+T116+T117+T118+T119+T120</f>
        <v>400000</v>
      </c>
      <c r="U114" s="32">
        <f>U115+U116+U117+U118+U119+U120</f>
        <v>529422.93000000005</v>
      </c>
      <c r="V114" s="32">
        <f>V115+V116+V117+V118+V119+V120</f>
        <v>0</v>
      </c>
      <c r="W114" s="33">
        <f t="shared" si="6"/>
        <v>1029422.93</v>
      </c>
    </row>
    <row r="115" spans="2:23" ht="30">
      <c r="B115" s="102"/>
      <c r="C115" s="105"/>
      <c r="D115" s="108"/>
      <c r="E115" s="108"/>
      <c r="F115" s="34" t="s">
        <v>29</v>
      </c>
      <c r="G115" s="31">
        <f t="shared" si="7"/>
        <v>1999109</v>
      </c>
      <c r="H115" s="35"/>
      <c r="I115" s="36"/>
      <c r="J115" s="36"/>
      <c r="K115" s="36"/>
      <c r="L115" s="61"/>
      <c r="M115" s="32">
        <f t="shared" si="4"/>
        <v>0</v>
      </c>
      <c r="N115" s="61"/>
      <c r="O115" s="61"/>
      <c r="P115" s="36">
        <v>53076.37</v>
      </c>
      <c r="Q115" s="36">
        <v>916609.7</v>
      </c>
      <c r="R115" s="33">
        <f t="shared" si="5"/>
        <v>969686.07</v>
      </c>
      <c r="S115" s="61">
        <v>100000</v>
      </c>
      <c r="T115" s="61">
        <v>400000</v>
      </c>
      <c r="U115" s="36">
        <v>529422.93000000005</v>
      </c>
      <c r="V115" s="36"/>
      <c r="W115" s="33">
        <f t="shared" si="6"/>
        <v>1029422.93</v>
      </c>
    </row>
    <row r="116" spans="2:23">
      <c r="B116" s="102"/>
      <c r="C116" s="105"/>
      <c r="D116" s="108"/>
      <c r="E116" s="108"/>
      <c r="F116" s="34" t="s">
        <v>30</v>
      </c>
      <c r="G116" s="31">
        <f t="shared" si="7"/>
        <v>0</v>
      </c>
      <c r="H116" s="36"/>
      <c r="I116" s="36"/>
      <c r="J116" s="36"/>
      <c r="K116" s="36"/>
      <c r="L116" s="36"/>
      <c r="M116" s="32">
        <f t="shared" si="4"/>
        <v>0</v>
      </c>
      <c r="N116" s="36"/>
      <c r="O116" s="36"/>
      <c r="P116" s="36"/>
      <c r="Q116" s="36"/>
      <c r="R116" s="33">
        <f t="shared" si="5"/>
        <v>0</v>
      </c>
      <c r="S116" s="36"/>
      <c r="T116" s="36"/>
      <c r="U116" s="36"/>
      <c r="V116" s="36"/>
      <c r="W116" s="33">
        <f t="shared" si="6"/>
        <v>0</v>
      </c>
    </row>
    <row r="117" spans="2:23">
      <c r="B117" s="102"/>
      <c r="C117" s="105"/>
      <c r="D117" s="108"/>
      <c r="E117" s="108"/>
      <c r="F117" s="34" t="s">
        <v>31</v>
      </c>
      <c r="G117" s="31">
        <f t="shared" si="7"/>
        <v>0</v>
      </c>
      <c r="H117" s="36"/>
      <c r="I117" s="36"/>
      <c r="J117" s="36"/>
      <c r="K117" s="36"/>
      <c r="L117" s="36"/>
      <c r="M117" s="32">
        <f t="shared" si="4"/>
        <v>0</v>
      </c>
      <c r="N117" s="36"/>
      <c r="O117" s="36"/>
      <c r="P117" s="36"/>
      <c r="Q117" s="36"/>
      <c r="R117" s="33">
        <f t="shared" si="5"/>
        <v>0</v>
      </c>
      <c r="S117" s="36"/>
      <c r="T117" s="36"/>
      <c r="U117" s="36"/>
      <c r="V117" s="36"/>
      <c r="W117" s="33">
        <f t="shared" si="6"/>
        <v>0</v>
      </c>
    </row>
    <row r="118" spans="2:23">
      <c r="B118" s="102"/>
      <c r="C118" s="105"/>
      <c r="D118" s="108"/>
      <c r="E118" s="108"/>
      <c r="F118" s="34" t="s">
        <v>32</v>
      </c>
      <c r="G118" s="31">
        <f t="shared" si="7"/>
        <v>0</v>
      </c>
      <c r="H118" s="36"/>
      <c r="I118" s="36"/>
      <c r="J118" s="36"/>
      <c r="K118" s="36"/>
      <c r="L118" s="36"/>
      <c r="M118" s="32">
        <f t="shared" si="4"/>
        <v>0</v>
      </c>
      <c r="N118" s="36"/>
      <c r="O118" s="36"/>
      <c r="P118" s="36"/>
      <c r="Q118" s="36"/>
      <c r="R118" s="33">
        <f t="shared" si="5"/>
        <v>0</v>
      </c>
      <c r="S118" s="36"/>
      <c r="T118" s="36"/>
      <c r="U118" s="36"/>
      <c r="V118" s="36"/>
      <c r="W118" s="33">
        <f t="shared" si="6"/>
        <v>0</v>
      </c>
    </row>
    <row r="119" spans="2:23">
      <c r="B119" s="102"/>
      <c r="C119" s="105"/>
      <c r="D119" s="108"/>
      <c r="E119" s="108"/>
      <c r="F119" s="34" t="s">
        <v>33</v>
      </c>
      <c r="G119" s="31">
        <f t="shared" si="7"/>
        <v>0</v>
      </c>
      <c r="H119" s="36"/>
      <c r="I119" s="36"/>
      <c r="J119" s="36"/>
      <c r="K119" s="36"/>
      <c r="L119" s="36"/>
      <c r="M119" s="32">
        <f t="shared" si="4"/>
        <v>0</v>
      </c>
      <c r="N119" s="36"/>
      <c r="O119" s="36"/>
      <c r="P119" s="36"/>
      <c r="Q119" s="36"/>
      <c r="R119" s="33">
        <f t="shared" si="5"/>
        <v>0</v>
      </c>
      <c r="S119" s="36"/>
      <c r="T119" s="36"/>
      <c r="U119" s="36"/>
      <c r="V119" s="36"/>
      <c r="W119" s="33">
        <f t="shared" si="6"/>
        <v>0</v>
      </c>
    </row>
    <row r="120" spans="2:23">
      <c r="B120" s="102"/>
      <c r="C120" s="105"/>
      <c r="D120" s="108"/>
      <c r="E120" s="108"/>
      <c r="F120" s="34" t="s">
        <v>34</v>
      </c>
      <c r="G120" s="31">
        <f t="shared" si="7"/>
        <v>0</v>
      </c>
      <c r="H120" s="36"/>
      <c r="I120" s="36"/>
      <c r="J120" s="36"/>
      <c r="K120" s="36"/>
      <c r="L120" s="36"/>
      <c r="M120" s="32">
        <f t="shared" si="4"/>
        <v>0</v>
      </c>
      <c r="N120" s="36"/>
      <c r="O120" s="36"/>
      <c r="P120" s="36"/>
      <c r="Q120" s="36"/>
      <c r="R120" s="33">
        <f t="shared" si="5"/>
        <v>0</v>
      </c>
      <c r="S120" s="36"/>
      <c r="T120" s="36"/>
      <c r="U120" s="36"/>
      <c r="V120" s="36"/>
      <c r="W120" s="33">
        <f t="shared" si="6"/>
        <v>0</v>
      </c>
    </row>
    <row r="121" spans="2:23" ht="32">
      <c r="B121" s="102"/>
      <c r="C121" s="105"/>
      <c r="D121" s="108"/>
      <c r="E121" s="108"/>
      <c r="F121" s="30" t="s">
        <v>35</v>
      </c>
      <c r="G121" s="31">
        <f t="shared" si="7"/>
        <v>459795.07000000007</v>
      </c>
      <c r="H121" s="31">
        <f>H122+H123</f>
        <v>0</v>
      </c>
      <c r="I121" s="31">
        <f>I122+I123</f>
        <v>0</v>
      </c>
      <c r="J121" s="31">
        <f>J122+J123</f>
        <v>0</v>
      </c>
      <c r="K121" s="31">
        <f>K122+K123</f>
        <v>0</v>
      </c>
      <c r="L121" s="31">
        <f>L122+L123</f>
        <v>0</v>
      </c>
      <c r="M121" s="32">
        <f t="shared" si="4"/>
        <v>0</v>
      </c>
      <c r="N121" s="32">
        <f>N122+N123</f>
        <v>0</v>
      </c>
      <c r="O121" s="32">
        <f>O122+O123</f>
        <v>0</v>
      </c>
      <c r="P121" s="32">
        <f>P122+P123</f>
        <v>12207.565100000002</v>
      </c>
      <c r="Q121" s="32">
        <f>Q122+Q123</f>
        <v>210820.231</v>
      </c>
      <c r="R121" s="33">
        <f t="shared" si="5"/>
        <v>223027.79610000001</v>
      </c>
      <c r="S121" s="32">
        <f>S122+S123</f>
        <v>23000</v>
      </c>
      <c r="T121" s="32">
        <f>T122+T123</f>
        <v>92000</v>
      </c>
      <c r="U121" s="32">
        <f>U122+U123</f>
        <v>121767.27390000001</v>
      </c>
      <c r="V121" s="32">
        <f>V122+V123</f>
        <v>0</v>
      </c>
      <c r="W121" s="33">
        <f t="shared" si="6"/>
        <v>236767.27390000003</v>
      </c>
    </row>
    <row r="122" spans="2:23">
      <c r="B122" s="102"/>
      <c r="C122" s="105"/>
      <c r="D122" s="108"/>
      <c r="E122" s="108"/>
      <c r="F122" s="34" t="s">
        <v>36</v>
      </c>
      <c r="G122" s="31">
        <f t="shared" si="7"/>
        <v>459795.07000000007</v>
      </c>
      <c r="H122" s="36"/>
      <c r="I122" s="36"/>
      <c r="J122" s="36"/>
      <c r="K122" s="36"/>
      <c r="L122" s="61"/>
      <c r="M122" s="64">
        <f t="shared" si="4"/>
        <v>0</v>
      </c>
      <c r="N122" s="61"/>
      <c r="O122" s="61"/>
      <c r="P122" s="61">
        <f>P115*0.23</f>
        <v>12207.565100000002</v>
      </c>
      <c r="Q122" s="61">
        <f>Q115*0.23</f>
        <v>210820.231</v>
      </c>
      <c r="R122" s="33">
        <f t="shared" si="5"/>
        <v>223027.79610000001</v>
      </c>
      <c r="S122" s="61">
        <f>S115*0.23</f>
        <v>23000</v>
      </c>
      <c r="T122" s="61">
        <f>T115*0.23</f>
        <v>92000</v>
      </c>
      <c r="U122" s="61">
        <f>U115*0.23</f>
        <v>121767.27390000001</v>
      </c>
      <c r="V122" s="61">
        <f>V115*0.23</f>
        <v>0</v>
      </c>
      <c r="W122" s="33">
        <f t="shared" si="6"/>
        <v>236767.27390000003</v>
      </c>
    </row>
    <row r="123" spans="2:23" ht="78.75" customHeight="1" thickBot="1">
      <c r="B123" s="103"/>
      <c r="C123" s="106"/>
      <c r="D123" s="109"/>
      <c r="E123" s="109"/>
      <c r="F123" s="37" t="s">
        <v>37</v>
      </c>
      <c r="G123" s="31">
        <f t="shared" si="7"/>
        <v>0</v>
      </c>
      <c r="H123" s="39"/>
      <c r="I123" s="39"/>
      <c r="J123" s="39"/>
      <c r="K123" s="39"/>
      <c r="L123" s="39"/>
      <c r="M123" s="40">
        <f t="shared" si="4"/>
        <v>0</v>
      </c>
      <c r="N123" s="39"/>
      <c r="O123" s="39"/>
      <c r="P123" s="39"/>
      <c r="Q123" s="39"/>
      <c r="R123" s="41">
        <f t="shared" si="5"/>
        <v>0</v>
      </c>
      <c r="S123" s="39"/>
      <c r="T123" s="39"/>
      <c r="U123" s="39"/>
      <c r="V123" s="39"/>
      <c r="W123" s="41">
        <f t="shared" si="6"/>
        <v>0</v>
      </c>
    </row>
    <row r="124" spans="2:23" ht="16">
      <c r="B124" s="101" t="s">
        <v>46</v>
      </c>
      <c r="C124" s="114" t="s">
        <v>75</v>
      </c>
      <c r="D124" s="110" t="s">
        <v>39</v>
      </c>
      <c r="E124" s="110">
        <v>1</v>
      </c>
      <c r="F124" s="26" t="s">
        <v>27</v>
      </c>
      <c r="G124" s="31">
        <f t="shared" si="7"/>
        <v>7271330.7299999995</v>
      </c>
      <c r="H124" s="28">
        <f>H125+H132</f>
        <v>0</v>
      </c>
      <c r="I124" s="28">
        <f>I125+I132</f>
        <v>0</v>
      </c>
      <c r="J124" s="28">
        <f>J125+J132</f>
        <v>0</v>
      </c>
      <c r="K124" s="28">
        <f>K125+K132</f>
        <v>0</v>
      </c>
      <c r="L124" s="28">
        <f>L125+L132</f>
        <v>0</v>
      </c>
      <c r="M124" s="28">
        <f t="shared" si="4"/>
        <v>0</v>
      </c>
      <c r="N124" s="28">
        <f>N125+N132</f>
        <v>0</v>
      </c>
      <c r="O124" s="28">
        <f>O125+O132</f>
        <v>0</v>
      </c>
      <c r="P124" s="28">
        <f>P125+P132</f>
        <v>215776.69829999999</v>
      </c>
      <c r="Q124" s="28">
        <f>Q125+Q132</f>
        <v>2673643.5216000001</v>
      </c>
      <c r="R124" s="29">
        <f t="shared" si="5"/>
        <v>2889420.2198999999</v>
      </c>
      <c r="S124" s="28">
        <f>S125+S132</f>
        <v>307500</v>
      </c>
      <c r="T124" s="28">
        <f>T125+T132</f>
        <v>922500</v>
      </c>
      <c r="U124" s="28">
        <f>U125+U132</f>
        <v>3151910.5101000001</v>
      </c>
      <c r="V124" s="28">
        <f>V125+V132</f>
        <v>0</v>
      </c>
      <c r="W124" s="29">
        <f t="shared" si="6"/>
        <v>4381910.5100999996</v>
      </c>
    </row>
    <row r="125" spans="2:23" ht="32">
      <c r="B125" s="102"/>
      <c r="C125" s="105"/>
      <c r="D125" s="108"/>
      <c r="E125" s="108"/>
      <c r="F125" s="30" t="s">
        <v>28</v>
      </c>
      <c r="G125" s="31">
        <f t="shared" si="7"/>
        <v>5911651</v>
      </c>
      <c r="H125" s="32">
        <f>H127+H128+H129+H130+H131+H126</f>
        <v>0</v>
      </c>
      <c r="I125" s="32">
        <f>I127+I128+I129+I130+I131+I126</f>
        <v>0</v>
      </c>
      <c r="J125" s="32">
        <f>J127+J128+J129+J130+J131+J126</f>
        <v>0</v>
      </c>
      <c r="K125" s="32">
        <f>K127+K128+K129+K130+K131+K126</f>
        <v>0</v>
      </c>
      <c r="L125" s="32">
        <f>L127+L128+L129+L130+L131+L126</f>
        <v>0</v>
      </c>
      <c r="M125" s="32">
        <f t="shared" si="4"/>
        <v>0</v>
      </c>
      <c r="N125" s="32">
        <f>N126+N127+N128+N129+N130+N131</f>
        <v>0</v>
      </c>
      <c r="O125" s="32">
        <f>O126+O127+O128+O129+O130+O131</f>
        <v>0</v>
      </c>
      <c r="P125" s="32">
        <f>P126+P127+P128+P129+P130+P131</f>
        <v>175428.21</v>
      </c>
      <c r="Q125" s="32">
        <f>Q126+Q127+Q128+Q129+Q130+Q131</f>
        <v>2173693.92</v>
      </c>
      <c r="R125" s="33">
        <f t="shared" si="5"/>
        <v>2349122.13</v>
      </c>
      <c r="S125" s="32">
        <f>S126+S127+S128+S129+S130+S131</f>
        <v>250000</v>
      </c>
      <c r="T125" s="32">
        <f>T126+T127+T128+T129+T130+T131</f>
        <v>750000</v>
      </c>
      <c r="U125" s="32">
        <f>U126+U127+U128+U129+U130+U131</f>
        <v>2562528.87</v>
      </c>
      <c r="V125" s="32">
        <f>V126+V127+V128+V129+V130+V131</f>
        <v>0</v>
      </c>
      <c r="W125" s="33">
        <f t="shared" si="6"/>
        <v>3562528.87</v>
      </c>
    </row>
    <row r="126" spans="2:23" ht="30">
      <c r="B126" s="102"/>
      <c r="C126" s="105"/>
      <c r="D126" s="108"/>
      <c r="E126" s="108"/>
      <c r="F126" s="34" t="s">
        <v>29</v>
      </c>
      <c r="G126" s="31">
        <f t="shared" si="7"/>
        <v>5911651</v>
      </c>
      <c r="H126" s="35"/>
      <c r="I126" s="36"/>
      <c r="J126" s="36"/>
      <c r="K126" s="36"/>
      <c r="L126" s="61"/>
      <c r="M126" s="32">
        <f t="shared" si="4"/>
        <v>0</v>
      </c>
      <c r="N126" s="61"/>
      <c r="O126" s="61"/>
      <c r="P126" s="36">
        <v>175428.21</v>
      </c>
      <c r="Q126" s="36">
        <v>2173693.92</v>
      </c>
      <c r="R126" s="33">
        <f t="shared" si="5"/>
        <v>2349122.13</v>
      </c>
      <c r="S126" s="61">
        <v>250000</v>
      </c>
      <c r="T126" s="61">
        <v>750000</v>
      </c>
      <c r="U126" s="36">
        <v>2562528.87</v>
      </c>
      <c r="V126" s="36"/>
      <c r="W126" s="33">
        <f t="shared" si="6"/>
        <v>3562528.87</v>
      </c>
    </row>
    <row r="127" spans="2:23">
      <c r="B127" s="102"/>
      <c r="C127" s="105"/>
      <c r="D127" s="108"/>
      <c r="E127" s="108"/>
      <c r="F127" s="34" t="s">
        <v>30</v>
      </c>
      <c r="G127" s="31">
        <f t="shared" si="7"/>
        <v>0</v>
      </c>
      <c r="H127" s="36"/>
      <c r="I127" s="36"/>
      <c r="J127" s="36"/>
      <c r="K127" s="36"/>
      <c r="L127" s="36"/>
      <c r="M127" s="32">
        <f t="shared" si="4"/>
        <v>0</v>
      </c>
      <c r="N127" s="36"/>
      <c r="O127" s="36"/>
      <c r="P127" s="36"/>
      <c r="Q127" s="36"/>
      <c r="R127" s="33">
        <f t="shared" si="5"/>
        <v>0</v>
      </c>
      <c r="S127" s="36"/>
      <c r="T127" s="36"/>
      <c r="U127" s="36"/>
      <c r="V127" s="36"/>
      <c r="W127" s="33">
        <f t="shared" si="6"/>
        <v>0</v>
      </c>
    </row>
    <row r="128" spans="2:23">
      <c r="B128" s="102"/>
      <c r="C128" s="105"/>
      <c r="D128" s="108"/>
      <c r="E128" s="108"/>
      <c r="F128" s="34" t="s">
        <v>31</v>
      </c>
      <c r="G128" s="31">
        <f t="shared" si="7"/>
        <v>0</v>
      </c>
      <c r="H128" s="36"/>
      <c r="I128" s="36"/>
      <c r="J128" s="36"/>
      <c r="K128" s="36"/>
      <c r="L128" s="36"/>
      <c r="M128" s="32">
        <f t="shared" si="4"/>
        <v>0</v>
      </c>
      <c r="N128" s="36"/>
      <c r="O128" s="36"/>
      <c r="P128" s="36"/>
      <c r="Q128" s="36"/>
      <c r="R128" s="33">
        <f t="shared" si="5"/>
        <v>0</v>
      </c>
      <c r="S128" s="36"/>
      <c r="T128" s="36"/>
      <c r="U128" s="36"/>
      <c r="V128" s="36"/>
      <c r="W128" s="33">
        <f t="shared" si="6"/>
        <v>0</v>
      </c>
    </row>
    <row r="129" spans="2:23">
      <c r="B129" s="102"/>
      <c r="C129" s="105"/>
      <c r="D129" s="108"/>
      <c r="E129" s="108"/>
      <c r="F129" s="34" t="s">
        <v>32</v>
      </c>
      <c r="G129" s="31">
        <f t="shared" si="7"/>
        <v>0</v>
      </c>
      <c r="H129" s="36"/>
      <c r="I129" s="36"/>
      <c r="J129" s="36"/>
      <c r="K129" s="36"/>
      <c r="L129" s="36"/>
      <c r="M129" s="32">
        <f t="shared" si="4"/>
        <v>0</v>
      </c>
      <c r="N129" s="36"/>
      <c r="O129" s="36"/>
      <c r="P129" s="36"/>
      <c r="Q129" s="36"/>
      <c r="R129" s="33">
        <f t="shared" si="5"/>
        <v>0</v>
      </c>
      <c r="S129" s="36"/>
      <c r="T129" s="36"/>
      <c r="U129" s="36"/>
      <c r="V129" s="36"/>
      <c r="W129" s="33">
        <f t="shared" si="6"/>
        <v>0</v>
      </c>
    </row>
    <row r="130" spans="2:23">
      <c r="B130" s="102"/>
      <c r="C130" s="105"/>
      <c r="D130" s="108"/>
      <c r="E130" s="108"/>
      <c r="F130" s="34" t="s">
        <v>33</v>
      </c>
      <c r="G130" s="31">
        <f t="shared" si="7"/>
        <v>0</v>
      </c>
      <c r="H130" s="36"/>
      <c r="I130" s="36"/>
      <c r="J130" s="36"/>
      <c r="K130" s="36"/>
      <c r="L130" s="36"/>
      <c r="M130" s="32">
        <f t="shared" si="4"/>
        <v>0</v>
      </c>
      <c r="N130" s="36"/>
      <c r="O130" s="36"/>
      <c r="P130" s="36"/>
      <c r="Q130" s="36"/>
      <c r="R130" s="33">
        <f t="shared" si="5"/>
        <v>0</v>
      </c>
      <c r="S130" s="36"/>
      <c r="T130" s="36"/>
      <c r="U130" s="36"/>
      <c r="V130" s="36"/>
      <c r="W130" s="33">
        <f t="shared" si="6"/>
        <v>0</v>
      </c>
    </row>
    <row r="131" spans="2:23">
      <c r="B131" s="102"/>
      <c r="C131" s="105"/>
      <c r="D131" s="108"/>
      <c r="E131" s="108"/>
      <c r="F131" s="34" t="s">
        <v>34</v>
      </c>
      <c r="G131" s="31">
        <f t="shared" si="7"/>
        <v>0</v>
      </c>
      <c r="H131" s="36"/>
      <c r="I131" s="36"/>
      <c r="J131" s="36"/>
      <c r="K131" s="36"/>
      <c r="L131" s="36"/>
      <c r="M131" s="32">
        <f t="shared" si="4"/>
        <v>0</v>
      </c>
      <c r="N131" s="36"/>
      <c r="O131" s="36"/>
      <c r="P131" s="36"/>
      <c r="Q131" s="36"/>
      <c r="R131" s="33">
        <f t="shared" si="5"/>
        <v>0</v>
      </c>
      <c r="S131" s="36"/>
      <c r="T131" s="36"/>
      <c r="U131" s="36"/>
      <c r="V131" s="36"/>
      <c r="W131" s="33">
        <f t="shared" si="6"/>
        <v>0</v>
      </c>
    </row>
    <row r="132" spans="2:23" ht="32">
      <c r="B132" s="102"/>
      <c r="C132" s="105"/>
      <c r="D132" s="108"/>
      <c r="E132" s="108"/>
      <c r="F132" s="30" t="s">
        <v>35</v>
      </c>
      <c r="G132" s="31">
        <f t="shared" si="7"/>
        <v>1359679.73</v>
      </c>
      <c r="H132" s="31">
        <f>H133+H134</f>
        <v>0</v>
      </c>
      <c r="I132" s="31">
        <f>I133+I134</f>
        <v>0</v>
      </c>
      <c r="J132" s="31">
        <f>J133+J134</f>
        <v>0</v>
      </c>
      <c r="K132" s="31">
        <f>K133+K134</f>
        <v>0</v>
      </c>
      <c r="L132" s="31">
        <f>L133+L134</f>
        <v>0</v>
      </c>
      <c r="M132" s="32">
        <f t="shared" si="4"/>
        <v>0</v>
      </c>
      <c r="N132" s="32">
        <f>N133+N134</f>
        <v>0</v>
      </c>
      <c r="O132" s="32">
        <f>O133+O134</f>
        <v>0</v>
      </c>
      <c r="P132" s="32">
        <f>P133+P134</f>
        <v>40348.488299999997</v>
      </c>
      <c r="Q132" s="32">
        <f>Q133+Q134</f>
        <v>499949.60159999999</v>
      </c>
      <c r="R132" s="33">
        <f t="shared" si="5"/>
        <v>540298.08990000002</v>
      </c>
      <c r="S132" s="32">
        <f>S133+S134</f>
        <v>57500</v>
      </c>
      <c r="T132" s="32">
        <f>T133+T134</f>
        <v>172500</v>
      </c>
      <c r="U132" s="32">
        <f>U133+U134</f>
        <v>589381.64010000008</v>
      </c>
      <c r="V132" s="32">
        <f>V133+V134</f>
        <v>0</v>
      </c>
      <c r="W132" s="33">
        <f t="shared" si="6"/>
        <v>819381.64010000008</v>
      </c>
    </row>
    <row r="133" spans="2:23">
      <c r="B133" s="102"/>
      <c r="C133" s="105"/>
      <c r="D133" s="108"/>
      <c r="E133" s="108"/>
      <c r="F133" s="34" t="s">
        <v>36</v>
      </c>
      <c r="G133" s="31">
        <f t="shared" si="7"/>
        <v>1359679.73</v>
      </c>
      <c r="H133" s="36"/>
      <c r="I133" s="36"/>
      <c r="J133" s="36"/>
      <c r="K133" s="36"/>
      <c r="L133" s="61"/>
      <c r="M133" s="64">
        <f t="shared" si="4"/>
        <v>0</v>
      </c>
      <c r="N133" s="61"/>
      <c r="O133" s="61"/>
      <c r="P133" s="61">
        <f>P126*0.23</f>
        <v>40348.488299999997</v>
      </c>
      <c r="Q133" s="61">
        <f>Q126*0.23</f>
        <v>499949.60159999999</v>
      </c>
      <c r="R133" s="33">
        <f t="shared" si="5"/>
        <v>540298.08990000002</v>
      </c>
      <c r="S133" s="61">
        <f>S126*0.23</f>
        <v>57500</v>
      </c>
      <c r="T133" s="61">
        <f>T126*0.23</f>
        <v>172500</v>
      </c>
      <c r="U133" s="61">
        <f>U126*0.23</f>
        <v>589381.64010000008</v>
      </c>
      <c r="V133" s="168">
        <f>V126*0.23</f>
        <v>0.0</v>
      </c>
      <c r="W133" s="33">
        <f t="shared" si="6"/>
        <v>819381.64010000008</v>
      </c>
    </row>
    <row r="134" spans="2:23" ht="46.5" customHeight="1" thickBot="1">
      <c r="B134" s="103"/>
      <c r="C134" s="106"/>
      <c r="D134" s="109"/>
      <c r="E134" s="109"/>
      <c r="F134" s="37" t="s">
        <v>37</v>
      </c>
      <c r="G134" s="31">
        <f t="shared" si="7"/>
        <v>0</v>
      </c>
      <c r="H134" s="39"/>
      <c r="I134" s="39"/>
      <c r="J134" s="39"/>
      <c r="K134" s="39"/>
      <c r="L134" s="39"/>
      <c r="M134" s="40">
        <f t="shared" si="4"/>
        <v>0</v>
      </c>
      <c r="N134" s="39"/>
      <c r="O134" s="39"/>
      <c r="P134" s="39"/>
      <c r="Q134" s="39"/>
      <c r="R134" s="41">
        <f t="shared" si="5"/>
        <v>0</v>
      </c>
      <c r="S134" s="39"/>
      <c r="T134" s="39"/>
      <c r="U134" s="39"/>
      <c r="V134" s="39"/>
      <c r="W134" s="41">
        <f t="shared" si="6"/>
        <v>0</v>
      </c>
    </row>
    <row r="135" spans="2:23" ht="16">
      <c r="B135" s="101" t="s">
        <v>47</v>
      </c>
      <c r="C135" s="114" t="s">
        <v>76</v>
      </c>
      <c r="D135" s="110" t="s">
        <v>39</v>
      </c>
      <c r="E135" s="110">
        <v>1</v>
      </c>
      <c r="F135" s="26" t="s">
        <v>27</v>
      </c>
      <c r="G135" s="31">
        <f t="shared" si="7"/>
        <v>1138544.58</v>
      </c>
      <c r="H135" s="28">
        <f>H136+H143</f>
        <v>0</v>
      </c>
      <c r="I135" s="28">
        <f>I136+I143</f>
        <v>0</v>
      </c>
      <c r="J135" s="28">
        <f>J136+J143</f>
        <v>0</v>
      </c>
      <c r="K135" s="28">
        <f>K136+K143</f>
        <v>0</v>
      </c>
      <c r="L135" s="28">
        <f>L136+L143</f>
        <v>0</v>
      </c>
      <c r="M135" s="28">
        <f t="shared" si="4"/>
        <v>0</v>
      </c>
      <c r="N135" s="28">
        <f>N136+N143</f>
        <v>0</v>
      </c>
      <c r="O135" s="28">
        <f>O136+O143</f>
        <v>0</v>
      </c>
      <c r="P135" s="28">
        <f>P136+P143</f>
        <v>41500.126200000006</v>
      </c>
      <c r="Q135" s="28">
        <f>Q136+Q143</f>
        <v>551949.46200000006</v>
      </c>
      <c r="R135" s="29">
        <f t="shared" si="5"/>
        <v>593449.58820000011</v>
      </c>
      <c r="S135" s="28">
        <f>S136+S143</f>
        <v>545094.99179999996</v>
      </c>
      <c r="T135" s="28">
        <f>T136+T143</f>
        <v>0</v>
      </c>
      <c r="U135" s="28">
        <f>U136+U143</f>
        <v>0</v>
      </c>
      <c r="V135" s="28">
        <f>V136+V143</f>
        <v>0</v>
      </c>
      <c r="W135" s="29">
        <f t="shared" si="6"/>
        <v>545094.99179999996</v>
      </c>
    </row>
    <row r="136" spans="2:23" ht="32">
      <c r="B136" s="102"/>
      <c r="C136" s="105"/>
      <c r="D136" s="108"/>
      <c r="E136" s="108"/>
      <c r="F136" s="30" t="s">
        <v>28</v>
      </c>
      <c r="G136" s="31">
        <f t="shared" si="7"/>
        <v>925646</v>
      </c>
      <c r="H136" s="32">
        <f>H138+H139+H140+H141+H142+H137</f>
        <v>0</v>
      </c>
      <c r="I136" s="32">
        <f>I138+I139+I140+I141+I142+I137</f>
        <v>0</v>
      </c>
      <c r="J136" s="32">
        <f>J138+J139+J140+J141+J142+J137</f>
        <v>0</v>
      </c>
      <c r="K136" s="32">
        <f>K138+K139+K140+K141+K142+K137</f>
        <v>0</v>
      </c>
      <c r="L136" s="32">
        <f>L138+L139+L140+L141+L142+L137</f>
        <v>0</v>
      </c>
      <c r="M136" s="32">
        <f t="shared" si="4"/>
        <v>0</v>
      </c>
      <c r="N136" s="32">
        <f>N137+N138+N139+N140+N141+N142</f>
        <v>0</v>
      </c>
      <c r="O136" s="32">
        <f>O137+O138+O139+O140+O141+O142</f>
        <v>0</v>
      </c>
      <c r="P136" s="32">
        <f>P137+P138+P139+P140+P141+P142</f>
        <v>33739.94</v>
      </c>
      <c r="Q136" s="32">
        <f>Q137+Q138+Q139+Q140+Q141+Q142</f>
        <v>448739.4</v>
      </c>
      <c r="R136" s="33">
        <f t="shared" si="5"/>
        <v>482479.34</v>
      </c>
      <c r="S136" s="32">
        <f>S137+S138+S139+S140+S141+S142</f>
        <v>443166.66</v>
      </c>
      <c r="T136" s="32">
        <f>T137+T138+T139+T140+T141+T142</f>
        <v>0</v>
      </c>
      <c r="U136" s="32">
        <f>U137+U138+U139+U140+U141+U142</f>
        <v>0</v>
      </c>
      <c r="V136" s="32">
        <f>V137+V138+V139+V140+V141+V142</f>
        <v>0</v>
      </c>
      <c r="W136" s="33">
        <f t="shared" si="6"/>
        <v>443166.66</v>
      </c>
    </row>
    <row r="137" spans="2:23" ht="30">
      <c r="B137" s="102"/>
      <c r="C137" s="105"/>
      <c r="D137" s="108"/>
      <c r="E137" s="108"/>
      <c r="F137" s="34" t="s">
        <v>29</v>
      </c>
      <c r="G137" s="31">
        <f t="shared" si="7"/>
        <v>925646</v>
      </c>
      <c r="H137" s="35"/>
      <c r="I137" s="36"/>
      <c r="J137" s="36"/>
      <c r="K137" s="36"/>
      <c r="L137" s="61"/>
      <c r="M137" s="32">
        <f t="shared" si="4"/>
        <v>0</v>
      </c>
      <c r="N137" s="61"/>
      <c r="O137" s="61"/>
      <c r="P137" s="36">
        <v>33739.94</v>
      </c>
      <c r="Q137" s="36">
        <v>448739.4</v>
      </c>
      <c r="R137" s="33">
        <f t="shared" si="5"/>
        <v>482479.34</v>
      </c>
      <c r="S137" s="61">
        <v>443166.66</v>
      </c>
      <c r="T137" s="61"/>
      <c r="U137" s="36"/>
      <c r="V137" s="36"/>
      <c r="W137" s="33">
        <f t="shared" si="6"/>
        <v>443166.66</v>
      </c>
    </row>
    <row r="138" spans="2:23">
      <c r="B138" s="102"/>
      <c r="C138" s="105"/>
      <c r="D138" s="108"/>
      <c r="E138" s="108"/>
      <c r="F138" s="34" t="s">
        <v>30</v>
      </c>
      <c r="G138" s="31">
        <f t="shared" si="7"/>
        <v>0</v>
      </c>
      <c r="H138" s="36"/>
      <c r="I138" s="36"/>
      <c r="J138" s="36"/>
      <c r="K138" s="36"/>
      <c r="L138" s="36"/>
      <c r="M138" s="32">
        <f t="shared" si="4"/>
        <v>0</v>
      </c>
      <c r="N138" s="36"/>
      <c r="O138" s="36"/>
      <c r="P138" s="36"/>
      <c r="Q138" s="36"/>
      <c r="R138" s="33">
        <f t="shared" si="5"/>
        <v>0</v>
      </c>
      <c r="S138" s="36"/>
      <c r="T138" s="36"/>
      <c r="U138" s="36"/>
      <c r="V138" s="36"/>
      <c r="W138" s="33">
        <f t="shared" si="6"/>
        <v>0</v>
      </c>
    </row>
    <row r="139" spans="2:23">
      <c r="B139" s="102"/>
      <c r="C139" s="105"/>
      <c r="D139" s="108"/>
      <c r="E139" s="108"/>
      <c r="F139" s="34" t="s">
        <v>31</v>
      </c>
      <c r="G139" s="31">
        <f t="shared" si="7"/>
        <v>0</v>
      </c>
      <c r="H139" s="36"/>
      <c r="I139" s="36"/>
      <c r="J139" s="36"/>
      <c r="K139" s="36"/>
      <c r="L139" s="36"/>
      <c r="M139" s="32">
        <f t="shared" si="4"/>
        <v>0</v>
      </c>
      <c r="N139" s="36"/>
      <c r="O139" s="36"/>
      <c r="P139" s="36"/>
      <c r="Q139" s="36"/>
      <c r="R139" s="33">
        <f t="shared" si="5"/>
        <v>0</v>
      </c>
      <c r="S139" s="36"/>
      <c r="T139" s="36"/>
      <c r="U139" s="36"/>
      <c r="V139" s="36"/>
      <c r="W139" s="33">
        <f t="shared" si="6"/>
        <v>0</v>
      </c>
    </row>
    <row r="140" spans="2:23">
      <c r="B140" s="102"/>
      <c r="C140" s="105"/>
      <c r="D140" s="108"/>
      <c r="E140" s="108"/>
      <c r="F140" s="34" t="s">
        <v>32</v>
      </c>
      <c r="G140" s="31">
        <f t="shared" si="7"/>
        <v>0</v>
      </c>
      <c r="H140" s="36"/>
      <c r="I140" s="36"/>
      <c r="J140" s="36"/>
      <c r="K140" s="36"/>
      <c r="L140" s="36"/>
      <c r="M140" s="32">
        <f t="shared" si="4"/>
        <v>0</v>
      </c>
      <c r="N140" s="36"/>
      <c r="O140" s="36"/>
      <c r="P140" s="36"/>
      <c r="Q140" s="36"/>
      <c r="R140" s="33">
        <f t="shared" si="5"/>
        <v>0</v>
      </c>
      <c r="S140" s="36"/>
      <c r="T140" s="36"/>
      <c r="U140" s="36"/>
      <c r="V140" s="36"/>
      <c r="W140" s="33">
        <f t="shared" si="6"/>
        <v>0</v>
      </c>
    </row>
    <row r="141" spans="2:23">
      <c r="B141" s="102"/>
      <c r="C141" s="105"/>
      <c r="D141" s="108"/>
      <c r="E141" s="108"/>
      <c r="F141" s="34" t="s">
        <v>33</v>
      </c>
      <c r="G141" s="31">
        <f t="shared" si="7"/>
        <v>0</v>
      </c>
      <c r="H141" s="36"/>
      <c r="I141" s="36"/>
      <c r="J141" s="36"/>
      <c r="K141" s="36"/>
      <c r="L141" s="36"/>
      <c r="M141" s="32">
        <f t="shared" si="4"/>
        <v>0</v>
      </c>
      <c r="N141" s="36"/>
      <c r="O141" s="36"/>
      <c r="P141" s="36"/>
      <c r="Q141" s="36"/>
      <c r="R141" s="33">
        <f t="shared" si="5"/>
        <v>0</v>
      </c>
      <c r="S141" s="36"/>
      <c r="T141" s="36"/>
      <c r="U141" s="36"/>
      <c r="V141" s="36"/>
      <c r="W141" s="33">
        <f t="shared" si="6"/>
        <v>0</v>
      </c>
    </row>
    <row r="142" spans="2:23">
      <c r="B142" s="102"/>
      <c r="C142" s="105"/>
      <c r="D142" s="108"/>
      <c r="E142" s="108"/>
      <c r="F142" s="34" t="s">
        <v>34</v>
      </c>
      <c r="G142" s="31">
        <f t="shared" si="7"/>
        <v>0</v>
      </c>
      <c r="H142" s="36"/>
      <c r="I142" s="36"/>
      <c r="J142" s="36"/>
      <c r="K142" s="36"/>
      <c r="L142" s="36"/>
      <c r="M142" s="32">
        <f t="shared" ref="M142:M167" si="8">I142+J142+K142+L142</f>
        <v>0</v>
      </c>
      <c r="N142" s="36"/>
      <c r="O142" s="36"/>
      <c r="P142" s="36"/>
      <c r="Q142" s="36"/>
      <c r="R142" s="33">
        <f t="shared" ref="R142:R167" si="9">N142+O142+P142+Q142</f>
        <v>0</v>
      </c>
      <c r="S142" s="36"/>
      <c r="T142" s="36"/>
      <c r="U142" s="36"/>
      <c r="V142" s="36"/>
      <c r="W142" s="33">
        <f t="shared" ref="W142:W167" si="10">S142+T142+U142+V142</f>
        <v>0</v>
      </c>
    </row>
    <row r="143" spans="2:23" ht="32">
      <c r="B143" s="102"/>
      <c r="C143" s="105"/>
      <c r="D143" s="108"/>
      <c r="E143" s="108"/>
      <c r="F143" s="30" t="s">
        <v>35</v>
      </c>
      <c r="G143" s="31">
        <f t="shared" si="7"/>
        <v>212898.58000000002</v>
      </c>
      <c r="H143" s="31">
        <f>H144+H145</f>
        <v>0</v>
      </c>
      <c r="I143" s="31">
        <f>I144+I145</f>
        <v>0</v>
      </c>
      <c r="J143" s="31">
        <f>J144+J145</f>
        <v>0</v>
      </c>
      <c r="K143" s="31">
        <f>K144+K145</f>
        <v>0</v>
      </c>
      <c r="L143" s="31">
        <f>L144+L145</f>
        <v>0</v>
      </c>
      <c r="M143" s="32">
        <f t="shared" si="8"/>
        <v>0</v>
      </c>
      <c r="N143" s="32">
        <f>N144+N145</f>
        <v>0</v>
      </c>
      <c r="O143" s="32">
        <f>O144+O145</f>
        <v>0</v>
      </c>
      <c r="P143" s="32">
        <f>P144+P145</f>
        <v>7760.186200000001</v>
      </c>
      <c r="Q143" s="32">
        <f>Q144+Q145</f>
        <v>103210.06200000001</v>
      </c>
      <c r="R143" s="33">
        <f t="shared" si="9"/>
        <v>110970.2482</v>
      </c>
      <c r="S143" s="32">
        <f>S144+S145</f>
        <v>101928.3318</v>
      </c>
      <c r="T143" s="32">
        <f>T144+T145</f>
        <v>0</v>
      </c>
      <c r="U143" s="32">
        <f>U144+U145</f>
        <v>0</v>
      </c>
      <c r="V143" s="32">
        <f>V144+V145</f>
        <v>0</v>
      </c>
      <c r="W143" s="33">
        <f t="shared" si="10"/>
        <v>101928.3318</v>
      </c>
    </row>
    <row r="144" spans="2:23">
      <c r="B144" s="102"/>
      <c r="C144" s="105"/>
      <c r="D144" s="108"/>
      <c r="E144" s="108"/>
      <c r="F144" s="34" t="s">
        <v>36</v>
      </c>
      <c r="G144" s="31">
        <f t="shared" si="7"/>
        <v>212898.58000000002</v>
      </c>
      <c r="H144" s="36"/>
      <c r="I144" s="36"/>
      <c r="J144" s="36"/>
      <c r="K144" s="36"/>
      <c r="L144" s="61"/>
      <c r="M144" s="64">
        <f t="shared" si="8"/>
        <v>0</v>
      </c>
      <c r="N144" s="61"/>
      <c r="O144" s="61"/>
      <c r="P144" s="61">
        <f>P137*0.23</f>
        <v>7760.186200000001</v>
      </c>
      <c r="Q144" s="61">
        <f>Q137*0.23</f>
        <v>103210.06200000001</v>
      </c>
      <c r="R144" s="33">
        <f t="shared" si="9"/>
        <v>110970.2482</v>
      </c>
      <c r="S144" s="61">
        <f>S137*0.23</f>
        <v>101928.3318</v>
      </c>
      <c r="T144" s="61">
        <f>T137*0.23</f>
        <v>0</v>
      </c>
      <c r="U144" s="61">
        <f>U137*0.23</f>
        <v>0</v>
      </c>
      <c r="V144" s="61">
        <f>V137*0.23</f>
        <v>0</v>
      </c>
      <c r="W144" s="33">
        <f t="shared" si="10"/>
        <v>101928.3318</v>
      </c>
    </row>
    <row r="145" spans="2:23" ht="31" thickBot="1">
      <c r="B145" s="103"/>
      <c r="C145" s="106"/>
      <c r="D145" s="109"/>
      <c r="E145" s="109"/>
      <c r="F145" s="37" t="s">
        <v>37</v>
      </c>
      <c r="G145" s="31">
        <f t="shared" ref="G145:G167" si="11">H145+M145+R145+W145</f>
        <v>0</v>
      </c>
      <c r="H145" s="39"/>
      <c r="I145" s="39"/>
      <c r="J145" s="39"/>
      <c r="K145" s="39"/>
      <c r="L145" s="39"/>
      <c r="M145" s="40">
        <f t="shared" si="8"/>
        <v>0</v>
      </c>
      <c r="N145" s="39"/>
      <c r="O145" s="39"/>
      <c r="P145" s="39"/>
      <c r="Q145" s="39"/>
      <c r="R145" s="41">
        <f t="shared" si="9"/>
        <v>0</v>
      </c>
      <c r="S145" s="39"/>
      <c r="T145" s="39"/>
      <c r="U145" s="39"/>
      <c r="V145" s="39"/>
      <c r="W145" s="41">
        <f t="shared" si="10"/>
        <v>0</v>
      </c>
    </row>
    <row r="146" spans="2:23" ht="16">
      <c r="B146" s="101">
        <v>5</v>
      </c>
      <c r="C146" s="104" t="s">
        <v>77</v>
      </c>
      <c r="D146" s="110" t="s">
        <v>26</v>
      </c>
      <c r="E146" s="110">
        <v>1</v>
      </c>
      <c r="F146" s="26" t="s">
        <v>27</v>
      </c>
      <c r="G146" s="31">
        <f>H146+M146+R146+W146+0.01</f>
        <v>3667781.9112999993</v>
      </c>
      <c r="H146" s="28">
        <f>H147+H154</f>
        <v>0</v>
      </c>
      <c r="I146" s="28">
        <f>I147+I154</f>
        <v>0</v>
      </c>
      <c r="J146" s="28">
        <f>J147+J154</f>
        <v>0</v>
      </c>
      <c r="K146" s="28">
        <f>K147+K154</f>
        <v>0</v>
      </c>
      <c r="L146" s="28">
        <f>L147+L154</f>
        <v>0</v>
      </c>
      <c r="M146" s="28">
        <f t="shared" si="8"/>
        <v>0</v>
      </c>
      <c r="N146" s="28">
        <f>N147+N154</f>
        <v>0</v>
      </c>
      <c r="O146" s="28">
        <f>O147+O154</f>
        <v>-3.0000000000000001E-3</v>
      </c>
      <c r="P146" s="28">
        <f>P147+P154</f>
        <v>1820867.4</v>
      </c>
      <c r="Q146" s="28">
        <f>Q147+Q154</f>
        <v>1477914.5072999999</v>
      </c>
      <c r="R146" s="29">
        <f t="shared" si="9"/>
        <v>3298781.9042999996</v>
      </c>
      <c r="S146" s="28">
        <f>S147+S154</f>
        <v>123000</v>
      </c>
      <c r="T146" s="28">
        <f>T147+T154</f>
        <v>122999.997</v>
      </c>
      <c r="U146" s="28">
        <f>U147+U154</f>
        <v>123000</v>
      </c>
      <c r="V146" s="28">
        <f>V147+V154</f>
        <v>0</v>
      </c>
      <c r="W146" s="29">
        <f t="shared" si="10"/>
        <v>368999.99699999997</v>
      </c>
    </row>
    <row r="147" spans="2:23" ht="32">
      <c r="B147" s="102"/>
      <c r="C147" s="105"/>
      <c r="D147" s="108"/>
      <c r="E147" s="108"/>
      <c r="F147" s="30" t="s">
        <v>28</v>
      </c>
      <c r="G147" s="31">
        <f>H147+M147+R147+W147+0.01</f>
        <v>2981936.514</v>
      </c>
      <c r="H147" s="32">
        <f>H149+H150+H151+H152+H153+H148</f>
        <v>0</v>
      </c>
      <c r="I147" s="32">
        <f>I149+I150+I151+I152+I153+I148</f>
        <v>0</v>
      </c>
      <c r="J147" s="32">
        <f>J149+J150+J151+J152+J153+J148</f>
        <v>0</v>
      </c>
      <c r="K147" s="32">
        <f>K149+K150+K151+K152+K153+K148</f>
        <v>0</v>
      </c>
      <c r="L147" s="32">
        <f>L149+L150+L151+L152+L153+L148</f>
        <v>0</v>
      </c>
      <c r="M147" s="32">
        <f t="shared" si="8"/>
        <v>0</v>
      </c>
      <c r="N147" s="32">
        <f>N148+N149+N150+N151+N152+N153</f>
        <v>0</v>
      </c>
      <c r="O147" s="32">
        <f>O148+O149+O150+O151+O152+O153-0.003</f>
        <v>-3.0000000000000001E-3</v>
      </c>
      <c r="P147" s="32">
        <f>P148+P149+P150+P151+P152+P153</f>
        <v>1480380</v>
      </c>
      <c r="Q147" s="32">
        <f>Q148+Q149+Q150+Q151+Q152+Q153</f>
        <v>1201556.51</v>
      </c>
      <c r="R147" s="33">
        <f t="shared" si="9"/>
        <v>2681936.5070000002</v>
      </c>
      <c r="S147" s="32">
        <f>S148+S149+S150+S151+S152+S153</f>
        <v>100000</v>
      </c>
      <c r="T147" s="32">
        <f>T148+T149+T150+T151+T152+T153-0.003</f>
        <v>99999.997000000003</v>
      </c>
      <c r="U147" s="32">
        <f>U148+U149+U150+U151+U152+U153</f>
        <v>100000</v>
      </c>
      <c r="V147" s="32">
        <f>V148+V149+V150+V151+V152+V153</f>
        <v>0</v>
      </c>
      <c r="W147" s="33">
        <f t="shared" si="10"/>
        <v>299999.99699999997</v>
      </c>
    </row>
    <row r="148" spans="2:23" ht="30">
      <c r="B148" s="102"/>
      <c r="C148" s="105"/>
      <c r="D148" s="108"/>
      <c r="E148" s="108"/>
      <c r="F148" s="34" t="s">
        <v>29</v>
      </c>
      <c r="G148" s="31">
        <f t="shared" si="11"/>
        <v>2981936.51</v>
      </c>
      <c r="H148" s="35"/>
      <c r="I148" s="36"/>
      <c r="J148" s="61"/>
      <c r="K148" s="61"/>
      <c r="L148" s="63"/>
      <c r="M148" s="69">
        <f t="shared" si="8"/>
        <v>0</v>
      </c>
      <c r="N148" s="35"/>
      <c r="O148" s="35"/>
      <c r="P148" s="36">
        <v>1480380</v>
      </c>
      <c r="Q148" s="36">
        <v>1201556.51</v>
      </c>
      <c r="R148" s="33">
        <f t="shared" si="9"/>
        <v>2681936.5099999998</v>
      </c>
      <c r="S148" s="35">
        <v>100000</v>
      </c>
      <c r="T148" s="35">
        <v>100000</v>
      </c>
      <c r="U148" s="36">
        <v>100000</v>
      </c>
      <c r="V148" s="36"/>
      <c r="W148" s="33">
        <f t="shared" si="10"/>
        <v>300000</v>
      </c>
    </row>
    <row r="149" spans="2:23">
      <c r="B149" s="102"/>
      <c r="C149" s="105"/>
      <c r="D149" s="108"/>
      <c r="E149" s="108"/>
      <c r="F149" s="34" t="s">
        <v>30</v>
      </c>
      <c r="G149" s="31">
        <f t="shared" si="11"/>
        <v>0</v>
      </c>
      <c r="H149" s="36"/>
      <c r="I149" s="36"/>
      <c r="J149" s="36"/>
      <c r="K149" s="36"/>
      <c r="L149" s="36"/>
      <c r="M149" s="32">
        <f t="shared" si="8"/>
        <v>0</v>
      </c>
      <c r="N149" s="36"/>
      <c r="O149" s="36"/>
      <c r="P149" s="36"/>
      <c r="Q149" s="36"/>
      <c r="R149" s="33">
        <f t="shared" si="9"/>
        <v>0</v>
      </c>
      <c r="S149" s="36"/>
      <c r="T149" s="36"/>
      <c r="U149" s="36"/>
      <c r="V149" s="36"/>
      <c r="W149" s="33">
        <f t="shared" si="10"/>
        <v>0</v>
      </c>
    </row>
    <row r="150" spans="2:23">
      <c r="B150" s="102"/>
      <c r="C150" s="105"/>
      <c r="D150" s="108"/>
      <c r="E150" s="108"/>
      <c r="F150" s="34" t="s">
        <v>31</v>
      </c>
      <c r="G150" s="31">
        <f t="shared" si="11"/>
        <v>0</v>
      </c>
      <c r="H150" s="36"/>
      <c r="I150" s="36"/>
      <c r="J150" s="36"/>
      <c r="K150" s="36"/>
      <c r="L150" s="36"/>
      <c r="M150" s="32">
        <f t="shared" si="8"/>
        <v>0</v>
      </c>
      <c r="N150" s="36"/>
      <c r="O150" s="36"/>
      <c r="P150" s="36"/>
      <c r="Q150" s="36"/>
      <c r="R150" s="33">
        <f t="shared" si="9"/>
        <v>0</v>
      </c>
      <c r="S150" s="36"/>
      <c r="T150" s="36"/>
      <c r="U150" s="36"/>
      <c r="V150" s="36"/>
      <c r="W150" s="33">
        <f t="shared" si="10"/>
        <v>0</v>
      </c>
    </row>
    <row r="151" spans="2:23">
      <c r="B151" s="102"/>
      <c r="C151" s="105"/>
      <c r="D151" s="108"/>
      <c r="E151" s="108"/>
      <c r="F151" s="34" t="s">
        <v>32</v>
      </c>
      <c r="G151" s="31">
        <f t="shared" si="11"/>
        <v>0</v>
      </c>
      <c r="H151" s="36"/>
      <c r="I151" s="36"/>
      <c r="J151" s="36"/>
      <c r="K151" s="36"/>
      <c r="L151" s="36"/>
      <c r="M151" s="32">
        <f t="shared" si="8"/>
        <v>0</v>
      </c>
      <c r="N151" s="36"/>
      <c r="O151" s="36"/>
      <c r="P151" s="36"/>
      <c r="Q151" s="36"/>
      <c r="R151" s="33">
        <f t="shared" si="9"/>
        <v>0</v>
      </c>
      <c r="S151" s="36"/>
      <c r="T151" s="36"/>
      <c r="U151" s="36"/>
      <c r="V151" s="36"/>
      <c r="W151" s="33">
        <f t="shared" si="10"/>
        <v>0</v>
      </c>
    </row>
    <row r="152" spans="2:23">
      <c r="B152" s="102"/>
      <c r="C152" s="105"/>
      <c r="D152" s="108"/>
      <c r="E152" s="108"/>
      <c r="F152" s="34" t="s">
        <v>33</v>
      </c>
      <c r="G152" s="31">
        <f t="shared" si="11"/>
        <v>0</v>
      </c>
      <c r="H152" s="36"/>
      <c r="I152" s="36"/>
      <c r="J152" s="36"/>
      <c r="K152" s="36"/>
      <c r="L152" s="36"/>
      <c r="M152" s="32">
        <f t="shared" si="8"/>
        <v>0</v>
      </c>
      <c r="N152" s="36"/>
      <c r="O152" s="36"/>
      <c r="P152" s="36"/>
      <c r="Q152" s="36"/>
      <c r="R152" s="33">
        <f t="shared" si="9"/>
        <v>0</v>
      </c>
      <c r="S152" s="36"/>
      <c r="T152" s="36"/>
      <c r="U152" s="36"/>
      <c r="V152" s="36"/>
      <c r="W152" s="33">
        <f t="shared" si="10"/>
        <v>0</v>
      </c>
    </row>
    <row r="153" spans="2:23">
      <c r="B153" s="102"/>
      <c r="C153" s="105"/>
      <c r="D153" s="108"/>
      <c r="E153" s="108"/>
      <c r="F153" s="34" t="s">
        <v>34</v>
      </c>
      <c r="G153" s="31">
        <f t="shared" si="11"/>
        <v>0</v>
      </c>
      <c r="H153" s="36"/>
      <c r="I153" s="36"/>
      <c r="J153" s="36"/>
      <c r="K153" s="36"/>
      <c r="L153" s="36"/>
      <c r="M153" s="32">
        <f t="shared" si="8"/>
        <v>0</v>
      </c>
      <c r="N153" s="36"/>
      <c r="O153" s="36"/>
      <c r="P153" s="36"/>
      <c r="Q153" s="36"/>
      <c r="R153" s="33">
        <f t="shared" si="9"/>
        <v>0</v>
      </c>
      <c r="S153" s="36"/>
      <c r="T153" s="36"/>
      <c r="U153" s="36"/>
      <c r="V153" s="36"/>
      <c r="W153" s="33">
        <f t="shared" si="10"/>
        <v>0</v>
      </c>
    </row>
    <row r="154" spans="2:23" ht="32">
      <c r="B154" s="102"/>
      <c r="C154" s="105"/>
      <c r="D154" s="108"/>
      <c r="E154" s="108"/>
      <c r="F154" s="30" t="s">
        <v>35</v>
      </c>
      <c r="G154" s="31">
        <f t="shared" si="11"/>
        <v>685845.39730000007</v>
      </c>
      <c r="H154" s="31">
        <f>H155+H156</f>
        <v>0</v>
      </c>
      <c r="I154" s="31">
        <f>I155+I156</f>
        <v>0</v>
      </c>
      <c r="J154" s="31">
        <f>J155+J156</f>
        <v>0</v>
      </c>
      <c r="K154" s="31">
        <f>K155+K156</f>
        <v>0</v>
      </c>
      <c r="L154" s="31">
        <f>L155+L156</f>
        <v>0</v>
      </c>
      <c r="M154" s="32">
        <f t="shared" si="8"/>
        <v>0</v>
      </c>
      <c r="N154" s="32">
        <f>N155+N156</f>
        <v>0</v>
      </c>
      <c r="O154" s="32">
        <f>O155+O156</f>
        <v>0</v>
      </c>
      <c r="P154" s="32">
        <f>P155+P156</f>
        <v>340487.4</v>
      </c>
      <c r="Q154" s="32">
        <f>Q155+Q156</f>
        <v>276357.99729999999</v>
      </c>
      <c r="R154" s="33">
        <f t="shared" si="9"/>
        <v>616845.39730000007</v>
      </c>
      <c r="S154" s="32">
        <f>S155+S156</f>
        <v>23000</v>
      </c>
      <c r="T154" s="32">
        <f>T155+T156</f>
        <v>23000</v>
      </c>
      <c r="U154" s="32">
        <f>U155+U156</f>
        <v>23000</v>
      </c>
      <c r="V154" s="32">
        <f>V155+V156</f>
        <v>0</v>
      </c>
      <c r="W154" s="33">
        <f t="shared" si="10"/>
        <v>69000</v>
      </c>
    </row>
    <row r="155" spans="2:23">
      <c r="B155" s="102"/>
      <c r="C155" s="105"/>
      <c r="D155" s="108"/>
      <c r="E155" s="108"/>
      <c r="F155" s="34" t="s">
        <v>36</v>
      </c>
      <c r="G155" s="31">
        <f t="shared" si="11"/>
        <v>685845.39730000007</v>
      </c>
      <c r="H155" s="36"/>
      <c r="I155" s="36"/>
      <c r="J155" s="61"/>
      <c r="K155" s="61"/>
      <c r="L155" s="61"/>
      <c r="M155" s="32">
        <f t="shared" si="8"/>
        <v>0</v>
      </c>
      <c r="N155" s="61"/>
      <c r="O155" s="61"/>
      <c r="P155" s="61">
        <f>P148*0.23</f>
        <v>340487.4</v>
      </c>
      <c r="Q155" s="61">
        <f>Q148*0.23</f>
        <v>276357.99729999999</v>
      </c>
      <c r="R155" s="33">
        <f t="shared" si="9"/>
        <v>616845.39730000007</v>
      </c>
      <c r="S155" s="61">
        <f>S148*0.23</f>
        <v>23000</v>
      </c>
      <c r="T155" s="61">
        <f t="shared" ref="T155:U155" si="12">T148*0.23</f>
        <v>23000</v>
      </c>
      <c r="U155" s="61">
        <f t="shared" si="12"/>
        <v>23000</v>
      </c>
      <c r="V155" s="61">
        <f>V148*0.23</f>
        <v>0</v>
      </c>
      <c r="W155" s="33">
        <f t="shared" si="10"/>
        <v>69000</v>
      </c>
    </row>
    <row r="156" spans="2:23" ht="31" thickBot="1">
      <c r="B156" s="103"/>
      <c r="C156" s="106"/>
      <c r="D156" s="109"/>
      <c r="E156" s="109"/>
      <c r="F156" s="37" t="s">
        <v>37</v>
      </c>
      <c r="G156" s="31">
        <f t="shared" si="11"/>
        <v>0</v>
      </c>
      <c r="H156" s="39"/>
      <c r="I156" s="39"/>
      <c r="J156" s="39"/>
      <c r="K156" s="39"/>
      <c r="L156" s="39"/>
      <c r="M156" s="40">
        <f t="shared" si="8"/>
        <v>0</v>
      </c>
      <c r="N156" s="39"/>
      <c r="O156" s="39"/>
      <c r="P156" s="39"/>
      <c r="Q156" s="39"/>
      <c r="R156" s="41">
        <f t="shared" si="9"/>
        <v>0</v>
      </c>
      <c r="S156" s="39"/>
      <c r="T156" s="39"/>
      <c r="U156" s="39"/>
      <c r="V156" s="39"/>
      <c r="W156" s="41">
        <f t="shared" si="10"/>
        <v>0</v>
      </c>
    </row>
    <row r="157" spans="2:23" ht="16">
      <c r="B157" s="101">
        <v>6</v>
      </c>
      <c r="C157" s="104" t="s">
        <v>67</v>
      </c>
      <c r="D157" s="110" t="s">
        <v>26</v>
      </c>
      <c r="E157" s="110">
        <v>9</v>
      </c>
      <c r="F157" s="26" t="s">
        <v>27</v>
      </c>
      <c r="G157" s="31">
        <f t="shared" si="11"/>
        <v>116850</v>
      </c>
      <c r="H157" s="28">
        <f>H158+H165</f>
        <v>0</v>
      </c>
      <c r="I157" s="28">
        <f>I158+I165</f>
        <v>0</v>
      </c>
      <c r="J157" s="28">
        <f>J158+J165</f>
        <v>0</v>
      </c>
      <c r="K157" s="28">
        <f>K158+K165</f>
        <v>0</v>
      </c>
      <c r="L157" s="28">
        <f>L158+L165</f>
        <v>0</v>
      </c>
      <c r="M157" s="28">
        <f t="shared" si="8"/>
        <v>0</v>
      </c>
      <c r="N157" s="28">
        <f>N158+N165</f>
        <v>0</v>
      </c>
      <c r="O157" s="28">
        <f>O158+O165</f>
        <v>0</v>
      </c>
      <c r="P157" s="28">
        <f>P158+P165</f>
        <v>7995</v>
      </c>
      <c r="Q157" s="28">
        <f>Q158+Q165</f>
        <v>0</v>
      </c>
      <c r="R157" s="29">
        <f t="shared" si="9"/>
        <v>7995</v>
      </c>
      <c r="S157" s="28">
        <f>S158+S165</f>
        <v>49200</v>
      </c>
      <c r="T157" s="28">
        <f>T158+T165</f>
        <v>59655</v>
      </c>
      <c r="U157" s="28">
        <f>U158+U165</f>
        <v>0</v>
      </c>
      <c r="V157" s="28">
        <f>V158+V165</f>
        <v>0</v>
      </c>
      <c r="W157" s="29">
        <f t="shared" si="10"/>
        <v>108855</v>
      </c>
    </row>
    <row r="158" spans="2:23" ht="32">
      <c r="B158" s="102"/>
      <c r="C158" s="105"/>
      <c r="D158" s="108"/>
      <c r="E158" s="108"/>
      <c r="F158" s="30" t="s">
        <v>28</v>
      </c>
      <c r="G158" s="31">
        <f>H158+M158+R158+W158</f>
        <v>95000</v>
      </c>
      <c r="H158" s="32">
        <f>H160+H161+H162+H163+H164+H159</f>
        <v>0</v>
      </c>
      <c r="I158" s="32">
        <f>I160+I161+I162+I163+I164+I159</f>
        <v>0</v>
      </c>
      <c r="J158" s="32">
        <f>J160+J161+J162+J163+J164+J159</f>
        <v>0</v>
      </c>
      <c r="K158" s="69">
        <f>K160+K161+K162+K163+K164+K159</f>
        <v>0</v>
      </c>
      <c r="L158" s="32">
        <f>L160+L161+L162+L163+L164+L159</f>
        <v>0</v>
      </c>
      <c r="M158" s="32">
        <f t="shared" si="8"/>
        <v>0</v>
      </c>
      <c r="N158" s="32">
        <f>N159+N160+N161+N162+N163+N164</f>
        <v>0</v>
      </c>
      <c r="O158" s="32">
        <f>O159+O160+O161+O162+O163+O164</f>
        <v>0</v>
      </c>
      <c r="P158" s="32">
        <f>P159+P160+P161+P162+P163+P164</f>
        <v>6500</v>
      </c>
      <c r="Q158" s="32">
        <f>Q159+Q160+Q161+Q162+Q163+Q164</f>
        <v>0</v>
      </c>
      <c r="R158" s="33">
        <f t="shared" si="9"/>
        <v>6500</v>
      </c>
      <c r="S158" s="32">
        <f>S159+S160+S161+S162+S163+S164</f>
        <v>40000</v>
      </c>
      <c r="T158" s="32">
        <f>T159+T160+T161+T162+T163+T164</f>
        <v>48500</v>
      </c>
      <c r="U158" s="32">
        <f>U159+U160+U161+U162+U163+U164</f>
        <v>0</v>
      </c>
      <c r="V158" s="32">
        <f>V159+V160+V161+V162+V163+V164</f>
        <v>0</v>
      </c>
      <c r="W158" s="33">
        <f t="shared" si="10"/>
        <v>88500</v>
      </c>
    </row>
    <row r="159" spans="2:23" ht="30">
      <c r="B159" s="102"/>
      <c r="C159" s="105"/>
      <c r="D159" s="108"/>
      <c r="E159" s="108"/>
      <c r="F159" s="34" t="s">
        <v>29</v>
      </c>
      <c r="G159" s="31">
        <f t="shared" si="11"/>
        <v>95000</v>
      </c>
      <c r="H159" s="35"/>
      <c r="I159" s="36"/>
      <c r="J159" s="61"/>
      <c r="K159" s="61"/>
      <c r="L159" s="36"/>
      <c r="M159" s="32">
        <f t="shared" si="8"/>
        <v>0</v>
      </c>
      <c r="N159" s="36"/>
      <c r="O159" s="36"/>
      <c r="P159" s="36">
        <v>6500</v>
      </c>
      <c r="Q159" s="36"/>
      <c r="R159" s="33">
        <f t="shared" si="9"/>
        <v>6500</v>
      </c>
      <c r="S159" s="36">
        <v>40000</v>
      </c>
      <c r="T159" s="36">
        <v>48500</v>
      </c>
      <c r="U159" s="36">
        <v>0</v>
      </c>
      <c r="V159" s="36"/>
      <c r="W159" s="33">
        <f t="shared" si="10"/>
        <v>88500</v>
      </c>
    </row>
    <row r="160" spans="2:23">
      <c r="B160" s="102"/>
      <c r="C160" s="105"/>
      <c r="D160" s="108"/>
      <c r="E160" s="108"/>
      <c r="F160" s="34" t="s">
        <v>30</v>
      </c>
      <c r="G160" s="31">
        <f t="shared" si="11"/>
        <v>0</v>
      </c>
      <c r="H160" s="36"/>
      <c r="I160" s="36"/>
      <c r="J160" s="36"/>
      <c r="K160" s="36"/>
      <c r="L160" s="36"/>
      <c r="M160" s="32">
        <f t="shared" si="8"/>
        <v>0</v>
      </c>
      <c r="N160" s="36"/>
      <c r="O160" s="36"/>
      <c r="P160" s="36"/>
      <c r="Q160" s="36"/>
      <c r="R160" s="33">
        <f t="shared" si="9"/>
        <v>0</v>
      </c>
      <c r="S160" s="36"/>
      <c r="T160" s="36"/>
      <c r="U160" s="36"/>
      <c r="V160" s="36"/>
      <c r="W160" s="33">
        <f t="shared" si="10"/>
        <v>0</v>
      </c>
    </row>
    <row r="161" spans="2:23">
      <c r="B161" s="102"/>
      <c r="C161" s="105"/>
      <c r="D161" s="108"/>
      <c r="E161" s="108"/>
      <c r="F161" s="34" t="s">
        <v>31</v>
      </c>
      <c r="G161" s="31">
        <f t="shared" si="11"/>
        <v>0</v>
      </c>
      <c r="H161" s="36"/>
      <c r="I161" s="36"/>
      <c r="J161" s="36"/>
      <c r="K161" s="36"/>
      <c r="L161" s="36"/>
      <c r="M161" s="32">
        <f t="shared" si="8"/>
        <v>0</v>
      </c>
      <c r="N161" s="36"/>
      <c r="O161" s="36"/>
      <c r="P161" s="36"/>
      <c r="Q161" s="36"/>
      <c r="R161" s="33">
        <f t="shared" si="9"/>
        <v>0</v>
      </c>
      <c r="S161" s="36"/>
      <c r="T161" s="36"/>
      <c r="U161" s="36"/>
      <c r="V161" s="36"/>
      <c r="W161" s="33">
        <f t="shared" si="10"/>
        <v>0</v>
      </c>
    </row>
    <row r="162" spans="2:23">
      <c r="B162" s="102"/>
      <c r="C162" s="105"/>
      <c r="D162" s="108"/>
      <c r="E162" s="108"/>
      <c r="F162" s="34" t="s">
        <v>32</v>
      </c>
      <c r="G162" s="31">
        <f t="shared" si="11"/>
        <v>0</v>
      </c>
      <c r="H162" s="36"/>
      <c r="I162" s="36"/>
      <c r="J162" s="36"/>
      <c r="K162" s="36"/>
      <c r="L162" s="36"/>
      <c r="M162" s="32">
        <f t="shared" si="8"/>
        <v>0</v>
      </c>
      <c r="N162" s="36"/>
      <c r="O162" s="36"/>
      <c r="P162" s="36"/>
      <c r="Q162" s="36"/>
      <c r="R162" s="33">
        <f t="shared" si="9"/>
        <v>0</v>
      </c>
      <c r="S162" s="36"/>
      <c r="T162" s="36"/>
      <c r="U162" s="36"/>
      <c r="V162" s="36"/>
      <c r="W162" s="33">
        <f t="shared" si="10"/>
        <v>0</v>
      </c>
    </row>
    <row r="163" spans="2:23">
      <c r="B163" s="102"/>
      <c r="C163" s="105"/>
      <c r="D163" s="108"/>
      <c r="E163" s="108"/>
      <c r="F163" s="34" t="s">
        <v>33</v>
      </c>
      <c r="G163" s="31">
        <f t="shared" si="11"/>
        <v>0</v>
      </c>
      <c r="H163" s="36"/>
      <c r="I163" s="36"/>
      <c r="J163" s="36"/>
      <c r="K163" s="36"/>
      <c r="L163" s="36"/>
      <c r="M163" s="32">
        <f t="shared" si="8"/>
        <v>0</v>
      </c>
      <c r="N163" s="36"/>
      <c r="O163" s="36"/>
      <c r="P163" s="36"/>
      <c r="Q163" s="36"/>
      <c r="R163" s="33">
        <f t="shared" si="9"/>
        <v>0</v>
      </c>
      <c r="S163" s="36"/>
      <c r="T163" s="36"/>
      <c r="U163" s="36"/>
      <c r="V163" s="36"/>
      <c r="W163" s="33">
        <f t="shared" si="10"/>
        <v>0</v>
      </c>
    </row>
    <row r="164" spans="2:23">
      <c r="B164" s="102"/>
      <c r="C164" s="105"/>
      <c r="D164" s="108"/>
      <c r="E164" s="108"/>
      <c r="F164" s="34" t="s">
        <v>34</v>
      </c>
      <c r="G164" s="31">
        <f t="shared" si="11"/>
        <v>0</v>
      </c>
      <c r="H164" s="36"/>
      <c r="I164" s="36"/>
      <c r="J164" s="36"/>
      <c r="K164" s="36"/>
      <c r="L164" s="36"/>
      <c r="M164" s="32">
        <f t="shared" si="8"/>
        <v>0</v>
      </c>
      <c r="N164" s="36"/>
      <c r="O164" s="36"/>
      <c r="P164" s="36"/>
      <c r="Q164" s="36"/>
      <c r="R164" s="33">
        <f t="shared" si="9"/>
        <v>0</v>
      </c>
      <c r="S164" s="36"/>
      <c r="T164" s="36"/>
      <c r="U164" s="36"/>
      <c r="V164" s="36"/>
      <c r="W164" s="33">
        <f t="shared" si="10"/>
        <v>0</v>
      </c>
    </row>
    <row r="165" spans="2:23" ht="32">
      <c r="B165" s="102"/>
      <c r="C165" s="105"/>
      <c r="D165" s="108"/>
      <c r="E165" s="108"/>
      <c r="F165" s="30" t="s">
        <v>35</v>
      </c>
      <c r="G165" s="31">
        <f t="shared" si="11"/>
        <v>21850</v>
      </c>
      <c r="H165" s="31">
        <f>H166+H167</f>
        <v>0</v>
      </c>
      <c r="I165" s="31">
        <f>I166+I167</f>
        <v>0</v>
      </c>
      <c r="J165" s="31">
        <f>J166+J167</f>
        <v>0</v>
      </c>
      <c r="K165" s="31">
        <f>K166+K167</f>
        <v>0</v>
      </c>
      <c r="L165" s="31">
        <f>L166+L167</f>
        <v>0</v>
      </c>
      <c r="M165" s="32">
        <f t="shared" si="8"/>
        <v>0</v>
      </c>
      <c r="N165" s="32">
        <f>N166+N167</f>
        <v>0</v>
      </c>
      <c r="O165" s="32">
        <f>O166+O167</f>
        <v>0</v>
      </c>
      <c r="P165" s="32">
        <f>P166+P167</f>
        <v>1495</v>
      </c>
      <c r="Q165" s="32">
        <f>Q166+Q167</f>
        <v>0</v>
      </c>
      <c r="R165" s="33">
        <f t="shared" si="9"/>
        <v>1495</v>
      </c>
      <c r="S165" s="32">
        <f>S166+S167</f>
        <v>9200</v>
      </c>
      <c r="T165" s="32">
        <f>T166+T167</f>
        <v>11155</v>
      </c>
      <c r="U165" s="32">
        <f>U166+U167</f>
        <v>0</v>
      </c>
      <c r="V165" s="32">
        <f>V166+V167</f>
        <v>0</v>
      </c>
      <c r="W165" s="33">
        <f t="shared" si="10"/>
        <v>20355</v>
      </c>
    </row>
    <row r="166" spans="2:23">
      <c r="B166" s="102"/>
      <c r="C166" s="105"/>
      <c r="D166" s="108"/>
      <c r="E166" s="108"/>
      <c r="F166" s="34" t="s">
        <v>36</v>
      </c>
      <c r="G166" s="31">
        <f t="shared" si="11"/>
        <v>21850</v>
      </c>
      <c r="H166" s="36"/>
      <c r="I166" s="36"/>
      <c r="J166" s="61"/>
      <c r="K166" s="61"/>
      <c r="L166" s="36"/>
      <c r="M166" s="32">
        <f t="shared" si="8"/>
        <v>0</v>
      </c>
      <c r="N166" s="36"/>
      <c r="O166" s="36"/>
      <c r="P166" s="36">
        <f>P159*0.23</f>
        <v>1495</v>
      </c>
      <c r="Q166" s="36"/>
      <c r="R166" s="33">
        <f t="shared" si="9"/>
        <v>1495</v>
      </c>
      <c r="S166" s="36">
        <f>S159*0.23</f>
        <v>9200</v>
      </c>
      <c r="T166" s="36">
        <f>T159*0.23</f>
        <v>11155</v>
      </c>
      <c r="U166" s="167">
        <f>U159*0.23</f>
        <v>0.0</v>
      </c>
      <c r="V166" s="36"/>
      <c r="W166" s="33">
        <f t="shared" si="10"/>
        <v>20355</v>
      </c>
    </row>
    <row r="167" spans="2:23" ht="31" thickBot="1">
      <c r="B167" s="103"/>
      <c r="C167" s="106"/>
      <c r="D167" s="109"/>
      <c r="E167" s="109"/>
      <c r="F167" s="37" t="s">
        <v>37</v>
      </c>
      <c r="G167" s="31">
        <f t="shared" si="11"/>
        <v>0</v>
      </c>
      <c r="H167" s="39"/>
      <c r="I167" s="39"/>
      <c r="J167" s="39"/>
      <c r="K167" s="39"/>
      <c r="L167" s="39"/>
      <c r="M167" s="40">
        <f t="shared" si="8"/>
        <v>0</v>
      </c>
      <c r="N167" s="39"/>
      <c r="O167" s="39"/>
      <c r="P167" s="39"/>
      <c r="Q167" s="39"/>
      <c r="R167" s="41">
        <f t="shared" si="9"/>
        <v>0</v>
      </c>
      <c r="S167" s="39"/>
      <c r="T167" s="39"/>
      <c r="U167" s="39"/>
      <c r="V167" s="39"/>
      <c r="W167" s="41">
        <f t="shared" si="10"/>
        <v>0</v>
      </c>
    </row>
    <row r="168" spans="2:23">
      <c r="B168" s="126" t="s">
        <v>48</v>
      </c>
      <c r="C168" s="127"/>
      <c r="D168" s="127"/>
      <c r="E168" s="127"/>
      <c r="F168" s="42"/>
      <c r="G168" s="130">
        <f>G14+G25+G58+G69+G80+G91+G102+G113+G124+G146+G157+G135+G47+G36-0.01</f>
        <v>50676859.862399995</v>
      </c>
      <c r="H168" s="124">
        <f t="shared" ref="H168:Q168" si="13">H14+H25+H58+H69+H80+H91+H102+H113+H124+H146+H157+H135+H47+H36</f>
        <v>117342</v>
      </c>
      <c r="I168" s="124">
        <f t="shared" si="13"/>
        <v>0</v>
      </c>
      <c r="J168" s="124">
        <f t="shared" si="13"/>
        <v>0</v>
      </c>
      <c r="K168" s="124">
        <f t="shared" si="13"/>
        <v>26691</v>
      </c>
      <c r="L168" s="124">
        <f t="shared" si="13"/>
        <v>123000</v>
      </c>
      <c r="M168" s="124">
        <f t="shared" si="13"/>
        <v>149691</v>
      </c>
      <c r="N168" s="124">
        <f>N14+N25+N58+N69+N80+N91+N102+N113+N124+N146+N157+N135+N47+N36</f>
        <v>61500</v>
      </c>
      <c r="O168" s="124">
        <f>O14+O25+O58+O69+O80+O91+O102+O113+O124+O146+O157+O135+O47+O36</f>
        <v>18449.996999999999</v>
      </c>
      <c r="P168" s="124">
        <f t="shared" si="13"/>
        <v>3488234.9327999996</v>
      </c>
      <c r="Q168" s="124">
        <f t="shared" si="13"/>
        <v>28222187.430900007</v>
      </c>
      <c r="R168" s="124">
        <f>R14+R25+R58+R69+R80+R91+R102+R113+R124+R146+R157+R135+R47+R36-0.01</f>
        <v>31790372.350699998</v>
      </c>
      <c r="S168" s="124">
        <f>S14+S25+S58+S69+S80+S91+S102+S113+S124+S146+S157+S135+S47+S36</f>
        <v>4363014.9918</v>
      </c>
      <c r="T168" s="124">
        <f>T14+T25+T58+T69+T80+T91+T102+T113+T124+T146+T157+T135+T47+T36</f>
        <v>6342063.8820000002</v>
      </c>
      <c r="U168" s="124">
        <f>U14+U25+U58+U69+U80+U91+U102+U113+U124+U146+U157+U135+U47+U36</f>
        <v>7914375.6279000007</v>
      </c>
      <c r="V168" s="124">
        <f>V14+V25+V58+V69+V80+V91+V102+V113+V124+V146+V157+V135+V47+V36</f>
        <v>0</v>
      </c>
      <c r="W168" s="124">
        <f>W14+W25+W58+W69+W80+W91+W102+W113+W124+W146+W157+W135+W47+W36-0.01</f>
        <v>18619454.491699997</v>
      </c>
    </row>
    <row r="169" spans="2:23" ht="16" thickBot="1">
      <c r="B169" s="128"/>
      <c r="C169" s="129"/>
      <c r="D169" s="129"/>
      <c r="E169" s="129"/>
      <c r="F169" s="43"/>
      <c r="G169" s="131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</row>
    <row r="170" spans="2:23">
      <c r="B170" s="155" t="s">
        <v>49</v>
      </c>
      <c r="C170" s="156"/>
      <c r="D170" s="156"/>
      <c r="E170" s="157"/>
      <c r="F170" s="44"/>
      <c r="G170" s="27">
        <f t="shared" ref="G170:Q170" si="14">G15+G26+G59+G70+G81+G92+G103+G114+G125+G147+G158+G136+G48+G37</f>
        <v>41200699.083999999</v>
      </c>
      <c r="H170" s="27">
        <f t="shared" si="14"/>
        <v>95400</v>
      </c>
      <c r="I170" s="27">
        <f t="shared" si="14"/>
        <v>0</v>
      </c>
      <c r="J170" s="27">
        <f t="shared" si="14"/>
        <v>0</v>
      </c>
      <c r="K170" s="27">
        <f t="shared" si="14"/>
        <v>21700</v>
      </c>
      <c r="L170" s="27">
        <f t="shared" si="14"/>
        <v>100000</v>
      </c>
      <c r="M170" s="65">
        <f t="shared" si="14"/>
        <v>121700</v>
      </c>
      <c r="N170" s="27">
        <f t="shared" si="14"/>
        <v>50000</v>
      </c>
      <c r="O170" s="27">
        <f t="shared" si="14"/>
        <v>14999.996999999999</v>
      </c>
      <c r="P170" s="27">
        <f t="shared" si="14"/>
        <v>2835963.36</v>
      </c>
      <c r="Q170" s="27">
        <f t="shared" si="14"/>
        <v>22944867.829999998</v>
      </c>
      <c r="R170" s="27">
        <f>R15+R26+R59+R70+R81+R92+R103+R114+R125+R147+R158+R136+R48+R37-0.01</f>
        <v>25845831.176999997</v>
      </c>
      <c r="S170" s="27">
        <f>S15+S26+S59+S70+S81+S92+S103+S114+S125+S147+S158+S136+S48+S37</f>
        <v>3547166.66</v>
      </c>
      <c r="T170" s="27">
        <f>T15+T26+T59+T70+T81+T92+T103+T114+T125+T147+T158+T136+T48+T37</f>
        <v>5156149.4970000004</v>
      </c>
      <c r="U170" s="27">
        <f>U15+U26+U59+U70+U81+U92+U103+U114+U125+U147+U158+U136+U48+U37</f>
        <v>6434451.7300000004</v>
      </c>
      <c r="V170" s="27">
        <f>V15+V26+V59+V70+V81+V92+V103+V114+V125+V147+V158+V136+V48+V37</f>
        <v>0</v>
      </c>
      <c r="W170" s="27">
        <f>W15+W26+W59+W70+W81+W92+W103+W114+W125+W147+W158+W136+W48+W37-0.01</f>
        <v>15137767.877</v>
      </c>
    </row>
    <row r="171" spans="2:23">
      <c r="B171" s="141" t="s">
        <v>50</v>
      </c>
      <c r="C171" s="142"/>
      <c r="D171" s="142"/>
      <c r="E171" s="143"/>
      <c r="F171" s="45"/>
      <c r="G171" s="31">
        <f>G16+G27+G60+G71+G82+G93+G104+G115+G126+G148+G159+G137+G49+G38</f>
        <v>41200699.079999998</v>
      </c>
      <c r="H171" s="31">
        <f>H16+H27+H60+H71+H82+H93+H104+H115+H126+H148+H159+H137+H49+H38</f>
        <v>95400</v>
      </c>
      <c r="I171" s="165">
        <f>I16+I27+I38+I49+I60+I71+I82+I93+I104+I115+I126+I137+I148+I159</f>
        <v>0.0</v>
      </c>
      <c r="J171" s="31">
        <f>J16+J27+J60+J71+J82+J93+J104+J115+J126+J148+J159+J137+J49+J38</f>
        <v>0</v>
      </c>
      <c r="K171" s="31">
        <f>K16+K27+K60+K71+K82+K93+K104+K115+K126+K148+K159+K49+K38+K137</f>
        <v>21700</v>
      </c>
      <c r="L171" s="31">
        <f>L16+L27+L60+L71+L82+L93+L104+L115+L126+L148+L159+L49+L38+L137</f>
        <v>100000</v>
      </c>
      <c r="M171" s="66">
        <f>M16+M27+M60+M71+M82+M93+M104+M115+M126+M148+M159+M137+M49+M38</f>
        <v>121700</v>
      </c>
      <c r="N171" s="31">
        <f>N16+N27+N60+N71+N82+N93+N104+N115+N126+N148+N159+N137+N49+N38</f>
        <v>50000</v>
      </c>
      <c r="O171" s="31">
        <f>O16+O27+O60+O71+O82+O93+O104+O115+O126+O148+O159+O137+O49+O38</f>
        <v>15000</v>
      </c>
      <c r="P171" s="165">
        <f>P16+P27+P38+P49+P60+P71+P82+P93+P104+P115+P126+P137+P148+P159</f>
        <v>2835963.36</v>
      </c>
      <c r="Q171" s="165">
        <f>Q16+Q27+Q38+Q49+Q60+Q71+Q82+Q93+Q104+Q115+Q126+Q137+Q148+Q159</f>
        <v>22944867.830000002</v>
      </c>
      <c r="R171" s="31">
        <f>R16+R27+R60+R71+R82+R93+R104+R115+R126+R148+R159+R137+R49+R38-0.01</f>
        <v>25845831.18</v>
      </c>
      <c r="S171" s="31">
        <f>S16+S27+S60+S71+S82+S93+S104+S115+S126+S148+S159+S137+S49+S38</f>
        <v>3547166.66</v>
      </c>
      <c r="T171" s="31">
        <f>T16+T27+T60+T71+T82+T93+T104+T115+T126+T148+T159+T137+T49+T38</f>
        <v>5156149.5</v>
      </c>
      <c r="U171" s="165">
        <f>U16+U27+U38+U49+U60+U71+U82+U93+U104+U115+U126+U137+U148+U159</f>
        <v>6434451.73</v>
      </c>
      <c r="V171" s="165">
        <f>V16+V27+V38+V49+V60+V71+V82+V93+V104+V115+V126+V137+V148+V159</f>
        <v>0.0</v>
      </c>
      <c r="W171" s="31">
        <f>W16+W27+W60+W71+W82+W93+W104+W115+W126+W148+W159+W137+W49+W38-0.01</f>
        <v>15137767.880000001</v>
      </c>
    </row>
    <row r="172" spans="2:23">
      <c r="B172" s="141" t="s">
        <v>51</v>
      </c>
      <c r="C172" s="142"/>
      <c r="D172" s="142"/>
      <c r="E172" s="143"/>
      <c r="F172" s="45"/>
      <c r="G172" s="165">
        <f>G17+G28+G39+G50+G61+G72+G83+G94+G105+G116+G127+G138+G149+G160</f>
        <v>0.0</v>
      </c>
      <c r="H172" s="165">
        <f>H17+H28+H39+H50+H61+H72+H83+H94+H105+H116+H127+H138+H149+H160</f>
        <v>0.0</v>
      </c>
      <c r="I172" s="165">
        <f>I17+I28+I39+I50+I61+I72+I83+I94+I105+I116+I127+I138+I149+I160</f>
        <v>0.0</v>
      </c>
      <c r="J172" s="165">
        <f>J17+J28+J39+J50+J61+J72+J83+J94+J105+J116+J127+J138+J149+J160</f>
        <v>0.0</v>
      </c>
      <c r="K172" s="165">
        <f>K17+K28+K39+K50+K61+K72+K83+K94+K105+K116+K127+K138+K149+K160</f>
        <v>0.0</v>
      </c>
      <c r="L172" s="165">
        <f>L17+L28+L39+L50+L61+L72+L83+L94+L105+L116+L127+L138+L149+L160</f>
        <v>0.0</v>
      </c>
      <c r="M172" s="166">
        <f>M17+M28+M39+M50+M61+M72+M83+M94+M105+M116+M127+M138+M149+M160</f>
        <v>0.0</v>
      </c>
      <c r="N172" s="165">
        <f>N17+N28+N39+N50+N61+N72+N83+N94+N105+N116+N127+N138+N149+N160</f>
        <v>0.0</v>
      </c>
      <c r="O172" s="165">
        <f>O17+O28+O39+O50+O61+O72+O83+O94+O105+O116+O127+O138+O149+O160</f>
        <v>0.0</v>
      </c>
      <c r="P172" s="165">
        <f>P17+P28+P39+P50+P61+P72+P83+P94+P105+P116+P127+P138+P149+P160</f>
        <v>0.0</v>
      </c>
      <c r="Q172" s="165">
        <f>Q17+Q28+Q39+Q50+Q61+Q72+Q83+Q94+Q105+Q116+Q127+Q138+Q149+Q160</f>
        <v>0.0</v>
      </c>
      <c r="R172" s="165">
        <f>R17+R28+R39+R50+R61+R72+R83+R94+R105+R116+R127+R138+R149+R160</f>
        <v>0.0</v>
      </c>
      <c r="S172" s="165">
        <f>S17+S28+S39+S50+S61+S72+S83+S94+S105+S116+S127+S138+S149+S160</f>
        <v>0.0</v>
      </c>
      <c r="T172" s="165">
        <f>T17+T28+T39+T50+T61+T72+T83+T94+T105+T116+T127+T138+T149+T160</f>
        <v>0.0</v>
      </c>
      <c r="U172" s="165">
        <f>U17+U28+U39+U50+U61+U72+U83+U94+U105+U116+U127+U138+U149+U160</f>
        <v>0.0</v>
      </c>
      <c r="V172" s="165">
        <f>V17+V28+V39+V50+V61+V72+V83+V94+V105+V116+V127+V138+V149+V160</f>
        <v>0.0</v>
      </c>
      <c r="W172" s="165">
        <f>W17+W28+W39+W50+W61+W72+W83+W94+W105+W116+W127+W138+W149+W160</f>
        <v>0.0</v>
      </c>
    </row>
    <row r="173" spans="2:23">
      <c r="B173" s="141" t="s">
        <v>52</v>
      </c>
      <c r="C173" s="142"/>
      <c r="D173" s="142"/>
      <c r="E173" s="143"/>
      <c r="F173" s="45"/>
      <c r="G173" s="31">
        <f t="shared" ref="G173:R173" si="16">G18+G29+G62+G73+G84+G95+G106+G117+G128+G150+G161+G139+G51+G40</f>
        <v>0</v>
      </c>
      <c r="H173" s="31">
        <f t="shared" si="16"/>
        <v>0</v>
      </c>
      <c r="I173" s="31">
        <f t="shared" si="16"/>
        <v>0</v>
      </c>
      <c r="J173" s="31">
        <f t="shared" si="16"/>
        <v>0</v>
      </c>
      <c r="K173" s="31">
        <f t="shared" si="16"/>
        <v>0</v>
      </c>
      <c r="L173" s="31">
        <f t="shared" si="16"/>
        <v>0</v>
      </c>
      <c r="M173" s="66">
        <f t="shared" si="16"/>
        <v>0</v>
      </c>
      <c r="N173" s="31">
        <f t="shared" si="16"/>
        <v>0</v>
      </c>
      <c r="O173" s="31">
        <f t="shared" si="16"/>
        <v>0</v>
      </c>
      <c r="P173" s="31">
        <f t="shared" si="16"/>
        <v>0</v>
      </c>
      <c r="Q173" s="31">
        <f t="shared" si="16"/>
        <v>0</v>
      </c>
      <c r="R173" s="31">
        <f t="shared" si="16"/>
        <v>0</v>
      </c>
      <c r="S173" s="31">
        <f>S18+S29+S62+S73+S84+S95+S106+S117+S128+S150+S161+S139+S51+S40</f>
        <v>0</v>
      </c>
      <c r="T173" s="31">
        <f>T18+T29+T62+T73+T84+T95+T106+T117+T128+T150+T161+T139+T51+T40</f>
        <v>0</v>
      </c>
      <c r="U173" s="31">
        <f>U18+U29+U62+U73+U84+U95+U106+U117+U128+U150+U161+U139+U51+U40</f>
        <v>0</v>
      </c>
      <c r="V173" s="31">
        <f>V18+V29+V62+V73+V84+V95+V106+V117+V128+V150+V161+V139+V51+V40</f>
        <v>0</v>
      </c>
      <c r="W173" s="31">
        <f>W18+W29+W62+W73+W84+W95+W106+W117+W128+W150+W161+W139+W51+W40</f>
        <v>0</v>
      </c>
    </row>
    <row r="174" spans="2:23">
      <c r="B174" s="141" t="s">
        <v>53</v>
      </c>
      <c r="C174" s="142"/>
      <c r="D174" s="142"/>
      <c r="E174" s="143"/>
      <c r="F174" s="45"/>
      <c r="G174" s="165">
        <f>G19+G30+G41+G52+G63+G74+G85+G96+G107+G118+G129+G140+G151+G162</f>
        <v>0.0</v>
      </c>
      <c r="H174" s="165">
        <f>H19+H30+H41+H52+H63+H74+H85+H96+H107+H118+H129+H140+H151+H162</f>
        <v>0.0</v>
      </c>
      <c r="I174" s="165">
        <f>I19+I30+I41+I52+I63+I74+I85+I96+I107+I118+I129+I140+I151+I162</f>
        <v>0.0</v>
      </c>
      <c r="J174" s="165">
        <f>J19+J30+J41+J52+J63+J74+J85+J96+J107+J118+J129+J140+J151+J162</f>
        <v>0.0</v>
      </c>
      <c r="K174" s="165">
        <f>K19+K30+K41+K52+K63+K74+K85+K96+K107+K118+K129+K140+K151+K162</f>
        <v>0.0</v>
      </c>
      <c r="L174" s="165">
        <f>L19+L30+L41+L52+L63+L74+L85+L96+L107+L118+L129+L140+L151+L162</f>
        <v>0.0</v>
      </c>
      <c r="M174" s="166">
        <f>M19+M30+M41+M52+M63+M74+M85+M96+M107+M118+M129+M140+M151+M162</f>
        <v>0.0</v>
      </c>
      <c r="N174" s="165">
        <f>N19+N30+N41+N52+N63+N74+N85+N96+N107+N118+N129+N140+N151+N162</f>
        <v>0.0</v>
      </c>
      <c r="O174" s="165">
        <f>O19+O30+O41+O52+O63+O74+O85+O96+O107+O118+O129+O140+O151+O162</f>
        <v>0.0</v>
      </c>
      <c r="P174" s="165">
        <f>P19+P30+P41+P52+P63+P74+P85+P96+P107+P118+P129+P140+P151+P162</f>
        <v>0.0</v>
      </c>
      <c r="Q174" s="165">
        <f>Q19+Q30+Q41+Q52+Q63+Q74+Q85+Q96+Q107+Q118+Q129+Q140+Q151+Q162</f>
        <v>0.0</v>
      </c>
      <c r="R174" s="165">
        <f>R19+R30+R41+R52+R63+R74+R85+R96+R107+R118+R129+R140+R151+R162</f>
        <v>0.0</v>
      </c>
      <c r="S174" s="165">
        <f>S19+S30+S41+S52+S63+S74+S85+S96+S107+S118+S129+S140+S151+S162</f>
        <v>0.0</v>
      </c>
      <c r="T174" s="165">
        <f>T19+T30+T41+T52+T63+T74+T85+T96+T107+T118+T129+T140+T151+T162</f>
        <v>0.0</v>
      </c>
      <c r="U174" s="165">
        <f>U19+U30+U41+U52+U63+U74+U85+U96+U107+U118+U129+U140+U151+U162</f>
        <v>0.0</v>
      </c>
      <c r="V174" s="165">
        <f>V19+V30+V41+V52+V63+V74+V85+V96+V107+V118+V129+V140+V151+V162</f>
        <v>0.0</v>
      </c>
      <c r="W174" s="165">
        <f>W19+W30+W41+W52+W63+W74+W85+W96+W107+W118+W129+W140+W151+W162</f>
        <v>0.0</v>
      </c>
    </row>
    <row r="175" spans="2:23">
      <c r="B175" s="141" t="s">
        <v>54</v>
      </c>
      <c r="C175" s="142"/>
      <c r="D175" s="142"/>
      <c r="E175" s="143"/>
      <c r="F175" s="45"/>
      <c r="G175" s="165">
        <f>G20+G31+G42+G53+G64+G75+G86+G97+G108+G119+G130+G141+G152+G163</f>
        <v>0.0</v>
      </c>
      <c r="H175" s="165">
        <f>H20+H31+H42+H53+H64+H75+H86+H97+H108+H119+H130+H141+H152+H163</f>
        <v>0.0</v>
      </c>
      <c r="I175" s="165">
        <f>I20+I31+I42+I53+I64+I75+I86+I97+I108+I119+I130+I141+I152+I163</f>
        <v>0.0</v>
      </c>
      <c r="J175" s="165">
        <f>J20+J31+J42+J53+J64+J75+J86+J97+J108+J119+J130+J141+J152+J163</f>
        <v>0.0</v>
      </c>
      <c r="K175" s="165">
        <f>K20+K31+K42+K53+K64+K75+K86+K97+K108+K119+K130+K141+K152+K163</f>
        <v>0.0</v>
      </c>
      <c r="L175" s="165">
        <f>L20+L31+L42+L53+L64+L75+L86+L97+L108+L119+L130+L141+L152+L163</f>
        <v>0.0</v>
      </c>
      <c r="M175" s="166">
        <f>M20+M31+M42+M53+M64+M75+M86+M97+M108+M119+M130+M141+M152+M163</f>
        <v>0.0</v>
      </c>
      <c r="N175" s="165">
        <f>N20+N31+N42+N53+N64+N75+N86+N97+N108+N119+N130+N141+N152+N163</f>
        <v>0.0</v>
      </c>
      <c r="O175" s="165">
        <f>O20+O31+O42+O53+O64+O75+O86+O97+O108+O119+O130+O141+O152+O163</f>
        <v>0.0</v>
      </c>
      <c r="P175" s="165">
        <f>P20+P31+P42+P53+P64+P75+P86+P97+P108+P119+P130+P141+P152+P163</f>
        <v>0.0</v>
      </c>
      <c r="Q175" s="165">
        <f>Q20+Q31+Q42+Q53+Q64+Q75+Q86+Q97+Q108+Q119+Q130+Q141+Q152+Q163</f>
        <v>0.0</v>
      </c>
      <c r="R175" s="165">
        <f>R20+R31+R42+R53+R64+R75+R86+R97+R108+R119+R130+R141+R152+R163</f>
        <v>0.0</v>
      </c>
      <c r="S175" s="165">
        <f>S20+S31+S42+S53+S64+S75+S86+S97+S108+S119+S130+S141+S152+S163</f>
        <v>0.0</v>
      </c>
      <c r="T175" s="165">
        <f>T20+T31+T42+T53+T64+T75+T86+T97+T108+T119+T130+T141+T152+T163</f>
        <v>0.0</v>
      </c>
      <c r="U175" s="165">
        <f>U20+U31+U42+U53+U64+U75+U86+U97+U108+U119+U130+U141+U152+U163</f>
        <v>0.0</v>
      </c>
      <c r="V175" s="165">
        <f>V20+V31+V42+V53+V64+V75+V86+V97+V108+V119+V130+V141+V152+V163</f>
        <v>0.0</v>
      </c>
      <c r="W175" s="165">
        <f>W20+W31+W42+W53+W64+W75+W86+W97+W108+W119+W130+W141+W152+W163</f>
        <v>0.0</v>
      </c>
    </row>
    <row r="176" spans="2:23">
      <c r="B176" s="141" t="s">
        <v>55</v>
      </c>
      <c r="C176" s="142"/>
      <c r="D176" s="142"/>
      <c r="E176" s="143"/>
      <c r="F176" s="45"/>
      <c r="G176" s="165">
        <f>G21+G32+G43+G54+G65+G76+G87+G98+G109+G120+G131+G142+G153+G164</f>
        <v>0.0</v>
      </c>
      <c r="H176" s="165">
        <f>H21+H32+H43+H54+H65+H76+H87+H98+H109+H120+H131+H142+H153+H164</f>
        <v>0.0</v>
      </c>
      <c r="I176" s="165">
        <f>I21+I32+I43+I54+I65+I76+I87+I98+I109+I120+I131+I142+I153+I164</f>
        <v>0.0</v>
      </c>
      <c r="J176" s="165">
        <f>J21+J32+J43+J54+J65+J76+J87+J98+J109+J120+J131+J142+J153+J164</f>
        <v>0.0</v>
      </c>
      <c r="K176" s="165">
        <f>K21+K32+K43+K54+K65+K76+K87+K98+K109+K120+K131+K142+K153+K164</f>
        <v>0.0</v>
      </c>
      <c r="L176" s="165">
        <f>L21+L32+L43+L54+L65+L76+L87+L98+L109+L120+L131+L142+L153+L164</f>
        <v>0.0</v>
      </c>
      <c r="M176" s="166">
        <f>M21+M32+M43+M54+M65+M76+M87+M98+M109+M120+M131+M142+M153+M164</f>
        <v>0.0</v>
      </c>
      <c r="N176" s="165">
        <f>N21+N32+N43+N54+N65+N76+N87+N98+N109+N120+N131+N142+N153+N164</f>
        <v>0.0</v>
      </c>
      <c r="O176" s="165">
        <f>O21+O32+O43+O54+O65+O76+O87+O98+O109+O120+O131+O142+O153+O164</f>
        <v>0.0</v>
      </c>
      <c r="P176" s="165">
        <f>P21+P32+P43+P54+P65+P76+P87+P98+P109+P120+P131+P142+P153+P164</f>
        <v>0.0</v>
      </c>
      <c r="Q176" s="165">
        <f>Q21+Q32+Q43+Q54+Q65+Q76+Q87+Q98+Q109+Q120+Q131+Q142+Q153+Q164</f>
        <v>0.0</v>
      </c>
      <c r="R176" s="165">
        <f>R21+R32+R43+R54+R65+R76+R87+R98+R109+R120+R131+R142+R153+R164</f>
        <v>0.0</v>
      </c>
      <c r="S176" s="165">
        <f>S21+S32+S43+S54+S65+S76+S87+S98+S109+S120+S131+S142+S153+S164</f>
        <v>0.0</v>
      </c>
      <c r="T176" s="165">
        <f>T21+T32+T43+T54+T65+T76+T87+T98+T109+T120+T131+T142+T153+T164</f>
        <v>0.0</v>
      </c>
      <c r="U176" s="165">
        <f>U21+U32+U43+U54+U65+U76+U87+U98+U109+U120+U131+U142+U153+U164</f>
        <v>0.0</v>
      </c>
      <c r="V176" s="165">
        <f>V21+V32+V43+V54+V65+V76+V87+V98+V109+V120+V131+V142+V153+V164</f>
        <v>0.0</v>
      </c>
      <c r="W176" s="165">
        <f>W21+W32+W43+W54+W65+W76+W87+W98+W109+W120+W131+W142+W153+W164</f>
        <v>0.0</v>
      </c>
    </row>
    <row r="177" spans="2:23">
      <c r="B177" s="144" t="s">
        <v>56</v>
      </c>
      <c r="C177" s="145"/>
      <c r="D177" s="145"/>
      <c r="E177" s="146"/>
      <c r="F177" s="46"/>
      <c r="G177" s="31">
        <f>G22+G33+G66+G77+G88+G99+G110+G121+G132+G154+G165+G143+G55+G44-0.01</f>
        <v>9476160.778400002</v>
      </c>
      <c r="H177" s="31">
        <f t="shared" ref="H177:Q178" si="19">H22+H33+H66+H77+H88+H99+H110+H121+H132+H154+H165+H143+H55+H44</f>
        <v>21942</v>
      </c>
      <c r="I177" s="31">
        <f t="shared" si="19"/>
        <v>0</v>
      </c>
      <c r="J177" s="31">
        <f t="shared" si="19"/>
        <v>0</v>
      </c>
      <c r="K177" s="31">
        <f t="shared" si="19"/>
        <v>4991</v>
      </c>
      <c r="L177" s="31">
        <f t="shared" si="19"/>
        <v>23000</v>
      </c>
      <c r="M177" s="66">
        <f>M22+M33+M66+M77+M88+M99+M110+M121+M132+M154+M165+M143+M55+M44</f>
        <v>27991</v>
      </c>
      <c r="N177" s="31">
        <f t="shared" si="19"/>
        <v>11500</v>
      </c>
      <c r="O177" s="31">
        <f t="shared" si="19"/>
        <v>3450</v>
      </c>
      <c r="P177" s="31">
        <f t="shared" si="19"/>
        <v>652271.57279999997</v>
      </c>
      <c r="Q177" s="31">
        <f t="shared" si="19"/>
        <v>5277319.6009000009</v>
      </c>
      <c r="R177" s="31">
        <f>R22+R33+R66+R77+R88+R99+R110+R121+R132+R154+R165+R143+R55+R44-0.01</f>
        <v>5944541.1637000013</v>
      </c>
      <c r="S177" s="31">
        <f t="shared" ref="S177:V178" si="20">S22+S33+S66+S77+S88+S99+S110+S121+S132+S154+S165+S143+S55+S44</f>
        <v>815848.33180000004</v>
      </c>
      <c r="T177" s="31">
        <f t="shared" si="20"/>
        <v>1185914.385</v>
      </c>
      <c r="U177" s="31">
        <f t="shared" si="20"/>
        <v>1479923.8979</v>
      </c>
      <c r="V177" s="31">
        <f t="shared" si="20"/>
        <v>0</v>
      </c>
      <c r="W177" s="31">
        <f>W22+W33+W66+W77+W88+W99+W110+W121+W132+W154+W165+W143+W55+W44-0.01</f>
        <v>3481686.6047</v>
      </c>
    </row>
    <row r="178" spans="2:23">
      <c r="B178" s="147" t="s">
        <v>57</v>
      </c>
      <c r="C178" s="148"/>
      <c r="D178" s="148"/>
      <c r="E178" s="149"/>
      <c r="F178" s="47"/>
      <c r="G178" s="31">
        <f>G23+G34+G67+G78+G89+G100+G111+G122+G133+G155+G166+G144+G56+G45-0.01</f>
        <v>9476160.778400002</v>
      </c>
      <c r="H178" s="31">
        <f t="shared" si="19"/>
        <v>21942</v>
      </c>
      <c r="I178" s="31">
        <f t="shared" si="19"/>
        <v>0</v>
      </c>
      <c r="J178" s="31">
        <f>J23+J34+J67+J78+J89+J100+J111+J122+J133+J155+J166+J144+J56+J45</f>
        <v>0</v>
      </c>
      <c r="K178" s="31">
        <f>K23+K34+K67+K78+K89+K100+K111+K122+K133+K155+K166+K144+K56+K45</f>
        <v>4991</v>
      </c>
      <c r="L178" s="31">
        <f t="shared" si="19"/>
        <v>23000</v>
      </c>
      <c r="M178" s="66">
        <f>M23+M34+M67+M78+M89+M100+M111+M122+M133+M155+M166+M144+M56+M45</f>
        <v>27991</v>
      </c>
      <c r="N178" s="31">
        <f t="shared" si="19"/>
        <v>11500</v>
      </c>
      <c r="O178" s="31">
        <f t="shared" si="19"/>
        <v>3450</v>
      </c>
      <c r="P178" s="31">
        <f t="shared" si="19"/>
        <v>652271.57279999997</v>
      </c>
      <c r="Q178" s="31">
        <f t="shared" si="19"/>
        <v>5277319.6009000009</v>
      </c>
      <c r="R178" s="31">
        <f>R23+R34+R67+R78+R89+R100+R111+R122+R133+R155+R166+R144+R56+R45-0.01</f>
        <v>5944541.1637000013</v>
      </c>
      <c r="S178" s="31">
        <f t="shared" si="20"/>
        <v>815848.33180000004</v>
      </c>
      <c r="T178" s="31">
        <f t="shared" si="20"/>
        <v>1185914.385</v>
      </c>
      <c r="U178" s="31">
        <f t="shared" si="20"/>
        <v>1479923.8979</v>
      </c>
      <c r="V178" s="31">
        <f t="shared" si="20"/>
        <v>0</v>
      </c>
      <c r="W178" s="31">
        <f>W23+W34+W67+W78+W89+W100+W111+W122+W133+W155+W166+W144+W56+W45-0.01</f>
        <v>3481686.6047</v>
      </c>
    </row>
    <row r="179" spans="2:23" ht="16" thickBot="1">
      <c r="B179" s="150" t="s">
        <v>58</v>
      </c>
      <c r="C179" s="151"/>
      <c r="D179" s="151"/>
      <c r="E179" s="151"/>
      <c r="F179" s="151"/>
      <c r="G179" s="38">
        <f t="shared" ref="G179:R179" si="21">G24+G35+G68+G79+G90+G101+G112+G123+G134+G156+G167</f>
        <v>0</v>
      </c>
      <c r="H179" s="38">
        <f t="shared" si="21"/>
        <v>0</v>
      </c>
      <c r="I179" s="38">
        <f t="shared" si="21"/>
        <v>0</v>
      </c>
      <c r="J179" s="38">
        <f t="shared" si="21"/>
        <v>0</v>
      </c>
      <c r="K179" s="38">
        <f t="shared" si="21"/>
        <v>0</v>
      </c>
      <c r="L179" s="38">
        <f t="shared" si="21"/>
        <v>0</v>
      </c>
      <c r="M179" s="67">
        <f t="shared" si="21"/>
        <v>0</v>
      </c>
      <c r="N179" s="38">
        <f t="shared" si="21"/>
        <v>0</v>
      </c>
      <c r="O179" s="38">
        <f t="shared" si="21"/>
        <v>0</v>
      </c>
      <c r="P179" s="38">
        <f t="shared" si="21"/>
        <v>0</v>
      </c>
      <c r="Q179" s="38">
        <f t="shared" si="21"/>
        <v>0</v>
      </c>
      <c r="R179" s="38">
        <f t="shared" si="21"/>
        <v>0</v>
      </c>
      <c r="S179" s="38">
        <f>S24+S35+S68+S79+S90+S101+S112+S123+S134+S156+S167</f>
        <v>0</v>
      </c>
      <c r="T179" s="38">
        <f>T24+T35+T68+T79+T90+T101+T112+T123+T134+T156+T167</f>
        <v>0</v>
      </c>
      <c r="U179" s="38">
        <f>U24+U35+U68+U79+U90+U101+U112+U123+U134+U156+U167</f>
        <v>0</v>
      </c>
      <c r="V179" s="38">
        <f>V24+V35+V68+V79+V90+V101+V112+V123+V134+V156+V167</f>
        <v>0</v>
      </c>
      <c r="W179" s="38">
        <f>W24+W35+W68+W79+W90+W101+W112+W123+W134+W156+W167</f>
        <v>0</v>
      </c>
    </row>
    <row r="180" spans="2:23">
      <c r="B180" s="48"/>
      <c r="C180" s="4" t="s">
        <v>59</v>
      </c>
      <c r="D180" s="49"/>
      <c r="E180" s="49"/>
      <c r="F180" s="50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</row>
    <row r="181" spans="2:23">
      <c r="B181" s="48"/>
      <c r="C181" s="152" t="s">
        <v>60</v>
      </c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4"/>
    </row>
    <row r="182" spans="2:23">
      <c r="B182" s="48"/>
      <c r="C182" s="138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40"/>
    </row>
    <row r="183" spans="2:23" ht="50.25" customHeight="1">
      <c r="B183" s="2"/>
      <c r="C183" s="71" t="s">
        <v>79</v>
      </c>
      <c r="D183" s="52" t="s">
        <v>61</v>
      </c>
      <c r="E183" s="53"/>
      <c r="F183" s="52"/>
      <c r="G183" s="54"/>
      <c r="H183" s="55"/>
      <c r="I183" s="55"/>
      <c r="J183" s="55"/>
      <c r="K183" s="56"/>
      <c r="L183" s="56"/>
      <c r="M183" s="56"/>
      <c r="N183" s="55"/>
      <c r="O183" s="55"/>
      <c r="P183" s="56"/>
      <c r="Q183" s="56"/>
      <c r="R183" s="56"/>
    </row>
    <row r="184" spans="2:23">
      <c r="B184" s="2"/>
      <c r="C184" s="57" t="s">
        <v>62</v>
      </c>
      <c r="D184" s="5" t="s">
        <v>63</v>
      </c>
      <c r="E184" s="5"/>
      <c r="F184" s="5"/>
      <c r="G184" s="55"/>
      <c r="H184" s="55"/>
      <c r="I184" s="55"/>
      <c r="J184" s="55"/>
      <c r="K184" s="56"/>
      <c r="L184" s="56"/>
      <c r="M184" s="56"/>
      <c r="N184" s="55"/>
      <c r="O184" s="55"/>
      <c r="P184" s="56"/>
      <c r="Q184" s="56"/>
      <c r="R184" s="56"/>
    </row>
    <row r="185" spans="2:23">
      <c r="B185" s="2"/>
      <c r="C185" s="2"/>
      <c r="D185" s="2"/>
      <c r="E185" s="49"/>
      <c r="F185" s="2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</row>
    <row r="186" spans="2:23">
      <c r="B186" s="2"/>
      <c r="C186" s="2"/>
      <c r="D186" s="49"/>
      <c r="E186" s="49"/>
      <c r="F186" s="2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</row>
    <row r="187" spans="2:23">
      <c r="B187" s="2"/>
      <c r="C187" s="1"/>
      <c r="D187" s="49"/>
      <c r="E187" s="49"/>
      <c r="F187" s="2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</row>
    <row r="188" spans="2:23">
      <c r="B188" s="2"/>
      <c r="C188" s="2"/>
      <c r="D188" s="49"/>
      <c r="E188" s="49"/>
      <c r="F188" s="2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</row>
    <row r="189" spans="2:23">
      <c r="B189" s="2"/>
      <c r="C189" s="2"/>
      <c r="D189" s="49"/>
      <c r="E189" s="49"/>
      <c r="F189" s="2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</row>
    <row r="190" spans="2:23">
      <c r="B190" s="2"/>
      <c r="C190" s="2"/>
      <c r="D190" s="49"/>
      <c r="E190" s="49"/>
      <c r="F190" s="2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</row>
    <row r="191" spans="2:23">
      <c r="B191" s="2"/>
      <c r="C191" s="2"/>
      <c r="D191" s="49"/>
      <c r="E191" s="49"/>
      <c r="F191" s="2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</row>
    <row r="192" spans="2:23">
      <c r="B192" s="2"/>
      <c r="C192" s="2"/>
      <c r="D192" s="49"/>
      <c r="E192" s="49"/>
      <c r="F192" s="2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</row>
    <row r="193" spans="2:18">
      <c r="B193" s="2"/>
      <c r="C193" s="2"/>
      <c r="D193" s="49"/>
      <c r="E193" s="49"/>
      <c r="F193" s="2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</row>
    <row r="194" spans="2:18">
      <c r="B194" s="2"/>
      <c r="C194" s="2"/>
      <c r="D194" s="49"/>
      <c r="E194" s="49"/>
      <c r="F194" s="2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</row>
    <row r="195" spans="2:18">
      <c r="B195" s="2"/>
      <c r="C195" s="2"/>
      <c r="D195" s="49"/>
      <c r="E195" s="49"/>
      <c r="F195" s="2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</row>
    <row r="196" spans="2:18">
      <c r="B196" s="2"/>
      <c r="C196" s="2"/>
      <c r="D196" s="49"/>
      <c r="E196" s="49"/>
      <c r="F196" s="2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</row>
    <row r="197" spans="2:18">
      <c r="B197" s="2"/>
      <c r="C197" s="2"/>
      <c r="D197" s="49"/>
      <c r="E197" s="49"/>
      <c r="F197" s="58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</row>
    <row r="198" spans="2:18">
      <c r="B198" s="2"/>
      <c r="C198" s="2"/>
      <c r="D198" s="49"/>
      <c r="E198" s="49"/>
      <c r="F198" s="2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</row>
    <row r="199" spans="2:18">
      <c r="B199" s="2"/>
      <c r="C199" s="2"/>
      <c r="D199" s="49"/>
      <c r="E199" s="49"/>
      <c r="F199" s="2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</row>
  </sheetData>
  <mergeCells count="111">
    <mergeCell ref="C182:R182"/>
    <mergeCell ref="S11:V11"/>
    <mergeCell ref="W11:W12"/>
    <mergeCell ref="S168:S169"/>
    <mergeCell ref="T168:T169"/>
    <mergeCell ref="U168:U169"/>
    <mergeCell ref="V168:V169"/>
    <mergeCell ref="W168:W169"/>
    <mergeCell ref="B175:E175"/>
    <mergeCell ref="B176:E176"/>
    <mergeCell ref="B177:E177"/>
    <mergeCell ref="B178:E178"/>
    <mergeCell ref="B179:F179"/>
    <mergeCell ref="C181:R181"/>
    <mergeCell ref="R168:R169"/>
    <mergeCell ref="B170:E170"/>
    <mergeCell ref="B171:E171"/>
    <mergeCell ref="B172:E172"/>
    <mergeCell ref="B173:E173"/>
    <mergeCell ref="B174:E174"/>
    <mergeCell ref="L168:L169"/>
    <mergeCell ref="M168:M169"/>
    <mergeCell ref="N168:N169"/>
    <mergeCell ref="O168:O169"/>
    <mergeCell ref="P168:P169"/>
    <mergeCell ref="Q168:Q169"/>
    <mergeCell ref="B168:E169"/>
    <mergeCell ref="G168:G169"/>
    <mergeCell ref="H168:H169"/>
    <mergeCell ref="I168:I169"/>
    <mergeCell ref="J168:J169"/>
    <mergeCell ref="K168:K169"/>
    <mergeCell ref="B146:B156"/>
    <mergeCell ref="C146:C156"/>
    <mergeCell ref="D146:D156"/>
    <mergeCell ref="E146:E156"/>
    <mergeCell ref="B157:B167"/>
    <mergeCell ref="C157:C167"/>
    <mergeCell ref="D157:D167"/>
    <mergeCell ref="E157:E167"/>
    <mergeCell ref="B124:B134"/>
    <mergeCell ref="C124:C134"/>
    <mergeCell ref="D124:D134"/>
    <mergeCell ref="E124:E134"/>
    <mergeCell ref="B135:B145"/>
    <mergeCell ref="C135:C145"/>
    <mergeCell ref="D135:D145"/>
    <mergeCell ref="E135:E145"/>
    <mergeCell ref="B102:B112"/>
    <mergeCell ref="C102:C112"/>
    <mergeCell ref="D102:D112"/>
    <mergeCell ref="E102:E112"/>
    <mergeCell ref="B113:B123"/>
    <mergeCell ref="C113:C123"/>
    <mergeCell ref="D113:D123"/>
    <mergeCell ref="E113:E123"/>
    <mergeCell ref="B80:B90"/>
    <mergeCell ref="C80:C90"/>
    <mergeCell ref="D80:D90"/>
    <mergeCell ref="E80:E90"/>
    <mergeCell ref="B91:B101"/>
    <mergeCell ref="C91:C101"/>
    <mergeCell ref="D91:D101"/>
    <mergeCell ref="E91:E101"/>
    <mergeCell ref="B58:B68"/>
    <mergeCell ref="C58:C68"/>
    <mergeCell ref="D58:D68"/>
    <mergeCell ref="E58:E68"/>
    <mergeCell ref="B69:B79"/>
    <mergeCell ref="C69:C79"/>
    <mergeCell ref="D69:D79"/>
    <mergeCell ref="E69:E79"/>
    <mergeCell ref="B36:B46"/>
    <mergeCell ref="C36:C46"/>
    <mergeCell ref="D36:D46"/>
    <mergeCell ref="E36:E46"/>
    <mergeCell ref="B47:B57"/>
    <mergeCell ref="C47:C57"/>
    <mergeCell ref="D47:D57"/>
    <mergeCell ref="E47:E57"/>
    <mergeCell ref="B14:B24"/>
    <mergeCell ref="C14:C24"/>
    <mergeCell ref="D14:D24"/>
    <mergeCell ref="E14:E24"/>
    <mergeCell ref="B25:B35"/>
    <mergeCell ref="C25:C35"/>
    <mergeCell ref="D25:D35"/>
    <mergeCell ref="E25:E35"/>
    <mergeCell ref="G11:G12"/>
    <mergeCell ref="N11:Q11"/>
    <mergeCell ref="R11:R12"/>
    <mergeCell ref="B7:C7"/>
    <mergeCell ref="D7:K7"/>
    <mergeCell ref="B8:D8"/>
    <mergeCell ref="B9:B12"/>
    <mergeCell ref="C9:C12"/>
    <mergeCell ref="D9:D12"/>
    <mergeCell ref="E9:E12"/>
    <mergeCell ref="F9:F12"/>
    <mergeCell ref="G9:G10"/>
    <mergeCell ref="H9:H10"/>
    <mergeCell ref="I9:W10"/>
    <mergeCell ref="B3:C3"/>
    <mergeCell ref="D3:K4"/>
    <mergeCell ref="B5:C5"/>
    <mergeCell ref="D5:K5"/>
    <mergeCell ref="B6:C6"/>
    <mergeCell ref="D6:K6"/>
    <mergeCell ref="H11:H12"/>
    <mergeCell ref="I11:L11"/>
    <mergeCell ref="M11:M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DD9542FCBF4F48BE301FC19F3C41A9" ma:contentTypeVersion="3" ma:contentTypeDescription="Utwórz nowy dokument." ma:contentTypeScope="" ma:versionID="f62ac9d65f6881691d77776403b03661">
  <xsd:schema xmlns:xsd="http://www.w3.org/2001/XMLSchema" xmlns:xs="http://www.w3.org/2001/XMLSchema" xmlns:p="http://schemas.microsoft.com/office/2006/metadata/properties" xmlns:ns2="a763ba8e-bfdd-45ef-ac85-f9ff7c7f402b" targetNamespace="http://schemas.microsoft.com/office/2006/metadata/properties" ma:root="true" ma:fieldsID="4b6cb9a241e6d25e084d3eadc4106d45" ns2:_="">
    <xsd:import namespace="a763ba8e-bfdd-45ef-ac85-f9ff7c7f40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63ba8e-bfdd-45ef-ac85-f9ff7c7f4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B45F22-EF22-495C-B59C-897F0A37C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964CA1-5C92-463B-83D9-AB54D6B4A9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18C493-6512-46A3-ADF5-785ED259E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63ba8e-bfdd-45ef-ac85-f9ff7c7f4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HRP</vt:lpstr>
      <vt:lpstr>HRP 17062026</vt:lpstr>
      <vt:lpstr>HRP05102026</vt:lpstr>
      <vt:lpstr>HRP!Obszar_wydruku</vt:lpstr>
      <vt:lpstr>HRP!Tytuły_wydruku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Grzegorz Broda</dc:creator>
  <cp:keywords/>
  <dc:description/>
  <cp:lastModifiedBy>Ewa Retajczyk</cp:lastModifiedBy>
  <cp:revision/>
  <cp:lastPrinted>2026-10-05T10:31:13Z</cp:lastPrinted>
  <dcterms:created xsi:type="dcterms:W3CDTF">2024-10-03T10:22:25Z</dcterms:created>
  <dcterms:modified xsi:type="dcterms:W3CDTF">2026-10-06T06:14:40Z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0x0101008BDD9542FCBF4F48BE301FC19F3C41A9</vt:lpwstr>
  </property>
  <property fmtid="{D5CDD505-2E9C-101B-9397-08002B2CF9AE}" pid="3" name="MediaServiceImageTags">
    <vt:lpwstr/>
  </property>
</Properties>
</file>