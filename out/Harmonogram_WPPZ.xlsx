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monogram" sheetId="1" state="visible" r:id="rId3"/>
    <sheet name="Kluczowe terminy" sheetId="2" state="visible" r:id="rId4"/>
    <sheet name="Pytania do klienta" sheetId="3" state="visible" r:id="rId5"/>
    <sheet name="Warunki wejścia" sheetId="4" state="visible" r:id="rId6"/>
    <sheet name="Po złożeniu" sheetId="5" state="visible" r:id="rId7"/>
    <sheet name="Założenia i braki" sheetId="6" state="visible" r:id="rId8"/>
    <sheet name="Weryfikacja" sheetId="7" state="visible" r:id="rId9"/>
  </sheets>
  <definedNames>
    <definedName function="false" hidden="true" localSheetId="0" name="_xlnm._FilterDatabase" vbProcedure="false">Harmonogram!$A$3:$J$48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<sst xmlns="http://schemas.openxmlformats.org/spreadsheetml/2006/main" count="430" uniqueCount="295">
  <si>
    <t xml:space="preserve">Harmonogram prac – wniosek BGK, Kredyt WPPZ (FENG 2.33, nabór nr 1/2026)</t>
  </si>
  <si>
    <t xml:space="preserve">Legenda: żółte pola (Status, Uwagi) uzupełnia zespół w trakcie prac. Terminy wewnętrzne są propozycją do uzgodnienia z klientem. Czas trwania liczony formułą.</t>
  </si>
  <si>
    <t xml:space="preserve">Etap</t>
  </si>
  <si>
    <t xml:space="preserve">Nr</t>
  </si>
  <si>
    <t xml:space="preserve">Zadanie</t>
  </si>
  <si>
    <t xml:space="preserve">Kto</t>
  </si>
  <si>
    <t xml:space="preserve">Od</t>
  </si>
  <si>
    <t xml:space="preserve">Do</t>
  </si>
  <si>
    <t xml:space="preserve">Dni kalend.</t>
  </si>
  <si>
    <t xml:space="preserve">Wynik</t>
  </si>
  <si>
    <t xml:space="preserve">Status</t>
  </si>
  <si>
    <t xml:space="preserve">Uwagi</t>
  </si>
  <si>
    <t xml:space="preserve">Etap 0. Start i kwalifikacja</t>
  </si>
  <si>
    <t xml:space="preserve">Etap 0</t>
  </si>
  <si>
    <t xml:space="preserve">0.1</t>
  </si>
  <si>
    <t xml:space="preserve">Spotkanie startowe, przekazanie dokumentów i danych (lista na zakładce „Pytania do klienta”)</t>
  </si>
  <si>
    <t xml:space="preserve">Klient, Doradca</t>
  </si>
  <si>
    <t xml:space="preserve">Komplet danych wejściowych</t>
  </si>
  <si>
    <t xml:space="preserve">Nie rozpoczęte</t>
  </si>
  <si>
    <t xml:space="preserve">0.2</t>
  </si>
  <si>
    <t xml:space="preserve">Weryfikacja warunków wejścia: status MŚP, rejestracja min. 12 mies., brak udziału publicznego ≥ 25%, wykluczone sektory, trudna sytuacja</t>
  </si>
  <si>
    <t xml:space="preserve">Doradca, Klient</t>
  </si>
  <si>
    <t xml:space="preserve">Notatka kwalifikacyjna</t>
  </si>
  <si>
    <t xml:space="preserve">0.3</t>
  </si>
  <si>
    <t xml:space="preserve">Dopasowanie produktów do Listy rodzajów produktów (zał. 3), ustalenie kodów xLyyy</t>
  </si>
  <si>
    <t xml:space="preserve">Lista produktów z kodami</t>
  </si>
  <si>
    <t xml:space="preserve">0.4</t>
  </si>
  <si>
    <t xml:space="preserve">Wstępna ocena inwestycji: forma inwestycji początkowej, lokalizacja i intensywność pomocy, min. 2 mln zł kosztów kwalifikowalnych</t>
  </si>
  <si>
    <t xml:space="preserve">Doradca</t>
  </si>
  <si>
    <t xml:space="preserve">Wstępny zakres i poziom dofinansowania</t>
  </si>
  <si>
    <t xml:space="preserve">0.5</t>
  </si>
  <si>
    <t xml:space="preserve">Decyzja go/no-go</t>
  </si>
  <si>
    <t xml:space="preserve">Klient</t>
  </si>
  <si>
    <t xml:space="preserve">Decyzja o złożeniu wniosku</t>
  </si>
  <si>
    <t xml:space="preserve">Etap 1. Bank kredytujący i promesa</t>
  </si>
  <si>
    <t xml:space="preserve">Etap 1</t>
  </si>
  <si>
    <t xml:space="preserve">1.1</t>
  </si>
  <si>
    <t xml:space="preserve">Wybór banku z listy na bgk.pl, wstępne rozmowy o warunkach i wymaganych dokumentach</t>
  </si>
  <si>
    <t xml:space="preserve">Wybrany bank, lista wymagań</t>
  </si>
  <si>
    <t xml:space="preserve">1.2</t>
  </si>
  <si>
    <t xml:space="preserve">Pakiet dla banku: opis inwestycji, budżet, sprawozdania finansowe, prognozy</t>
  </si>
  <si>
    <t xml:space="preserve">Kompletny pakiet kredytowy</t>
  </si>
  <si>
    <t xml:space="preserve">1.3</t>
  </si>
  <si>
    <t xml:space="preserve">Złożenie wniosku o kredyt WPPZ w banku</t>
  </si>
  <si>
    <t xml:space="preserve">Wniosek kredytowy złożony</t>
  </si>
  <si>
    <t xml:space="preserve">1.4</t>
  </si>
  <si>
    <t xml:space="preserve">Ocena zdolności kredytowej, odpowiedzi na pytania banku, negocjacje</t>
  </si>
  <si>
    <t xml:space="preserve">Bank, Klient</t>
  </si>
  <si>
    <t xml:space="preserve">Pozytywna decyzja kredytowa</t>
  </si>
  <si>
    <t xml:space="preserve">1.5</t>
  </si>
  <si>
    <t xml:space="preserve">Promesa kredytu WPPZ (wg wzoru zał. 2) albo warunkowa umowa kredytu</t>
  </si>
  <si>
    <t xml:space="preserve">Bank</t>
  </si>
  <si>
    <t xml:space="preserve">Promesa lub umowa warunkowa w PDF</t>
  </si>
  <si>
    <t xml:space="preserve">1.6</t>
  </si>
  <si>
    <t xml:space="preserve">Dane kontaktowe banku (formularz w Generatorze), kwota kredytu zgodna z promesą</t>
  </si>
  <si>
    <t xml:space="preserve">Bank, Doradca</t>
  </si>
  <si>
    <t xml:space="preserve">Załącznik nr 3 do wniosku</t>
  </si>
  <si>
    <t xml:space="preserve">Etap 2. Zakres inwestycji, budżet i harmonogram realizacji</t>
  </si>
  <si>
    <t xml:space="preserve">Etap 2</t>
  </si>
  <si>
    <t xml:space="preserve">2.1</t>
  </si>
  <si>
    <t xml:space="preserve">Opis inwestycji i uzasadnienie formy inwestycji początkowej (nowy zakład, zwiększenie mocy, dywersyfikacja, zmiana procesu)</t>
  </si>
  <si>
    <t xml:space="preserve">Opis do sekcji 11 wniosku</t>
  </si>
  <si>
    <t xml:space="preserve">2.2</t>
  </si>
  <si>
    <t xml:space="preserve">Miejsca realizacji i maksymalna intensywność pomocy wg mapy pomocy regionalnej (25–70%; 0% w aglomeracji warszawskiej)</t>
  </si>
  <si>
    <t xml:space="preserve">Poziom dofinansowania</t>
  </si>
  <si>
    <t xml:space="preserve">2.3</t>
  </si>
  <si>
    <t xml:space="preserve">Lista wydatków w kategoriach 1.1–1.4 z uzasadnieniem związku z produkcją konkretnych produktów; limity (grunt do 10%, OZE do 50%)</t>
  </si>
  <si>
    <t xml:space="preserve">Szkic harmonogramu rzeczowo-finansowego</t>
  </si>
  <si>
    <t xml:space="preserve">2.4</t>
  </si>
  <si>
    <t xml:space="preserve">Rozeznanie rynku: zapytania ofertowe i wyceny (bez podpisywania umów, bez zaliczek)</t>
  </si>
  <si>
    <t xml:space="preserve">Oferty i wyceny do kosztorysu</t>
  </si>
  <si>
    <t xml:space="preserve">2.5</t>
  </si>
  <si>
    <t xml:space="preserve">Plan finansowy: kredyt WPPZ, wkład własny min. 25% w formie pieniężnej, kwoty netto</t>
  </si>
  <si>
    <t xml:space="preserve">Sekcje 20–21 wniosku</t>
  </si>
  <si>
    <t xml:space="preserve">2.6</t>
  </si>
  <si>
    <t xml:space="preserve">Termin rozpoczęcia i zakończenia projektu, etapy, rezerwa czasowa przed 31.12.2030</t>
  </si>
  <si>
    <t xml:space="preserve">Sekcja 19 wniosku</t>
  </si>
  <si>
    <t xml:space="preserve">2.7</t>
  </si>
  <si>
    <t xml:space="preserve">Szkic sytuacyjny: układ i przeznaczenie pomieszczeń, rozmieszczenie maszyn, części kwalifikowane i niekwalifikowane; dokumentacja fotograficzna</t>
  </si>
  <si>
    <t xml:space="preserve">Załącznik nr 8 (jeden plik PDF)</t>
  </si>
  <si>
    <t xml:space="preserve">Etap 3. Produkty i dokumentacja merytoryczna</t>
  </si>
  <si>
    <t xml:space="preserve">Etap 3</t>
  </si>
  <si>
    <t xml:space="preserve">3.1</t>
  </si>
  <si>
    <t xml:space="preserve">Karta każdego produktu: opis, parametry, funkcje, porównanie z rynkiem, nowość i innowacyjność, poziom innowacji</t>
  </si>
  <si>
    <t xml:space="preserve">Opisy produktów (sekcja 15)</t>
  </si>
  <si>
    <t xml:space="preserve">3.2</t>
  </si>
  <si>
    <t xml:space="preserve">Zastosowanie cywilne i wojskowe każdego produktu, osobno i z konkretnymi cechami</t>
  </si>
  <si>
    <t xml:space="preserve">Uzasadnienia dual-use</t>
  </si>
  <si>
    <t xml:space="preserve">3.3</t>
  </si>
  <si>
    <t xml:space="preserve">Dokumenty potwierdzające gotowość do wytwarzania i zakończone prace B+R; opis procesu produkcyjnego z listą urządzeń</t>
  </si>
  <si>
    <t xml:space="preserve">Załącznik nr 5 + opis procesu</t>
  </si>
  <si>
    <t xml:space="preserve">3.4</t>
  </si>
  <si>
    <t xml:space="preserve">Dokumenty potwierdzające prawa do produktów (własne B+R, licencje, przeniesienie praw, patenty)</t>
  </si>
  <si>
    <t xml:space="preserve">Załącznik nr 6</t>
  </si>
  <si>
    <t xml:space="preserve">3.5</t>
  </si>
  <si>
    <t xml:space="preserve">Potencjał eksportowy i wymagane zezwolenia na wywóz (np. produkty z zał. I rozp. 2021/821)</t>
  </si>
  <si>
    <t xml:space="preserve">Opis eksportu, wpis do sekcji 18</t>
  </si>
  <si>
    <t xml:space="preserve">3.6</t>
  </si>
  <si>
    <t xml:space="preserve">Pozwolenia, koncesje, decyzje środowiskowe i budowlane: stan i daty uzyskania; analiza zgodności z polityką ochrony środowiska</t>
  </si>
  <si>
    <t xml:space="preserve">Sekcja 18 wniosku</t>
  </si>
  <si>
    <t xml:space="preserve">3.7</t>
  </si>
  <si>
    <t xml:space="preserve">Zasady horyzontalne: równość szans i dostępność, zrównoważony rozwój, zasady 6R i wskaźniki środowiskowe</t>
  </si>
  <si>
    <t xml:space="preserve">Sekcja 17 wniosku</t>
  </si>
  <si>
    <t xml:space="preserve">3.8</t>
  </si>
  <si>
    <t xml:space="preserve">Wskaźniki projektu (produkty, innowacje, liczba produktów) z metodyką weryfikacji</t>
  </si>
  <si>
    <t xml:space="preserve">Sekcja 22 wniosku</t>
  </si>
  <si>
    <t xml:space="preserve">3.9</t>
  </si>
  <si>
    <t xml:space="preserve">Opis działalności firmy, konkurencji, zasobów technicznych i kadrowych, ryzyk</t>
  </si>
  <si>
    <t xml:space="preserve">Sekcje 6 i 18 wniosku</t>
  </si>
  <si>
    <t xml:space="preserve">Etap 4. Wniosek w Generatorze</t>
  </si>
  <si>
    <t xml:space="preserve">Etap 4</t>
  </si>
  <si>
    <t xml:space="preserve">4.1</t>
  </si>
  <si>
    <t xml:space="preserve">Konto w Generatorze na adres e-mail klienta (dostępny przez cały czas umowy), osoby do kontaktu, skrzynka e-Doręczeń klienta</t>
  </si>
  <si>
    <t xml:space="preserve">Konto i wstępnie wypełniony wniosek</t>
  </si>
  <si>
    <t xml:space="preserve">4.2</t>
  </si>
  <si>
    <t xml:space="preserve">Wprowadzanie treści do Generatora wg Instrukcji (zał. 9)</t>
  </si>
  <si>
    <t xml:space="preserve">Wniosek w wersji roboczej</t>
  </si>
  <si>
    <t xml:space="preserve">4.3</t>
  </si>
  <si>
    <t xml:space="preserve">Spójność liczb: produkty, wskaźniki, budżet, źródła finansowania, kwota kredytu z promesą</t>
  </si>
  <si>
    <t xml:space="preserve">Wniosek bez rozbieżności</t>
  </si>
  <si>
    <t xml:space="preserve">Etap 5. Załączniki i podpisy</t>
  </si>
  <si>
    <t xml:space="preserve">Etap 5</t>
  </si>
  <si>
    <t xml:space="preserve">5.1</t>
  </si>
  <si>
    <t xml:space="preserve">Sprawdzenie kwalifikowanych podpisów elektronicznych (PAdES) osób upoważnionych do reprezentacji; limit transakcji certyfikatu</t>
  </si>
  <si>
    <t xml:space="preserve">Działające podpisy</t>
  </si>
  <si>
    <t xml:space="preserve">5.2</t>
  </si>
  <si>
    <t xml:space="preserve">Oświadczenie o tajemnicy bankowej (wzór zał. 6), podpis kwalifikowany</t>
  </si>
  <si>
    <t xml:space="preserve">Załącznik nr 4, PDF z podpisem</t>
  </si>
  <si>
    <t xml:space="preserve">5.3</t>
  </si>
  <si>
    <t xml:space="preserve">Dokument reprezentacji lub pełnomocnictwo notarialne (jeśli dotyczy), oświadczenie koordynatora klastra (jeśli dotyczy)</t>
  </si>
  <si>
    <t xml:space="preserve">Załączniki nr 1 i 7</t>
  </si>
  <si>
    <t xml:space="preserve">5.4</t>
  </si>
  <si>
    <t xml:space="preserve">Zebranie załączników w PDF, tłumaczenia przysięgłe dokumentów obcojęzycznych</t>
  </si>
  <si>
    <t xml:space="preserve">Komplet załączników</t>
  </si>
  <si>
    <t xml:space="preserve">Etap 6. Kontrola jakości i złożenie</t>
  </si>
  <si>
    <t xml:space="preserve">Etap 6</t>
  </si>
  <si>
    <t xml:space="preserve">6.1</t>
  </si>
  <si>
    <t xml:space="preserve">Przegląd końcowy wniosku pod kątem kryteriów wyboru i oceny punktowej</t>
  </si>
  <si>
    <t xml:space="preserve">Lista poprawek</t>
  </si>
  <si>
    <t xml:space="preserve">6.2</t>
  </si>
  <si>
    <t xml:space="preserve">Poprawki, akceptacja klienta, zgoda na treść oświadczeń</t>
  </si>
  <si>
    <t xml:space="preserve">Wersja ostateczna</t>
  </si>
  <si>
    <t xml:space="preserve">6.3</t>
  </si>
  <si>
    <t xml:space="preserve">Złożenie wniosku w Generatorze</t>
  </si>
  <si>
    <t xml:space="preserve">Numer wniosku nadany przez system</t>
  </si>
  <si>
    <t xml:space="preserve">6.4</t>
  </si>
  <si>
    <t xml:space="preserve">Rezerwa na awarie i zgłoszenia do BGK (fkt@bgk.pl)</t>
  </si>
  <si>
    <t xml:space="preserve">Termin ostateczny 28.01.2027, 16:00</t>
  </si>
  <si>
    <t xml:space="preserve">Liczba zadań</t>
  </si>
  <si>
    <t xml:space="preserve">Zakończone</t>
  </si>
  <si>
    <t xml:space="preserve">Najwcześniejszy start / najpóźniejszy koniec</t>
  </si>
  <si>
    <t xml:space="preserve">Kluczowe terminy</t>
  </si>
  <si>
    <t xml:space="preserve">Data</t>
  </si>
  <si>
    <t xml:space="preserve">Zdarzenie</t>
  </si>
  <si>
    <t xml:space="preserve">Źródło</t>
  </si>
  <si>
    <t xml:space="preserve">Decyzja go/no-go po weryfikacji warunków wejścia (propozycja)</t>
  </si>
  <si>
    <t xml:space="preserve">–</t>
  </si>
  <si>
    <t xml:space="preserve">Start naboru; można założyć konto i edytować wniosek w Generatorze</t>
  </si>
  <si>
    <t xml:space="preserve">Regulamin § 1 ust. 6, § 5 ust. 13</t>
  </si>
  <si>
    <t xml:space="preserve">Promesa kredytu WPPZ lub warunkowa umowa kredytu w ręku (propozycja)</t>
  </si>
  <si>
    <t xml:space="preserve">Planowane złożenie wniosku, tydzień zapasu (propozycja)</t>
  </si>
  <si>
    <t xml:space="preserve">Ostateczny termin złożenia wniosku, godz. 16:00; awarię Generatora zgłaszamy na fkt@bgk.pl najpóźniej 2 godz. po zakończeniu naboru</t>
  </si>
  <si>
    <t xml:space="preserve">Regulamin § 1 ust. 6, § 5 ust. 16</t>
  </si>
  <si>
    <t xml:space="preserve">Koniec I etapu oceny: do 75 dni od zamknięcia naboru (przy ≤ 400 wnioskach)</t>
  </si>
  <si>
    <t xml:space="preserve">Regulamin § 9 ust. 5</t>
  </si>
  <si>
    <t xml:space="preserve">Koniec całej oceny: do 183 dni od zamknięcia naboru (przy ≤ 400 wnioskach)</t>
  </si>
  <si>
    <t xml:space="preserve">Koniec kwalifikowalności wydatków; do tej daty także wniosek o płatność końcową</t>
  </si>
  <si>
    <t xml:space="preserve">Przewodnik; Instrukcja pkt 19</t>
  </si>
  <si>
    <t xml:space="preserve">Terminy oceny to maksimum z regulaminu liczone od daty zamknięcia naboru (komórka A8); BGK poda prognozę w 15 dni od zamknięcia. Przy &gt; 400 wniosków ocena wydłuża się o 30 dni za każde 100 wniosków.</t>
  </si>
  <si>
    <t xml:space="preserve">Czego potrzebujemy od klienta</t>
  </si>
  <si>
    <t xml:space="preserve">Prosimy o odpowiedzi do 16.10.2026. Żółte pola uzupełnia zespół.</t>
  </si>
  <si>
    <t xml:space="preserve">Obszar</t>
  </si>
  <si>
    <t xml:space="preserve">Pytanie / dane</t>
  </si>
  <si>
    <t xml:space="preserve">Odpowiedź klienta</t>
  </si>
  <si>
    <t xml:space="preserve">Dane firmy</t>
  </si>
  <si>
    <t xml:space="preserve">KRS lub CEIDG, data rejestracji, struktura właścicielska (czy podmiot publiczny kontroluje ≥ 25% kapitału lub głosów), powiązania z innymi firmami, zatrudnienie, obrót i suma bilansowa z ostatnich dwóch lat</t>
  </si>
  <si>
    <t xml:space="preserve">Produkty</t>
  </si>
  <si>
    <t xml:space="preserve">Ile produktów obejmie projekt, czy każdy mieści się w Liście rodzajów produktów (zał. 3), czy firma już je wytwarza, czy są nowe na rynku</t>
  </si>
  <si>
    <t xml:space="preserve">Gotowość do produkcji</t>
  </si>
  <si>
    <t xml:space="preserve">Czy prace B+R są zakończone, jakie są dokumenty (dokumentacja techniczna, prototypy, testy, certyfikaty), czy produkcja wymaga jeszcze rozwoju technicznego (jeśli tak, warunek gotowości nie jest spełniony)</t>
  </si>
  <si>
    <t xml:space="preserve">Prawa do produktu</t>
  </si>
  <si>
    <t xml:space="preserve">Kto jest autorem rozwiązań, czy firma ma umowy przenoszące prawa, licencje lub patenty</t>
  </si>
  <si>
    <t xml:space="preserve">Zastosowanie wojskowe</t>
  </si>
  <si>
    <t xml:space="preserve">Jakie cechy produktu mają znaczenie dla zadań obronnych i w jakich scenariuszach; czy są odbiorcy lub rozmowy</t>
  </si>
  <si>
    <t xml:space="preserve">Zakres inwestycji</t>
  </si>
  <si>
    <t xml:space="preserve">Maszyny, budowa lub adaptacja hali, grunt, oprogramowanie i licencje, instalacja OZE; szacunkowa wartość netto każdej pozycji</t>
  </si>
  <si>
    <t xml:space="preserve">Lokalizacja</t>
  </si>
  <si>
    <t xml:space="preserve">Adres zakładu (od niego zależy poziom dofinansowania), tytuł prawny do nieruchomości, stan pozwoleń budowlanych i środowiskowych</t>
  </si>
  <si>
    <t xml:space="preserve">Finansowanie</t>
  </si>
  <si>
    <t xml:space="preserve">Planowana kwota kredytu WPPZ, wkład własny w gotówce (min. 25% kosztów kwalifikowalnych), inne kredyty i dotacje na ten sam cel, wstępne kontakty z bankami</t>
  </si>
  <si>
    <t xml:space="preserve">Stan zobowiązań</t>
  </si>
  <si>
    <t xml:space="preserve">Czy cokolwiek z projektu zostało już zamówione, opłacone zaliczką lub podpisane z dostawcą</t>
  </si>
  <si>
    <t xml:space="preserve">Eksport</t>
  </si>
  <si>
    <t xml:space="preserve">Czy produkty podlegają kontroli wywozu i czy firma ma lub planuje zezwolenia</t>
  </si>
  <si>
    <t xml:space="preserve">Podpisy i kontakt</t>
  </si>
  <si>
    <t xml:space="preserve">Kto reprezentuje firmę, kto ma kwalifikowany podpis elektroniczny, osoba kontaktowa, adres e-Doręczeń</t>
  </si>
  <si>
    <t xml:space="preserve">Dodatkowe punkty</t>
  </si>
  <si>
    <t xml:space="preserve">Członkostwo w Krajowym Klastrze Kluczowym (min. 6 mies.) oraz udział w IDABootCamp, NATO Diana lub Miltech</t>
  </si>
  <si>
    <t xml:space="preserve">Warunki wejścia i czego nie robić przed złożeniem wniosku</t>
  </si>
  <si>
    <t xml:space="preserve">Kategoria</t>
  </si>
  <si>
    <t xml:space="preserve">Treść</t>
  </si>
  <si>
    <t xml:space="preserve">Warunek do sprawdzenia do 23.10 (go/no-go)</t>
  </si>
  <si>
    <t xml:space="preserve">Firma jest MŚP (status z uwzględnieniem firm partnerskich i powiązanych)</t>
  </si>
  <si>
    <t xml:space="preserve">Rejestracja w KRS/CEIDG co najmniej 12 miesięcy przed złożeniem wniosku (dla spółki celowej liczy się spółka dominująca)</t>
  </si>
  <si>
    <t xml:space="preserve">Brak kontroli podmiotu publicznego nad 25% lub więcej kapitału lub głosów</t>
  </si>
  <si>
    <t xml:space="preserve">Produkty podwójnego zastosowania z Listy (zał. 3), z realnym zastosowaniem cywilnym i wojskowym</t>
  </si>
  <si>
    <t xml:space="preserve">Gotowość do wytwarzania po zakończeniu inwestycji, bez dalszych prac B+R</t>
  </si>
  <si>
    <t xml:space="preserve">Inwestycja początkowa (nie odtworzeniowa) w Polsce; przy dywersyfikacji koszty muszą przekroczyć o co najmniej 200% wartość księgową ponownie wykorzystywanych aktywów</t>
  </si>
  <si>
    <t xml:space="preserve">Koszty kwalifikowalne co najmniej 2 mln zł (limit górny 50 mln euro)</t>
  </si>
  <si>
    <t xml:space="preserve">Zdolność kredytowa potwierdzona przez bank</t>
  </si>
  <si>
    <t xml:space="preserve">Firma nie jest w trudnej sytuacji, nie zalega z podatkami i składkami, nie podlega sankcjom i wykluczeniom</t>
  </si>
  <si>
    <t xml:space="preserve">Do złożenia wniosku NIE WOLNO</t>
  </si>
  <si>
    <t xml:space="preserve">Podpisywać umów z dostawcami i wykonawcami ani składać wiążących zamówień</t>
  </si>
  <si>
    <t xml:space="preserve">Płacić zaliczek ani zadatków</t>
  </si>
  <si>
    <t xml:space="preserve">Zaczynać robót budowlanych, odbierać dostaw ani rozpoczynać wytwarzania produktu</t>
  </si>
  <si>
    <t xml:space="preserve">Można</t>
  </si>
  <si>
    <t xml:space="preserve">Zlecać dokumentację techniczną, studium wykonalności, doradztwo; uzyskiwać pozwolenia; rozsyłać zapytania ofertowe i zbierać oferty; podpisywać umowy warunkowe uzależnione od uzyskania dofinansowania</t>
  </si>
  <si>
    <t xml:space="preserve">Uwaga</t>
  </si>
  <si>
    <t xml:space="preserve">Koszty kwalifikowalne można ponosić dopiero po dniu złożenia wniosku; ryzyko wydatków przed podpisaniem umowy o dofinansowanie ponosi klient; złożenie wniosku nie oznacza przyznania dofinansowania</t>
  </si>
  <si>
    <t xml:space="preserve">Po złożeniu wniosku</t>
  </si>
  <si>
    <t xml:space="preserve">Termin dla klienta</t>
  </si>
  <si>
    <t xml:space="preserve">Wezwanie do uzupełnienia w I etapie oceny (jednokrotne, tylko w zakresie wezwania)</t>
  </si>
  <si>
    <t xml:space="preserve">5 dni roboczych</t>
  </si>
  <si>
    <t xml:space="preserve">Regulamin § 7 ust. 3</t>
  </si>
  <si>
    <t xml:space="preserve">Wezwanie w II etapie oceny</t>
  </si>
  <si>
    <t xml:space="preserve">7 dni roboczych</t>
  </si>
  <si>
    <t xml:space="preserve">Regulamin § 8 ust. 4</t>
  </si>
  <si>
    <t xml:space="preserve">Dodatkowe uzupełnienie po II etapie (maks. dwukrotnie)</t>
  </si>
  <si>
    <t xml:space="preserve">3 dni robocze</t>
  </si>
  <si>
    <t xml:space="preserve">Regulamin § 8 ust. 15</t>
  </si>
  <si>
    <t xml:space="preserve">Protest od negatywnej oceny</t>
  </si>
  <si>
    <t xml:space="preserve">14 dni od doręczenia informacji</t>
  </si>
  <si>
    <t xml:space="preserve">Regulamin § 10 ust. 1</t>
  </si>
  <si>
    <t xml:space="preserve">Dokumenty do umowy o dofinansowanie, po informacji o przyznaniu wsparcia</t>
  </si>
  <si>
    <t xml:space="preserve">7 dni kalendarzowych</t>
  </si>
  <si>
    <t xml:space="preserve">Regulamin § 11 ust. 6</t>
  </si>
  <si>
    <t xml:space="preserve">Zgoda na obniżenie dofinansowania (przy innym statusie MŚP)</t>
  </si>
  <si>
    <t xml:space="preserve">Regulamin § 11 ust. 11</t>
  </si>
  <si>
    <t xml:space="preserve">Umowa kredytu WPPZ z bankiem</t>
  </si>
  <si>
    <t xml:space="preserve">do 60 dni od otrzymania promesy premii WPPZ</t>
  </si>
  <si>
    <t xml:space="preserve">Regulamin § 11 ust. 4</t>
  </si>
  <si>
    <t xml:space="preserve">Przekazanie umowy kredytu do BGK przez bank</t>
  </si>
  <si>
    <t xml:space="preserve">7 dni od podpisania</t>
  </si>
  <si>
    <t xml:space="preserve">Regulamin § 11 ust. 5</t>
  </si>
  <si>
    <t xml:space="preserve">Weryfikacja dokumentów i podpisanie umowy o dofinansowanie przez BGK</t>
  </si>
  <si>
    <t xml:space="preserve">do 60 dni, potem do 30 dni</t>
  </si>
  <si>
    <t xml:space="preserve">Regulamin § 11 ust. 6 i 10</t>
  </si>
  <si>
    <t xml:space="preserve">Dokumenty do przygotowania z wyprzedzeniem</t>
  </si>
  <si>
    <t xml:space="preserve">oświadczenie o wielkości przedsiębiorstwa, zatwierdzone sprawozdanie finansowe, zaświadczenia o niekaralności, zaświadczenia o braku zaległości w podatkach i składkach, oświadczenia o sankcjach i przeznaczeniu środków, dokumenty o braku trudnej sytuacji, pozwolenie na budowę i decyzja środowiskowa (jeśli dotyczy; mogą być uzupełnione później zgodnie z umową)</t>
  </si>
  <si>
    <t xml:space="preserve">Regulamin § 11 ust. 1 i 7</t>
  </si>
  <si>
    <t xml:space="preserve">Realizacja</t>
  </si>
  <si>
    <t xml:space="preserve">pełny zakres i wniosek o płatność końcową do 31.12.2030; zakupy zgodnie z zasadą konkurencyjności</t>
  </si>
  <si>
    <t xml:space="preserve">Założenia i braki w dokumentacji</t>
  </si>
  <si>
    <t xml:space="preserve">Temat</t>
  </si>
  <si>
    <t xml:space="preserve">Dokumenty użyte</t>
  </si>
  <si>
    <t xml:space="preserve">Regulamin wyboru projektów w wersji obowiązującej od 07.08.2026 (starsza wersja ma treść w zasadzie identyczną, różni się wykazem załączników), Przewodnik kwalifikowalności wydatków (zał. 4), Lista rodzajów produktów (zał. 3), Instrukcja wypełniania wniosku (zał. 9)</t>
  </si>
  <si>
    <t xml:space="preserve">Brak w dokumentacji</t>
  </si>
  <si>
    <t xml:space="preserve">Kryteria wyboru projektów (zał. 1): treść wniosku i punktacja (np. kryteria 1.3, 2.1, 2.10) wymagają jeszcze weryfikacji</t>
  </si>
  <si>
    <t xml:space="preserve">Wzór promesy kredytu (zał. 2), wzór wniosku (zał. 8), wzór umowy o dofinansowanie (zał. 7), wzór oświadczenia o tajemnicy bankowej (zał. 6)</t>
  </si>
  <si>
    <t xml:space="preserve">Założenie</t>
  </si>
  <si>
    <t xml:space="preserve">Terminy wewnętrzne są propozycją; czas oceny kredytowej w banku (ok. 5 tygodni, zadanie 1.4) trzeba potwierdzić z wybranym bankiem, bo od niego zależy cała ścieżka</t>
  </si>
  <si>
    <t xml:space="preserve">Konkurs punktowy</t>
  </si>
  <si>
    <t xml:space="preserve">Do podziału jest 400 mln zł, o wsparciu decyduje liczba punktów, nie kolejność złożenia; wcześniejsze złożenie daje tylko zapas na awarie</t>
  </si>
  <si>
    <t xml:space="preserve">Terminy oceny</t>
  </si>
  <si>
    <t xml:space="preserve">Podane dla naboru do 400 wniosków; przy większej liczbie wydłużają się o 30 dni za każde 100 wniosków</t>
  </si>
  <si>
    <t xml:space="preserve">Wyniki weryfikacji opracowania</t>
  </si>
  <si>
    <t xml:space="preserve">Miejsce</t>
  </si>
  <si>
    <t xml:space="preserve">Znalezione</t>
  </si>
  <si>
    <t xml:space="preserve">Działanie</t>
  </si>
  <si>
    <t xml:space="preserve">1</t>
  </si>
  <si>
    <t xml:space="preserve">Treść wstępu do harmonogramu</t>
  </si>
  <si>
    <t xml:space="preserve">Napisano „sześć etapów”, a jest siedem (etapy 0–6)</t>
  </si>
  <si>
    <t xml:space="preserve">Poprawiono na „siedem”</t>
  </si>
  <si>
    <t xml:space="preserve">2</t>
  </si>
  <si>
    <t xml:space="preserve">Nagłówki etapów 1, 2 i 6</t>
  </si>
  <si>
    <t xml:space="preserve">Zakresy dat w nagłówkach nie zgadzały się z zadaniami (etap 1 kończy się 08.01, a nie 18.12; etap 2 zaczyna się 19.10; etap 6 kończy się 28.01)</t>
  </si>
  <si>
    <t xml:space="preserve">Nagłówki poprawione w dokumencie, w Excelu etapy nie mają zakresów w nazwach</t>
  </si>
  <si>
    <t xml:space="preserve">3</t>
  </si>
  <si>
    <t xml:space="preserve">Zadanie 2.2, intensywność pomocy</t>
  </si>
  <si>
    <t xml:space="preserve">Podano „np. 50–70%”; w Przewodniku zakres to 25–70%, a w aglomeracji warszawskiej 0% (brak pomocy)</t>
  </si>
  <si>
    <t xml:space="preserve">Poprawiono i dodano ostrzeżenie o 0% dla części Mazowsza</t>
  </si>
  <si>
    <t xml:space="preserve">4</t>
  </si>
  <si>
    <t xml:space="preserve">Zadanie 2.4</t>
  </si>
  <si>
    <t xml:space="preserve">Wynik „Oferty podstawowe do kosztorysu” był niejasny</t>
  </si>
  <si>
    <t xml:space="preserve">Zmieniono na „Oferty i wyceny do kosztorysu”</t>
  </si>
  <si>
    <t xml:space="preserve">5</t>
  </si>
  <si>
    <t xml:space="preserve">Dni tygodnia i daty</t>
  </si>
  <si>
    <t xml:space="preserve">Sprawdzono wszystkie daty (żadna nie wypada w weekend) oraz wyliczenia: 28.01.2027 + 75 dni = 13.04.2027, + 183 dni = 30.07.2027</t>
  </si>
  <si>
    <t xml:space="preserve">Bez błędów</t>
  </si>
  <si>
    <t xml:space="preserve">6</t>
  </si>
  <si>
    <t xml:space="preserve">Numeracja załączników</t>
  </si>
  <si>
    <t xml:space="preserve">Sprawdzono zgodność z Instrukcją (zał. 1–8 do wniosku) i z listą załączników regulaminu</t>
  </si>
  <si>
    <t xml:space="preserve">7</t>
  </si>
  <si>
    <t xml:space="preserve">Terminy po złożeniu wniosku</t>
  </si>
  <si>
    <t xml:space="preserve">Porównano z regulaminem (§ 7 ust. 3, § 8 ust. 4 i 15, § 10 ust. 1, § 11 ust. 4–6, 10, 11)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</si>
</sst>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9.5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s">
        <v>12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23.85" hidden="false" customHeight="false" outlineLevel="0" collapsed="false">
      <c r="A5" s="6" t="s">
        <v>13</v>
      </c>
      <c r="B5" s="6" t="s">
        <v>14</v>
      </c>
      <c r="C5" s="6" t="s">
        <v>15</v>
      </c>
      <c r="D5" s="6" t="s">
        <v>16</v>
      </c>
      <c r="E5" s="7" t="n">
        <v>46307</v>
      </c>
      <c r="F5" s="7" t="n">
        <v>46311</v>
      </c>
      <c r="G5" s="6" t="n">
        <f aca="false">F5-E5+1</f>
        <v>5</v>
      </c>
      <c r="H5" s="6" t="s">
        <v>17</v>
      </c>
      <c r="I5" s="8" t="s">
        <v>18</v>
      </c>
      <c r="J5" s="8"/>
    </row>
    <row r="6" customFormat="false" ht="23.85" hidden="false" customHeight="false" outlineLevel="0" collapsed="false">
      <c r="A6" s="6" t="s">
        <v>13</v>
      </c>
      <c r="B6" s="6" t="s">
        <v>19</v>
      </c>
      <c r="C6" s="6" t="s">
        <v>20</v>
      </c>
      <c r="D6" s="6" t="s">
        <v>21</v>
      </c>
      <c r="E6" s="7" t="n">
        <v>46307</v>
      </c>
      <c r="F6" s="7" t="n">
        <v>46316</v>
      </c>
      <c r="G6" s="6" t="n">
        <f aca="false">F6-E6+1</f>
        <v>10</v>
      </c>
      <c r="H6" s="6" t="s">
        <v>22</v>
      </c>
      <c r="I6" s="8" t="s">
        <v>18</v>
      </c>
      <c r="J6" s="8"/>
    </row>
    <row r="7" customFormat="false" ht="23.85" hidden="false" customHeight="false" outlineLevel="0" collapsed="false">
      <c r="A7" s="6" t="s">
        <v>13</v>
      </c>
      <c r="B7" s="6" t="s">
        <v>23</v>
      </c>
      <c r="C7" s="6" t="s">
        <v>24</v>
      </c>
      <c r="D7" s="6" t="s">
        <v>16</v>
      </c>
      <c r="E7" s="7" t="n">
        <v>46307</v>
      </c>
      <c r="F7" s="7" t="n">
        <v>46316</v>
      </c>
      <c r="G7" s="6" t="n">
        <f aca="false">F7-E7+1</f>
        <v>10</v>
      </c>
      <c r="H7" s="6" t="s">
        <v>25</v>
      </c>
      <c r="I7" s="8" t="s">
        <v>18</v>
      </c>
      <c r="J7" s="8"/>
    </row>
    <row r="8" customFormat="false" ht="23.85" hidden="false" customHeight="false" outlineLevel="0" collapsed="false">
      <c r="A8" s="6" t="s">
        <v>13</v>
      </c>
      <c r="B8" s="6" t="s">
        <v>26</v>
      </c>
      <c r="C8" s="6" t="s">
        <v>27</v>
      </c>
      <c r="D8" s="6" t="s">
        <v>28</v>
      </c>
      <c r="E8" s="7" t="n">
        <v>46309</v>
      </c>
      <c r="F8" s="7" t="n">
        <v>46317</v>
      </c>
      <c r="G8" s="6" t="n">
        <f aca="false">F8-E8+1</f>
        <v>9</v>
      </c>
      <c r="H8" s="6" t="s">
        <v>29</v>
      </c>
      <c r="I8" s="8" t="s">
        <v>18</v>
      </c>
      <c r="J8" s="8"/>
    </row>
    <row r="9" customFormat="false" ht="15" hidden="false" customHeight="false" outlineLevel="0" collapsed="false">
      <c r="A9" s="6" t="s">
        <v>13</v>
      </c>
      <c r="B9" s="6" t="s">
        <v>30</v>
      </c>
      <c r="C9" s="6" t="s">
        <v>31</v>
      </c>
      <c r="D9" s="6" t="s">
        <v>32</v>
      </c>
      <c r="E9" s="7" t="n">
        <v>46318</v>
      </c>
      <c r="F9" s="7" t="n">
        <v>46318</v>
      </c>
      <c r="G9" s="6" t="n">
        <f aca="false">F9-E9+1</f>
        <v>1</v>
      </c>
      <c r="H9" s="6" t="s">
        <v>33</v>
      </c>
      <c r="I9" s="8" t="s">
        <v>18</v>
      </c>
      <c r="J9" s="8"/>
    </row>
    <row r="10" customFormat="false" ht="15" hidden="false" customHeight="false" outlineLevel="0" collapsed="false">
      <c r="A10" s="4" t="s">
        <v>34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3.85" hidden="false" customHeight="false" outlineLevel="0" collapsed="false">
      <c r="A11" s="6" t="s">
        <v>35</v>
      </c>
      <c r="B11" s="6" t="s">
        <v>36</v>
      </c>
      <c r="C11" s="6" t="s">
        <v>37</v>
      </c>
      <c r="D11" s="6" t="s">
        <v>32</v>
      </c>
      <c r="E11" s="7" t="n">
        <v>46307</v>
      </c>
      <c r="F11" s="7" t="n">
        <v>46318</v>
      </c>
      <c r="G11" s="6" t="n">
        <f aca="false">F11-E11+1</f>
        <v>12</v>
      </c>
      <c r="H11" s="6" t="s">
        <v>38</v>
      </c>
      <c r="I11" s="8" t="s">
        <v>18</v>
      </c>
      <c r="J11" s="8"/>
    </row>
    <row r="12" customFormat="false" ht="23.85" hidden="false" customHeight="false" outlineLevel="0" collapsed="false">
      <c r="A12" s="6" t="s">
        <v>35</v>
      </c>
      <c r="B12" s="6" t="s">
        <v>39</v>
      </c>
      <c r="C12" s="6" t="s">
        <v>40</v>
      </c>
      <c r="D12" s="6" t="s">
        <v>16</v>
      </c>
      <c r="E12" s="7" t="n">
        <v>46321</v>
      </c>
      <c r="F12" s="7" t="n">
        <v>46339</v>
      </c>
      <c r="G12" s="6" t="n">
        <f aca="false">F12-E12+1</f>
        <v>19</v>
      </c>
      <c r="H12" s="6" t="s">
        <v>41</v>
      </c>
      <c r="I12" s="8" t="s">
        <v>18</v>
      </c>
      <c r="J12" s="8"/>
    </row>
    <row r="13" customFormat="false" ht="15" hidden="false" customHeight="false" outlineLevel="0" collapsed="false">
      <c r="A13" s="6" t="s">
        <v>35</v>
      </c>
      <c r="B13" s="6" t="s">
        <v>42</v>
      </c>
      <c r="C13" s="6" t="s">
        <v>43</v>
      </c>
      <c r="D13" s="6" t="s">
        <v>32</v>
      </c>
      <c r="E13" s="7" t="n">
        <v>46339</v>
      </c>
      <c r="F13" s="7" t="n">
        <v>46339</v>
      </c>
      <c r="G13" s="6" t="n">
        <f aca="false">F13-E13+1</f>
        <v>1</v>
      </c>
      <c r="H13" s="6" t="s">
        <v>44</v>
      </c>
      <c r="I13" s="8" t="s">
        <v>18</v>
      </c>
      <c r="J13" s="8"/>
    </row>
    <row r="14" customFormat="false" ht="15" hidden="false" customHeight="false" outlineLevel="0" collapsed="false">
      <c r="A14" s="6" t="s">
        <v>35</v>
      </c>
      <c r="B14" s="6" t="s">
        <v>45</v>
      </c>
      <c r="C14" s="6" t="s">
        <v>46</v>
      </c>
      <c r="D14" s="6" t="s">
        <v>47</v>
      </c>
      <c r="E14" s="7" t="n">
        <v>46342</v>
      </c>
      <c r="F14" s="7" t="n">
        <v>46374</v>
      </c>
      <c r="G14" s="6" t="n">
        <f aca="false">F14-E14+1</f>
        <v>33</v>
      </c>
      <c r="H14" s="6" t="s">
        <v>48</v>
      </c>
      <c r="I14" s="8" t="s">
        <v>18</v>
      </c>
      <c r="J14" s="8"/>
    </row>
    <row r="15" customFormat="false" ht="23.85" hidden="false" customHeight="false" outlineLevel="0" collapsed="false">
      <c r="A15" s="6" t="s">
        <v>35</v>
      </c>
      <c r="B15" s="6" t="s">
        <v>49</v>
      </c>
      <c r="C15" s="6" t="s">
        <v>50</v>
      </c>
      <c r="D15" s="6" t="s">
        <v>51</v>
      </c>
      <c r="E15" s="7" t="n">
        <v>46374</v>
      </c>
      <c r="F15" s="7" t="n">
        <v>46374</v>
      </c>
      <c r="G15" s="6" t="n">
        <f aca="false">F15-E15+1</f>
        <v>1</v>
      </c>
      <c r="H15" s="6" t="s">
        <v>52</v>
      </c>
      <c r="I15" s="8" t="s">
        <v>18</v>
      </c>
      <c r="J15" s="8"/>
    </row>
    <row r="16" customFormat="false" ht="23.85" hidden="false" customHeight="false" outlineLevel="0" collapsed="false">
      <c r="A16" s="6" t="s">
        <v>35</v>
      </c>
      <c r="B16" s="6" t="s">
        <v>53</v>
      </c>
      <c r="C16" s="6" t="s">
        <v>54</v>
      </c>
      <c r="D16" s="6" t="s">
        <v>55</v>
      </c>
      <c r="E16" s="7" t="n">
        <v>46374</v>
      </c>
      <c r="F16" s="7" t="n">
        <v>46395</v>
      </c>
      <c r="G16" s="6" t="n">
        <f aca="false">F16-E16+1</f>
        <v>22</v>
      </c>
      <c r="H16" s="6" t="s">
        <v>56</v>
      </c>
      <c r="I16" s="8" t="s">
        <v>18</v>
      </c>
      <c r="J16" s="8"/>
    </row>
    <row r="17" customFormat="false" ht="15" hidden="false" customHeight="false" outlineLevel="0" collapsed="false">
      <c r="A17" s="4" t="s">
        <v>57</v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23.85" hidden="false" customHeight="false" outlineLevel="0" collapsed="false">
      <c r="A18" s="6" t="s">
        <v>58</v>
      </c>
      <c r="B18" s="6" t="s">
        <v>59</v>
      </c>
      <c r="C18" s="6" t="s">
        <v>60</v>
      </c>
      <c r="D18" s="6" t="s">
        <v>21</v>
      </c>
      <c r="E18" s="7" t="n">
        <v>46314</v>
      </c>
      <c r="F18" s="7" t="n">
        <v>46325</v>
      </c>
      <c r="G18" s="6" t="n">
        <f aca="false">F18-E18+1</f>
        <v>12</v>
      </c>
      <c r="H18" s="6" t="s">
        <v>61</v>
      </c>
      <c r="I18" s="8" t="s">
        <v>18</v>
      </c>
      <c r="J18" s="8"/>
    </row>
    <row r="19" customFormat="false" ht="23.85" hidden="false" customHeight="false" outlineLevel="0" collapsed="false">
      <c r="A19" s="6" t="s">
        <v>58</v>
      </c>
      <c r="B19" s="6" t="s">
        <v>62</v>
      </c>
      <c r="C19" s="6" t="s">
        <v>63</v>
      </c>
      <c r="D19" s="6" t="s">
        <v>28</v>
      </c>
      <c r="E19" s="7" t="n">
        <v>46314</v>
      </c>
      <c r="F19" s="7" t="n">
        <v>46325</v>
      </c>
      <c r="G19" s="6" t="n">
        <f aca="false">F19-E19+1</f>
        <v>12</v>
      </c>
      <c r="H19" s="6" t="s">
        <v>64</v>
      </c>
      <c r="I19" s="8" t="s">
        <v>18</v>
      </c>
      <c r="J19" s="8"/>
    </row>
    <row r="20" customFormat="false" ht="23.85" hidden="false" customHeight="false" outlineLevel="0" collapsed="false">
      <c r="A20" s="6" t="s">
        <v>58</v>
      </c>
      <c r="B20" s="6" t="s">
        <v>65</v>
      </c>
      <c r="C20" s="6" t="s">
        <v>66</v>
      </c>
      <c r="D20" s="6" t="s">
        <v>16</v>
      </c>
      <c r="E20" s="7" t="n">
        <v>46321</v>
      </c>
      <c r="F20" s="7" t="n">
        <v>46346</v>
      </c>
      <c r="G20" s="6" t="n">
        <f aca="false">F20-E20+1</f>
        <v>26</v>
      </c>
      <c r="H20" s="6" t="s">
        <v>67</v>
      </c>
      <c r="I20" s="8" t="s">
        <v>18</v>
      </c>
      <c r="J20" s="8"/>
    </row>
    <row r="21" customFormat="false" ht="23.85" hidden="false" customHeight="false" outlineLevel="0" collapsed="false">
      <c r="A21" s="6" t="s">
        <v>58</v>
      </c>
      <c r="B21" s="6" t="s">
        <v>68</v>
      </c>
      <c r="C21" s="6" t="s">
        <v>69</v>
      </c>
      <c r="D21" s="6" t="s">
        <v>32</v>
      </c>
      <c r="E21" s="7" t="n">
        <v>46321</v>
      </c>
      <c r="F21" s="7" t="n">
        <v>46360</v>
      </c>
      <c r="G21" s="6" t="n">
        <f aca="false">F21-E21+1</f>
        <v>40</v>
      </c>
      <c r="H21" s="6" t="s">
        <v>70</v>
      </c>
      <c r="I21" s="8" t="s">
        <v>18</v>
      </c>
      <c r="J21" s="8"/>
    </row>
    <row r="22" customFormat="false" ht="23.85" hidden="false" customHeight="false" outlineLevel="0" collapsed="false">
      <c r="A22" s="6" t="s">
        <v>58</v>
      </c>
      <c r="B22" s="6" t="s">
        <v>71</v>
      </c>
      <c r="C22" s="6" t="s">
        <v>72</v>
      </c>
      <c r="D22" s="6" t="s">
        <v>21</v>
      </c>
      <c r="E22" s="7" t="n">
        <v>46349</v>
      </c>
      <c r="F22" s="7" t="n">
        <v>46360</v>
      </c>
      <c r="G22" s="6" t="n">
        <f aca="false">F22-E22+1</f>
        <v>12</v>
      </c>
      <c r="H22" s="6" t="s">
        <v>73</v>
      </c>
      <c r="I22" s="8" t="s">
        <v>18</v>
      </c>
      <c r="J22" s="8"/>
    </row>
    <row r="23" customFormat="false" ht="23.85" hidden="false" customHeight="false" outlineLevel="0" collapsed="false">
      <c r="A23" s="6" t="s">
        <v>58</v>
      </c>
      <c r="B23" s="6" t="s">
        <v>74</v>
      </c>
      <c r="C23" s="6" t="s">
        <v>75</v>
      </c>
      <c r="D23" s="6" t="s">
        <v>16</v>
      </c>
      <c r="E23" s="7" t="n">
        <v>46349</v>
      </c>
      <c r="F23" s="7" t="n">
        <v>46367</v>
      </c>
      <c r="G23" s="6" t="n">
        <f aca="false">F23-E23+1</f>
        <v>19</v>
      </c>
      <c r="H23" s="6" t="s">
        <v>76</v>
      </c>
      <c r="I23" s="8" t="s">
        <v>18</v>
      </c>
      <c r="J23" s="8"/>
    </row>
    <row r="24" customFormat="false" ht="35.05" hidden="false" customHeight="false" outlineLevel="0" collapsed="false">
      <c r="A24" s="6" t="s">
        <v>58</v>
      </c>
      <c r="B24" s="6" t="s">
        <v>77</v>
      </c>
      <c r="C24" s="6" t="s">
        <v>78</v>
      </c>
      <c r="D24" s="6" t="s">
        <v>32</v>
      </c>
      <c r="E24" s="7" t="n">
        <v>46328</v>
      </c>
      <c r="F24" s="7" t="n">
        <v>46353</v>
      </c>
      <c r="G24" s="6" t="n">
        <f aca="false">F24-E24+1</f>
        <v>26</v>
      </c>
      <c r="H24" s="6" t="s">
        <v>79</v>
      </c>
      <c r="I24" s="8" t="s">
        <v>18</v>
      </c>
      <c r="J24" s="8"/>
    </row>
    <row r="25" customFormat="false" ht="15" hidden="false" customHeight="false" outlineLevel="0" collapsed="false">
      <c r="A25" s="4" t="s">
        <v>80</v>
      </c>
      <c r="B25" s="5"/>
      <c r="C25" s="5"/>
      <c r="D25" s="5"/>
      <c r="E25" s="5"/>
      <c r="F25" s="5"/>
      <c r="G25" s="5"/>
      <c r="H25" s="5"/>
      <c r="I25" s="5"/>
      <c r="J25" s="5"/>
    </row>
    <row r="26" customFormat="false" ht="23.85" hidden="false" customHeight="false" outlineLevel="0" collapsed="false">
      <c r="A26" s="6" t="s">
        <v>81</v>
      </c>
      <c r="B26" s="6" t="s">
        <v>82</v>
      </c>
      <c r="C26" s="6" t="s">
        <v>83</v>
      </c>
      <c r="D26" s="6" t="s">
        <v>16</v>
      </c>
      <c r="E26" s="7" t="n">
        <v>46314</v>
      </c>
      <c r="F26" s="7" t="n">
        <v>46339</v>
      </c>
      <c r="G26" s="6" t="n">
        <f aca="false">F26-E26+1</f>
        <v>26</v>
      </c>
      <c r="H26" s="6" t="s">
        <v>84</v>
      </c>
      <c r="I26" s="8" t="s">
        <v>18</v>
      </c>
      <c r="J26" s="8"/>
    </row>
    <row r="27" customFormat="false" ht="23.85" hidden="false" customHeight="false" outlineLevel="0" collapsed="false">
      <c r="A27" s="6" t="s">
        <v>81</v>
      </c>
      <c r="B27" s="6" t="s">
        <v>85</v>
      </c>
      <c r="C27" s="6" t="s">
        <v>86</v>
      </c>
      <c r="D27" s="6" t="s">
        <v>16</v>
      </c>
      <c r="E27" s="7" t="n">
        <v>46314</v>
      </c>
      <c r="F27" s="7" t="n">
        <v>46339</v>
      </c>
      <c r="G27" s="6" t="n">
        <f aca="false">F27-E27+1</f>
        <v>26</v>
      </c>
      <c r="H27" s="6" t="s">
        <v>87</v>
      </c>
      <c r="I27" s="8" t="s">
        <v>18</v>
      </c>
      <c r="J27" s="8"/>
    </row>
    <row r="28" customFormat="false" ht="23.85" hidden="false" customHeight="false" outlineLevel="0" collapsed="false">
      <c r="A28" s="6" t="s">
        <v>81</v>
      </c>
      <c r="B28" s="6" t="s">
        <v>88</v>
      </c>
      <c r="C28" s="6" t="s">
        <v>89</v>
      </c>
      <c r="D28" s="6" t="s">
        <v>32</v>
      </c>
      <c r="E28" s="7" t="n">
        <v>46314</v>
      </c>
      <c r="F28" s="7" t="n">
        <v>46346</v>
      </c>
      <c r="G28" s="6" t="n">
        <f aca="false">F28-E28+1</f>
        <v>33</v>
      </c>
      <c r="H28" s="6" t="s">
        <v>90</v>
      </c>
      <c r="I28" s="8" t="s">
        <v>18</v>
      </c>
      <c r="J28" s="8"/>
    </row>
    <row r="29" customFormat="false" ht="23.85" hidden="false" customHeight="false" outlineLevel="0" collapsed="false">
      <c r="A29" s="6" t="s">
        <v>81</v>
      </c>
      <c r="B29" s="6" t="s">
        <v>91</v>
      </c>
      <c r="C29" s="6" t="s">
        <v>92</v>
      </c>
      <c r="D29" s="6" t="s">
        <v>32</v>
      </c>
      <c r="E29" s="7" t="n">
        <v>46314</v>
      </c>
      <c r="F29" s="7" t="n">
        <v>46346</v>
      </c>
      <c r="G29" s="6" t="n">
        <f aca="false">F29-E29+1</f>
        <v>33</v>
      </c>
      <c r="H29" s="6" t="s">
        <v>93</v>
      </c>
      <c r="I29" s="8" t="s">
        <v>18</v>
      </c>
      <c r="J29" s="8"/>
    </row>
    <row r="30" customFormat="false" ht="23.85" hidden="false" customHeight="false" outlineLevel="0" collapsed="false">
      <c r="A30" s="6" t="s">
        <v>81</v>
      </c>
      <c r="B30" s="6" t="s">
        <v>94</v>
      </c>
      <c r="C30" s="6" t="s">
        <v>95</v>
      </c>
      <c r="D30" s="6" t="s">
        <v>16</v>
      </c>
      <c r="E30" s="7" t="n">
        <v>46328</v>
      </c>
      <c r="F30" s="7" t="n">
        <v>46346</v>
      </c>
      <c r="G30" s="6" t="n">
        <f aca="false">F30-E30+1</f>
        <v>19</v>
      </c>
      <c r="H30" s="6" t="s">
        <v>96</v>
      </c>
      <c r="I30" s="8" t="s">
        <v>18</v>
      </c>
      <c r="J30" s="8"/>
    </row>
    <row r="31" customFormat="false" ht="23.85" hidden="false" customHeight="false" outlineLevel="0" collapsed="false">
      <c r="A31" s="6" t="s">
        <v>81</v>
      </c>
      <c r="B31" s="6" t="s">
        <v>97</v>
      </c>
      <c r="C31" s="6" t="s">
        <v>98</v>
      </c>
      <c r="D31" s="6" t="s">
        <v>16</v>
      </c>
      <c r="E31" s="7" t="n">
        <v>46328</v>
      </c>
      <c r="F31" s="7" t="n">
        <v>46360</v>
      </c>
      <c r="G31" s="6" t="n">
        <f aca="false">F31-E31+1</f>
        <v>33</v>
      </c>
      <c r="H31" s="6" t="s">
        <v>99</v>
      </c>
      <c r="I31" s="8" t="s">
        <v>18</v>
      </c>
      <c r="J31" s="8"/>
    </row>
    <row r="32" customFormat="false" ht="23.85" hidden="false" customHeight="false" outlineLevel="0" collapsed="false">
      <c r="A32" s="6" t="s">
        <v>81</v>
      </c>
      <c r="B32" s="6" t="s">
        <v>100</v>
      </c>
      <c r="C32" s="6" t="s">
        <v>101</v>
      </c>
      <c r="D32" s="6" t="s">
        <v>28</v>
      </c>
      <c r="E32" s="7" t="n">
        <v>46342</v>
      </c>
      <c r="F32" s="7" t="n">
        <v>46367</v>
      </c>
      <c r="G32" s="6" t="n">
        <f aca="false">F32-E32+1</f>
        <v>26</v>
      </c>
      <c r="H32" s="6" t="s">
        <v>102</v>
      </c>
      <c r="I32" s="8" t="s">
        <v>18</v>
      </c>
      <c r="J32" s="8"/>
    </row>
    <row r="33" customFormat="false" ht="23.85" hidden="false" customHeight="false" outlineLevel="0" collapsed="false">
      <c r="A33" s="6" t="s">
        <v>81</v>
      </c>
      <c r="B33" s="6" t="s">
        <v>103</v>
      </c>
      <c r="C33" s="6" t="s">
        <v>104</v>
      </c>
      <c r="D33" s="6" t="s">
        <v>28</v>
      </c>
      <c r="E33" s="7" t="n">
        <v>46356</v>
      </c>
      <c r="F33" s="7" t="n">
        <v>46367</v>
      </c>
      <c r="G33" s="6" t="n">
        <f aca="false">F33-E33+1</f>
        <v>12</v>
      </c>
      <c r="H33" s="6" t="s">
        <v>105</v>
      </c>
      <c r="I33" s="8" t="s">
        <v>18</v>
      </c>
      <c r="J33" s="8"/>
    </row>
    <row r="34" customFormat="false" ht="23.85" hidden="false" customHeight="false" outlineLevel="0" collapsed="false">
      <c r="A34" s="6" t="s">
        <v>81</v>
      </c>
      <c r="B34" s="6" t="s">
        <v>106</v>
      </c>
      <c r="C34" s="6" t="s">
        <v>107</v>
      </c>
      <c r="D34" s="6" t="s">
        <v>16</v>
      </c>
      <c r="E34" s="7" t="n">
        <v>46328</v>
      </c>
      <c r="F34" s="7" t="n">
        <v>46353</v>
      </c>
      <c r="G34" s="6" t="n">
        <f aca="false">F34-E34+1</f>
        <v>26</v>
      </c>
      <c r="H34" s="6" t="s">
        <v>108</v>
      </c>
      <c r="I34" s="8" t="s">
        <v>18</v>
      </c>
      <c r="J34" s="8"/>
    </row>
    <row r="35" customFormat="false" ht="15" hidden="false" customHeight="false" outlineLevel="0" collapsed="false">
      <c r="A35" s="4" t="s">
        <v>109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23.85" hidden="false" customHeight="false" outlineLevel="0" collapsed="false">
      <c r="A36" s="6" t="s">
        <v>110</v>
      </c>
      <c r="B36" s="6" t="s">
        <v>111</v>
      </c>
      <c r="C36" s="6" t="s">
        <v>112</v>
      </c>
      <c r="D36" s="6" t="s">
        <v>32</v>
      </c>
      <c r="E36" s="7" t="n">
        <v>46324</v>
      </c>
      <c r="F36" s="7" t="n">
        <v>46325</v>
      </c>
      <c r="G36" s="6" t="n">
        <f aca="false">F36-E36+1</f>
        <v>2</v>
      </c>
      <c r="H36" s="6" t="s">
        <v>113</v>
      </c>
      <c r="I36" s="8" t="s">
        <v>18</v>
      </c>
      <c r="J36" s="8"/>
    </row>
    <row r="37" customFormat="false" ht="15" hidden="false" customHeight="false" outlineLevel="0" collapsed="false">
      <c r="A37" s="6" t="s">
        <v>110</v>
      </c>
      <c r="B37" s="6" t="s">
        <v>114</v>
      </c>
      <c r="C37" s="6" t="s">
        <v>115</v>
      </c>
      <c r="D37" s="6" t="s">
        <v>28</v>
      </c>
      <c r="E37" s="7" t="n">
        <v>46342</v>
      </c>
      <c r="F37" s="7" t="n">
        <v>46395</v>
      </c>
      <c r="G37" s="6" t="n">
        <f aca="false">F37-E37+1</f>
        <v>54</v>
      </c>
      <c r="H37" s="6" t="s">
        <v>116</v>
      </c>
      <c r="I37" s="8" t="s">
        <v>18</v>
      </c>
      <c r="J37" s="8"/>
    </row>
    <row r="38" customFormat="false" ht="23.85" hidden="false" customHeight="false" outlineLevel="0" collapsed="false">
      <c r="A38" s="6" t="s">
        <v>110</v>
      </c>
      <c r="B38" s="6" t="s">
        <v>117</v>
      </c>
      <c r="C38" s="6" t="s">
        <v>118</v>
      </c>
      <c r="D38" s="6" t="s">
        <v>28</v>
      </c>
      <c r="E38" s="7" t="n">
        <v>46391</v>
      </c>
      <c r="F38" s="7" t="n">
        <v>46395</v>
      </c>
      <c r="G38" s="6" t="n">
        <f aca="false">F38-E38+1</f>
        <v>5</v>
      </c>
      <c r="H38" s="6" t="s">
        <v>119</v>
      </c>
      <c r="I38" s="8" t="s">
        <v>18</v>
      </c>
      <c r="J38" s="8"/>
    </row>
    <row r="39" customFormat="false" ht="15" hidden="false" customHeight="false" outlineLevel="0" collapsed="false">
      <c r="A39" s="4" t="s">
        <v>120</v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23.85" hidden="false" customHeight="false" outlineLevel="0" collapsed="false">
      <c r="A40" s="6" t="s">
        <v>121</v>
      </c>
      <c r="B40" s="6" t="s">
        <v>122</v>
      </c>
      <c r="C40" s="6" t="s">
        <v>123</v>
      </c>
      <c r="D40" s="6" t="s">
        <v>32</v>
      </c>
      <c r="E40" s="7" t="n">
        <v>46349</v>
      </c>
      <c r="F40" s="7" t="n">
        <v>46360</v>
      </c>
      <c r="G40" s="6" t="n">
        <f aca="false">F40-E40+1</f>
        <v>12</v>
      </c>
      <c r="H40" s="6" t="s">
        <v>124</v>
      </c>
      <c r="I40" s="8" t="s">
        <v>18</v>
      </c>
      <c r="J40" s="8"/>
    </row>
    <row r="41" customFormat="false" ht="15" hidden="false" customHeight="false" outlineLevel="0" collapsed="false">
      <c r="A41" s="6" t="s">
        <v>121</v>
      </c>
      <c r="B41" s="6" t="s">
        <v>125</v>
      </c>
      <c r="C41" s="6" t="s">
        <v>126</v>
      </c>
      <c r="D41" s="6" t="s">
        <v>32</v>
      </c>
      <c r="E41" s="7" t="n">
        <v>46374</v>
      </c>
      <c r="F41" s="7" t="n">
        <v>46395</v>
      </c>
      <c r="G41" s="6" t="n">
        <f aca="false">F41-E41+1</f>
        <v>22</v>
      </c>
      <c r="H41" s="6" t="s">
        <v>127</v>
      </c>
      <c r="I41" s="8" t="s">
        <v>18</v>
      </c>
      <c r="J41" s="8"/>
    </row>
    <row r="42" customFormat="false" ht="23.85" hidden="false" customHeight="false" outlineLevel="0" collapsed="false">
      <c r="A42" s="6" t="s">
        <v>121</v>
      </c>
      <c r="B42" s="6" t="s">
        <v>128</v>
      </c>
      <c r="C42" s="6" t="s">
        <v>129</v>
      </c>
      <c r="D42" s="6" t="s">
        <v>32</v>
      </c>
      <c r="E42" s="7" t="n">
        <v>46349</v>
      </c>
      <c r="F42" s="7" t="n">
        <v>46374</v>
      </c>
      <c r="G42" s="6" t="n">
        <f aca="false">F42-E42+1</f>
        <v>26</v>
      </c>
      <c r="H42" s="6" t="s">
        <v>130</v>
      </c>
      <c r="I42" s="8" t="s">
        <v>18</v>
      </c>
      <c r="J42" s="8"/>
    </row>
    <row r="43" customFormat="false" ht="23.85" hidden="false" customHeight="false" outlineLevel="0" collapsed="false">
      <c r="A43" s="6" t="s">
        <v>121</v>
      </c>
      <c r="B43" s="6" t="s">
        <v>131</v>
      </c>
      <c r="C43" s="6" t="s">
        <v>132</v>
      </c>
      <c r="D43" s="6" t="s">
        <v>16</v>
      </c>
      <c r="E43" s="7" t="n">
        <v>46391</v>
      </c>
      <c r="F43" s="7" t="n">
        <v>46399</v>
      </c>
      <c r="G43" s="6" t="n">
        <f aca="false">F43-E43+1</f>
        <v>9</v>
      </c>
      <c r="H43" s="6" t="s">
        <v>133</v>
      </c>
      <c r="I43" s="8" t="s">
        <v>18</v>
      </c>
      <c r="J43" s="8"/>
    </row>
    <row r="44" customFormat="false" ht="15" hidden="false" customHeight="false" outlineLevel="0" collapsed="false">
      <c r="A44" s="4" t="s">
        <v>134</v>
      </c>
      <c r="B44" s="5"/>
      <c r="C44" s="5"/>
      <c r="D44" s="5"/>
      <c r="E44" s="5"/>
      <c r="F44" s="5"/>
      <c r="G44" s="5"/>
      <c r="H44" s="5"/>
      <c r="I44" s="5"/>
      <c r="J44" s="5"/>
    </row>
    <row r="45" customFormat="false" ht="23.85" hidden="false" customHeight="false" outlineLevel="0" collapsed="false">
      <c r="A45" s="6" t="s">
        <v>135</v>
      </c>
      <c r="B45" s="6" t="s">
        <v>136</v>
      </c>
      <c r="C45" s="6" t="s">
        <v>137</v>
      </c>
      <c r="D45" s="6" t="s">
        <v>28</v>
      </c>
      <c r="E45" s="7" t="n">
        <v>46398</v>
      </c>
      <c r="F45" s="7" t="n">
        <v>46402</v>
      </c>
      <c r="G45" s="6" t="n">
        <f aca="false">F45-E45+1</f>
        <v>5</v>
      </c>
      <c r="H45" s="6" t="s">
        <v>138</v>
      </c>
      <c r="I45" s="8" t="s">
        <v>18</v>
      </c>
      <c r="J45" s="8"/>
    </row>
    <row r="46" customFormat="false" ht="15" hidden="false" customHeight="false" outlineLevel="0" collapsed="false">
      <c r="A46" s="6" t="s">
        <v>135</v>
      </c>
      <c r="B46" s="6" t="s">
        <v>139</v>
      </c>
      <c r="C46" s="6" t="s">
        <v>140</v>
      </c>
      <c r="D46" s="6" t="s">
        <v>16</v>
      </c>
      <c r="E46" s="7" t="n">
        <v>46402</v>
      </c>
      <c r="F46" s="7" t="n">
        <v>46407</v>
      </c>
      <c r="G46" s="6" t="n">
        <f aca="false">F46-E46+1</f>
        <v>6</v>
      </c>
      <c r="H46" s="6" t="s">
        <v>141</v>
      </c>
      <c r="I46" s="8" t="s">
        <v>18</v>
      </c>
      <c r="J46" s="8"/>
    </row>
    <row r="47" customFormat="false" ht="15" hidden="false" customHeight="false" outlineLevel="0" collapsed="false">
      <c r="A47" s="6" t="s">
        <v>135</v>
      </c>
      <c r="B47" s="6" t="s">
        <v>142</v>
      </c>
      <c r="C47" s="6" t="s">
        <v>143</v>
      </c>
      <c r="D47" s="6" t="s">
        <v>32</v>
      </c>
      <c r="E47" s="7" t="n">
        <v>46408</v>
      </c>
      <c r="F47" s="7" t="n">
        <v>46408</v>
      </c>
      <c r="G47" s="6" t="n">
        <f aca="false">F47-E47+1</f>
        <v>1</v>
      </c>
      <c r="H47" s="6" t="s">
        <v>144</v>
      </c>
      <c r="I47" s="8" t="s">
        <v>18</v>
      </c>
      <c r="J47" s="8"/>
    </row>
    <row r="48" customFormat="false" ht="15" hidden="false" customHeight="false" outlineLevel="0" collapsed="false">
      <c r="A48" s="6" t="s">
        <v>135</v>
      </c>
      <c r="B48" s="6" t="s">
        <v>145</v>
      </c>
      <c r="C48" s="6" t="s">
        <v>146</v>
      </c>
      <c r="D48" s="6" t="s">
        <v>21</v>
      </c>
      <c r="E48" s="7" t="n">
        <v>46409</v>
      </c>
      <c r="F48" s="7" t="n">
        <v>46415</v>
      </c>
      <c r="G48" s="6" t="n">
        <f aca="false">F48-E48+1</f>
        <v>7</v>
      </c>
      <c r="H48" s="6" t="s">
        <v>147</v>
      </c>
      <c r="I48" s="8" t="s">
        <v>18</v>
      </c>
      <c r="J48" s="8"/>
    </row>
    <row r="50" customFormat="false" ht="15" hidden="false" customHeight="false" outlineLevel="0" collapsed="false">
      <c r="C50" s="9" t="s">
        <v>148</v>
      </c>
      <c r="D50" s="10" t="n">
        <f aca="false">COUNTA(B4:B48)</f>
        <v>38</v>
      </c>
    </row>
    <row r="51" customFormat="false" ht="15" hidden="false" customHeight="false" outlineLevel="0" collapsed="false">
      <c r="C51" s="9" t="s">
        <v>149</v>
      </c>
      <c r="D51" s="10" t="n">
        <f aca="false">COUNTIF(I4:I48,"Zakończone")</f>
        <v>0</v>
      </c>
    </row>
    <row r="52" customFormat="false" ht="15" hidden="false" customHeight="false" outlineLevel="0" collapsed="false">
      <c r="C52" s="9" t="s">
        <v>150</v>
      </c>
      <c r="E52" s="11" t="n">
        <f aca="false">MIN(E4:E48)</f>
        <v>46307</v>
      </c>
      <c r="F52" s="11" t="n">
        <f aca="false">MAX(F4:F48)</f>
        <v>46415</v>
      </c>
    </row>
  </sheetData>
  <autoFilter ref="A3:J48"/>
  <dataValidations count="1">
    <dataValidation allowBlank="true" errorStyle="stop" operator="between" showDropDown="false" showErrorMessage="false" showInputMessage="false" sqref="I5:I9 I11:I16 I18:I24 I26:I34 I36:I38 I40:I43 I45:I48" type="list">
      <formula1>"Nie rozpoczęte,W toku,Zakończone,Zagrożone"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3" t="s">
        <v>152</v>
      </c>
      <c r="B3" s="3" t="s">
        <v>153</v>
      </c>
      <c r="C3" s="3" t="s">
        <v>154</v>
      </c>
    </row>
    <row r="4" customFormat="false" ht="15" hidden="false" customHeight="false" outlineLevel="0" collapsed="false">
      <c r="A4" s="7" t="n">
        <v>46318</v>
      </c>
      <c r="B4" s="6" t="s">
        <v>155</v>
      </c>
      <c r="C4" s="6" t="s">
        <v>156</v>
      </c>
    </row>
    <row r="5" customFormat="false" ht="15" hidden="false" customHeight="false" outlineLevel="0" collapsed="false">
      <c r="A5" s="7" t="n">
        <v>46324</v>
      </c>
      <c r="B5" s="6" t="s">
        <v>157</v>
      </c>
      <c r="C5" s="6" t="s">
        <v>158</v>
      </c>
    </row>
    <row r="6" customFormat="false" ht="15" hidden="false" customHeight="false" outlineLevel="0" collapsed="false">
      <c r="A6" s="7" t="n">
        <v>46374</v>
      </c>
      <c r="B6" s="6" t="s">
        <v>159</v>
      </c>
      <c r="C6" s="6" t="s">
        <v>156</v>
      </c>
    </row>
    <row r="7" customFormat="false" ht="15" hidden="false" customHeight="false" outlineLevel="0" collapsed="false">
      <c r="A7" s="7" t="n">
        <v>46408</v>
      </c>
      <c r="B7" s="6" t="s">
        <v>160</v>
      </c>
      <c r="C7" s="6" t="s">
        <v>156</v>
      </c>
    </row>
    <row r="8" customFormat="false" ht="23.85" hidden="false" customHeight="false" outlineLevel="0" collapsed="false">
      <c r="A8" s="7" t="n">
        <v>46415</v>
      </c>
      <c r="B8" s="6" t="s">
        <v>161</v>
      </c>
      <c r="C8" s="6" t="s">
        <v>162</v>
      </c>
    </row>
    <row r="9" customFormat="false" ht="15" hidden="false" customHeight="false" outlineLevel="0" collapsed="false">
      <c r="A9" s="7" t="n">
        <f aca="false">A8+75</f>
        <v>46490</v>
      </c>
      <c r="B9" s="6" t="s">
        <v>163</v>
      </c>
      <c r="C9" s="6" t="s">
        <v>164</v>
      </c>
    </row>
    <row r="10" customFormat="false" ht="15" hidden="false" customHeight="false" outlineLevel="0" collapsed="false">
      <c r="A10" s="7" t="n">
        <f aca="false">A8+183</f>
        <v>46598</v>
      </c>
      <c r="B10" s="6" t="s">
        <v>165</v>
      </c>
      <c r="C10" s="6" t="s">
        <v>164</v>
      </c>
    </row>
    <row r="11" customFormat="false" ht="15" hidden="false" customHeight="false" outlineLevel="0" collapsed="false">
      <c r="A11" s="7" t="n">
        <v>47848</v>
      </c>
      <c r="B11" s="6" t="s">
        <v>166</v>
      </c>
      <c r="C11" s="6" t="s">
        <v>167</v>
      </c>
    </row>
    <row r="12" customFormat="false" ht="15" hidden="false" customHeight="false" outlineLevel="0" collapsed="false">
      <c r="A12" s="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3" customFormat="false" ht="15" hidden="false" customHeight="false" outlineLevel="0" collapsed="false">
      <c r="A3" s="3" t="s">
        <v>3</v>
      </c>
      <c r="B3" s="3" t="s">
        <v>171</v>
      </c>
      <c r="C3" s="3" t="s">
        <v>172</v>
      </c>
      <c r="D3" s="3" t="s">
        <v>173</v>
      </c>
      <c r="E3" s="3" t="s">
        <v>10</v>
      </c>
    </row>
    <row r="4" customFormat="false" ht="35.05" hidden="false" customHeight="false" outlineLevel="0" collapsed="false">
      <c r="A4" s="6" t="n">
        <v>1</v>
      </c>
      <c r="B4" s="6" t="s">
        <v>174</v>
      </c>
      <c r="C4" s="6" t="s">
        <v>175</v>
      </c>
      <c r="D4" s="8"/>
      <c r="E4" s="8" t="s">
        <v>18</v>
      </c>
    </row>
    <row r="5" customFormat="false" ht="23.85" hidden="false" customHeight="false" outlineLevel="0" collapsed="false">
      <c r="A5" s="6" t="n">
        <v>2</v>
      </c>
      <c r="B5" s="6" t="s">
        <v>176</v>
      </c>
      <c r="C5" s="6" t="s">
        <v>177</v>
      </c>
      <c r="D5" s="8"/>
      <c r="E5" s="8" t="s">
        <v>18</v>
      </c>
    </row>
    <row r="6" customFormat="false" ht="35.05" hidden="false" customHeight="false" outlineLevel="0" collapsed="false">
      <c r="A6" s="6" t="n">
        <v>3</v>
      </c>
      <c r="B6" s="6" t="s">
        <v>178</v>
      </c>
      <c r="C6" s="6" t="s">
        <v>179</v>
      </c>
      <c r="D6" s="8"/>
      <c r="E6" s="8" t="s">
        <v>18</v>
      </c>
    </row>
    <row r="7" customFormat="false" ht="15" hidden="false" customHeight="false" outlineLevel="0" collapsed="false">
      <c r="A7" s="6" t="n">
        <v>4</v>
      </c>
      <c r="B7" s="6" t="s">
        <v>180</v>
      </c>
      <c r="C7" s="6" t="s">
        <v>181</v>
      </c>
      <c r="D7" s="8"/>
      <c r="E7" s="8" t="s">
        <v>18</v>
      </c>
    </row>
    <row r="8" customFormat="false" ht="23.85" hidden="false" customHeight="false" outlineLevel="0" collapsed="false">
      <c r="A8" s="6" t="n">
        <v>5</v>
      </c>
      <c r="B8" s="6" t="s">
        <v>182</v>
      </c>
      <c r="C8" s="6" t="s">
        <v>183</v>
      </c>
      <c r="D8" s="8"/>
      <c r="E8" s="8" t="s">
        <v>18</v>
      </c>
    </row>
    <row r="9" customFormat="false" ht="23.85" hidden="false" customHeight="false" outlineLevel="0" collapsed="false">
      <c r="A9" s="6" t="n">
        <v>6</v>
      </c>
      <c r="B9" s="6" t="s">
        <v>184</v>
      </c>
      <c r="C9" s="6" t="s">
        <v>185</v>
      </c>
      <c r="D9" s="8"/>
      <c r="E9" s="8" t="s">
        <v>18</v>
      </c>
    </row>
    <row r="10" customFormat="false" ht="23.85" hidden="false" customHeight="false" outlineLevel="0" collapsed="false">
      <c r="A10" s="6" t="n">
        <v>7</v>
      </c>
      <c r="B10" s="6" t="s">
        <v>186</v>
      </c>
      <c r="C10" s="6" t="s">
        <v>187</v>
      </c>
      <c r="D10" s="8"/>
      <c r="E10" s="8" t="s">
        <v>18</v>
      </c>
    </row>
    <row r="11" customFormat="false" ht="23.85" hidden="false" customHeight="false" outlineLevel="0" collapsed="false">
      <c r="A11" s="6" t="n">
        <v>8</v>
      </c>
      <c r="B11" s="6" t="s">
        <v>188</v>
      </c>
      <c r="C11" s="6" t="s">
        <v>189</v>
      </c>
      <c r="D11" s="8"/>
      <c r="E11" s="8" t="s">
        <v>18</v>
      </c>
    </row>
    <row r="12" customFormat="false" ht="15" hidden="false" customHeight="false" outlineLevel="0" collapsed="false">
      <c r="A12" s="6" t="n">
        <v>9</v>
      </c>
      <c r="B12" s="6" t="s">
        <v>190</v>
      </c>
      <c r="C12" s="6" t="s">
        <v>191</v>
      </c>
      <c r="D12" s="8"/>
      <c r="E12" s="8" t="s">
        <v>18</v>
      </c>
    </row>
    <row r="13" customFormat="false" ht="15" hidden="false" customHeight="false" outlineLevel="0" collapsed="false">
      <c r="A13" s="6" t="n">
        <v>10</v>
      </c>
      <c r="B13" s="6" t="s">
        <v>192</v>
      </c>
      <c r="C13" s="6" t="s">
        <v>193</v>
      </c>
      <c r="D13" s="8"/>
      <c r="E13" s="8" t="s">
        <v>18</v>
      </c>
    </row>
    <row r="14" customFormat="false" ht="23.85" hidden="false" customHeight="false" outlineLevel="0" collapsed="false">
      <c r="A14" s="6" t="n">
        <v>11</v>
      </c>
      <c r="B14" s="6" t="s">
        <v>194</v>
      </c>
      <c r="C14" s="6" t="s">
        <v>195</v>
      </c>
      <c r="D14" s="8"/>
      <c r="E14" s="8" t="s">
        <v>18</v>
      </c>
    </row>
    <row r="15" customFormat="false" ht="23.85" hidden="false" customHeight="false" outlineLevel="0" collapsed="false">
      <c r="A15" s="6" t="n">
        <v>12</v>
      </c>
      <c r="B15" s="6" t="s">
        <v>196</v>
      </c>
      <c r="C15" s="6" t="s">
        <v>197</v>
      </c>
      <c r="D15" s="8"/>
      <c r="E15" s="8" t="s">
        <v>18</v>
      </c>
    </row>
  </sheetData>
  <dataValidations count="1">
    <dataValidation allowBlank="true" errorStyle="stop" operator="between" showDropDown="false" showErrorMessage="false" showInputMessage="false" sqref="E4:E15" type="list">
      <formula1>"Nie rozpoczęte,Odpowiedź otrzymana,Do wyjaśnienia"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198</v>
      </c>
    </row>
    <row r="3" customFormat="false" ht="15" hidden="false" customHeight="false" outlineLevel="0" collapsed="false">
      <c r="A3" s="3" t="s">
        <v>199</v>
      </c>
      <c r="B3" s="3" t="s">
        <v>200</v>
      </c>
    </row>
    <row r="4" customFormat="false" ht="15" hidden="false" customHeight="false" outlineLevel="0" collapsed="false">
      <c r="A4" s="6" t="s">
        <v>201</v>
      </c>
      <c r="B4" s="6" t="s">
        <v>202</v>
      </c>
    </row>
    <row r="5" customFormat="false" ht="15" hidden="false" customHeight="false" outlineLevel="0" collapsed="false">
      <c r="A5" s="6" t="s">
        <v>201</v>
      </c>
      <c r="B5" s="6" t="s">
        <v>203</v>
      </c>
    </row>
    <row r="6" customFormat="false" ht="15" hidden="false" customHeight="false" outlineLevel="0" collapsed="false">
      <c r="A6" s="6" t="s">
        <v>201</v>
      </c>
      <c r="B6" s="6" t="s">
        <v>204</v>
      </c>
    </row>
    <row r="7" customFormat="false" ht="15" hidden="false" customHeight="false" outlineLevel="0" collapsed="false">
      <c r="A7" s="6" t="s">
        <v>201</v>
      </c>
      <c r="B7" s="6" t="s">
        <v>205</v>
      </c>
    </row>
    <row r="8" customFormat="false" ht="15" hidden="false" customHeight="false" outlineLevel="0" collapsed="false">
      <c r="A8" s="6" t="s">
        <v>201</v>
      </c>
      <c r="B8" s="6" t="s">
        <v>206</v>
      </c>
    </row>
    <row r="9" customFormat="false" ht="23.85" hidden="false" customHeight="false" outlineLevel="0" collapsed="false">
      <c r="A9" s="6" t="s">
        <v>201</v>
      </c>
      <c r="B9" s="6" t="s">
        <v>207</v>
      </c>
    </row>
    <row r="10" customFormat="false" ht="15" hidden="false" customHeight="false" outlineLevel="0" collapsed="false">
      <c r="A10" s="6" t="s">
        <v>201</v>
      </c>
      <c r="B10" s="6" t="s">
        <v>208</v>
      </c>
    </row>
    <row r="11" customFormat="false" ht="15" hidden="false" customHeight="false" outlineLevel="0" collapsed="false">
      <c r="A11" s="6" t="s">
        <v>201</v>
      </c>
      <c r="B11" s="6" t="s">
        <v>209</v>
      </c>
    </row>
    <row r="12" customFormat="false" ht="15" hidden="false" customHeight="false" outlineLevel="0" collapsed="false">
      <c r="A12" s="6" t="s">
        <v>201</v>
      </c>
      <c r="B12" s="6" t="s">
        <v>210</v>
      </c>
    </row>
    <row r="13" customFormat="false" ht="15" hidden="false" customHeight="false" outlineLevel="0" collapsed="false">
      <c r="A13" s="6" t="s">
        <v>211</v>
      </c>
      <c r="B13" s="6" t="s">
        <v>212</v>
      </c>
    </row>
    <row r="14" customFormat="false" ht="15" hidden="false" customHeight="false" outlineLevel="0" collapsed="false">
      <c r="A14" s="6" t="s">
        <v>211</v>
      </c>
      <c r="B14" s="6" t="s">
        <v>213</v>
      </c>
    </row>
    <row r="15" customFormat="false" ht="15" hidden="false" customHeight="false" outlineLevel="0" collapsed="false">
      <c r="A15" s="6" t="s">
        <v>211</v>
      </c>
      <c r="B15" s="6" t="s">
        <v>214</v>
      </c>
    </row>
    <row r="16" customFormat="false" ht="23.85" hidden="false" customHeight="false" outlineLevel="0" collapsed="false">
      <c r="A16" s="6" t="s">
        <v>215</v>
      </c>
      <c r="B16" s="6" t="s">
        <v>216</v>
      </c>
    </row>
    <row r="17" customFormat="false" ht="23.85" hidden="false" customHeight="false" outlineLevel="0" collapsed="false">
      <c r="A17" s="6" t="s">
        <v>217</v>
      </c>
      <c r="B17" s="6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219</v>
      </c>
    </row>
    <row r="3" customFormat="false" ht="15" hidden="false" customHeight="false" outlineLevel="0" collapsed="false">
      <c r="A3" s="3" t="s">
        <v>153</v>
      </c>
      <c r="B3" s="3" t="s">
        <v>220</v>
      </c>
      <c r="C3" s="3" t="s">
        <v>154</v>
      </c>
    </row>
    <row r="4" customFormat="false" ht="15" hidden="false" customHeight="false" outlineLevel="0" collapsed="false">
      <c r="A4" s="6" t="s">
        <v>221</v>
      </c>
      <c r="B4" s="6" t="s">
        <v>222</v>
      </c>
      <c r="C4" s="6" t="s">
        <v>223</v>
      </c>
    </row>
    <row r="5" customFormat="false" ht="15" hidden="false" customHeight="false" outlineLevel="0" collapsed="false">
      <c r="A5" s="6" t="s">
        <v>224</v>
      </c>
      <c r="B5" s="6" t="s">
        <v>225</v>
      </c>
      <c r="C5" s="6" t="s">
        <v>226</v>
      </c>
    </row>
    <row r="6" customFormat="false" ht="15" hidden="false" customHeight="false" outlineLevel="0" collapsed="false">
      <c r="A6" s="6" t="s">
        <v>227</v>
      </c>
      <c r="B6" s="6" t="s">
        <v>228</v>
      </c>
      <c r="C6" s="6" t="s">
        <v>229</v>
      </c>
    </row>
    <row r="7" customFormat="false" ht="15" hidden="false" customHeight="false" outlineLevel="0" collapsed="false">
      <c r="A7" s="6" t="s">
        <v>230</v>
      </c>
      <c r="B7" s="6" t="s">
        <v>231</v>
      </c>
      <c r="C7" s="6" t="s">
        <v>232</v>
      </c>
    </row>
    <row r="8" customFormat="false" ht="15" hidden="false" customHeight="false" outlineLevel="0" collapsed="false">
      <c r="A8" s="6" t="s">
        <v>233</v>
      </c>
      <c r="B8" s="6" t="s">
        <v>234</v>
      </c>
      <c r="C8" s="6" t="s">
        <v>235</v>
      </c>
    </row>
    <row r="9" customFormat="false" ht="15" hidden="false" customHeight="false" outlineLevel="0" collapsed="false">
      <c r="A9" s="6" t="s">
        <v>236</v>
      </c>
      <c r="B9" s="6" t="s">
        <v>234</v>
      </c>
      <c r="C9" s="6" t="s">
        <v>237</v>
      </c>
    </row>
    <row r="10" customFormat="false" ht="15" hidden="false" customHeight="false" outlineLevel="0" collapsed="false">
      <c r="A10" s="6" t="s">
        <v>238</v>
      </c>
      <c r="B10" s="6" t="s">
        <v>239</v>
      </c>
      <c r="C10" s="6" t="s">
        <v>240</v>
      </c>
    </row>
    <row r="11" customFormat="false" ht="15" hidden="false" customHeight="false" outlineLevel="0" collapsed="false">
      <c r="A11" s="6" t="s">
        <v>241</v>
      </c>
      <c r="B11" s="6" t="s">
        <v>242</v>
      </c>
      <c r="C11" s="6" t="s">
        <v>243</v>
      </c>
    </row>
    <row r="12" customFormat="false" ht="15" hidden="false" customHeight="false" outlineLevel="0" collapsed="false">
      <c r="A12" s="6" t="s">
        <v>244</v>
      </c>
      <c r="B12" s="6" t="s">
        <v>245</v>
      </c>
      <c r="C12" s="6" t="s">
        <v>246</v>
      </c>
    </row>
    <row r="13" customFormat="false" ht="68.65" hidden="false" customHeight="false" outlineLevel="0" collapsed="false">
      <c r="A13" s="6" t="s">
        <v>247</v>
      </c>
      <c r="B13" s="6" t="s">
        <v>248</v>
      </c>
      <c r="C13" s="6" t="s">
        <v>249</v>
      </c>
    </row>
    <row r="14" customFormat="false" ht="23.85" hidden="false" customHeight="false" outlineLevel="0" collapsed="false">
      <c r="A14" s="6" t="s">
        <v>250</v>
      </c>
      <c r="B14" s="6" t="s">
        <v>251</v>
      </c>
      <c r="C14" s="6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252</v>
      </c>
    </row>
    <row r="3" customFormat="false" ht="15" hidden="false" customHeight="false" outlineLevel="0" collapsed="false">
      <c r="A3" s="3" t="s">
        <v>253</v>
      </c>
      <c r="B3" s="3" t="s">
        <v>200</v>
      </c>
    </row>
    <row r="4" customFormat="false" ht="23.85" hidden="false" customHeight="false" outlineLevel="0" collapsed="false">
      <c r="A4" s="6" t="s">
        <v>254</v>
      </c>
      <c r="B4" s="6" t="s">
        <v>255</v>
      </c>
    </row>
    <row r="5" customFormat="false" ht="15" hidden="false" customHeight="false" outlineLevel="0" collapsed="false">
      <c r="A5" s="6" t="s">
        <v>256</v>
      </c>
      <c r="B5" s="6" t="s">
        <v>257</v>
      </c>
    </row>
    <row r="6" customFormat="false" ht="15" hidden="false" customHeight="false" outlineLevel="0" collapsed="false">
      <c r="A6" s="6" t="s">
        <v>256</v>
      </c>
      <c r="B6" s="6" t="s">
        <v>258</v>
      </c>
    </row>
    <row r="7" customFormat="false" ht="23.85" hidden="false" customHeight="false" outlineLevel="0" collapsed="false">
      <c r="A7" s="6" t="s">
        <v>259</v>
      </c>
      <c r="B7" s="6" t="s">
        <v>260</v>
      </c>
    </row>
    <row r="8" customFormat="false" ht="15" hidden="false" customHeight="false" outlineLevel="0" collapsed="false">
      <c r="A8" s="6" t="s">
        <v>261</v>
      </c>
      <c r="B8" s="6" t="s">
        <v>262</v>
      </c>
    </row>
    <row r="9" customFormat="false" ht="15" hidden="false" customHeight="false" outlineLevel="0" collapsed="false">
      <c r="A9" s="6" t="s">
        <v>263</v>
      </c>
      <c r="B9" s="6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9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265</v>
      </c>
    </row>
    <row r="3" customFormat="false" ht="15" hidden="false" customHeight="false" outlineLevel="0" collapsed="false">
      <c r="A3" s="3" t="s">
        <v>3</v>
      </c>
      <c r="B3" s="3" t="s">
        <v>266</v>
      </c>
      <c r="C3" s="3" t="s">
        <v>267</v>
      </c>
      <c r="D3" s="3" t="s">
        <v>268</v>
      </c>
    </row>
    <row r="4" customFormat="false" ht="15" hidden="false" customHeight="false" outlineLevel="0" collapsed="false">
      <c r="A4" s="6" t="s">
        <v>269</v>
      </c>
      <c r="B4" s="6" t="s">
        <v>270</v>
      </c>
      <c r="C4" s="6" t="s">
        <v>271</v>
      </c>
      <c r="D4" s="6" t="s">
        <v>272</v>
      </c>
    </row>
    <row r="5" customFormat="false" ht="23.85" hidden="false" customHeight="false" outlineLevel="0" collapsed="false">
      <c r="A5" s="6" t="s">
        <v>273</v>
      </c>
      <c r="B5" s="6" t="s">
        <v>274</v>
      </c>
      <c r="C5" s="6" t="s">
        <v>275</v>
      </c>
      <c r="D5" s="6" t="s">
        <v>276</v>
      </c>
    </row>
    <row r="6" customFormat="false" ht="15" hidden="false" customHeight="false" outlineLevel="0" collapsed="false">
      <c r="A6" s="6" t="s">
        <v>277</v>
      </c>
      <c r="B6" s="6" t="s">
        <v>278</v>
      </c>
      <c r="C6" s="6" t="s">
        <v>279</v>
      </c>
      <c r="D6" s="6" t="s">
        <v>280</v>
      </c>
    </row>
    <row r="7" customFormat="false" ht="15" hidden="false" customHeight="false" outlineLevel="0" collapsed="false">
      <c r="A7" s="6" t="s">
        <v>281</v>
      </c>
      <c r="B7" s="6" t="s">
        <v>282</v>
      </c>
      <c r="C7" s="6" t="s">
        <v>283</v>
      </c>
      <c r="D7" s="6" t="s">
        <v>284</v>
      </c>
    </row>
    <row r="8" customFormat="false" ht="23.85" hidden="false" customHeight="false" outlineLevel="0" collapsed="false">
      <c r="A8" s="6" t="s">
        <v>285</v>
      </c>
      <c r="B8" s="6" t="s">
        <v>286</v>
      </c>
      <c r="C8" s="6" t="s">
        <v>287</v>
      </c>
      <c r="D8" s="6" t="s">
        <v>288</v>
      </c>
    </row>
    <row r="9" customFormat="false" ht="15" hidden="false" customHeight="false" outlineLevel="0" collapsed="false">
      <c r="A9" s="6" t="s">
        <v>289</v>
      </c>
      <c r="B9" s="6" t="s">
        <v>290</v>
      </c>
      <c r="C9" s="6" t="s">
        <v>291</v>
      </c>
      <c r="D9" s="6" t="s">
        <v>288</v>
      </c>
    </row>
    <row r="10" customFormat="false" ht="15" hidden="false" customHeight="false" outlineLevel="0" collapsed="false">
      <c r="A10" s="6" t="s">
        <v>292</v>
      </c>
      <c r="B10" s="6" t="s">
        <v>293</v>
      </c>
      <c r="C10" s="6" t="s">
        <v>294</v>
      </c>
      <c r="D10" s="6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2026-10-09T12:36:06Z</dcterms:created>
  <dc:creator>openpyxl</dc:creator>
  <dc:description/>
  <dc:language>en-US</dc:language>
  <cp:lastModifiedBy/>
  <dcterms:modified xsi:type="dcterms:W3CDTF">2026-10-09T12:36:06Z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