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f" sheetId="1" state="visible" r:id="rId3"/>
    <sheet name="Arkusz1" sheetId="2" state="visible" r:id="rId4"/>
  </sheets>
  <definedNames>
    <definedName function="false" hidden="false" localSheetId="0" name="_xlnm.Print_Area" vbProcedure="false">hrf!$B$2:$T$80</definedName>
    <definedName function="false" hidden="true" localSheetId="0" name="Z_5D98AC45_245E_4670_A3A1_BE190F6FCD3A_.wvu.PrintArea" vbProcedure="false">hrf!$A$2:$T$48</definedName>
    <definedName function="false" hidden="true" localSheetId="0" name="Z_5D98AC45_245E_4670_A3A1_BE190F6FCD3A_.wvu.Rows" vbProcedure="false">hrf!$41:$41</definedName>
    <definedName function="false" hidden="true" localSheetId="0" name="Z_BF96CD57_72C7_45CC_B154_4DB6D1F75442_.wvu.PrintArea" vbProcedure="false">hrf!$A$2:$T$48</definedName>
    <definedName function="false" hidden="true" localSheetId="0" name="Z_BF96CD57_72C7_45CC_B154_4DB6D1F75442_.wvu.Rows" vbProcedure="false">hrf!$41:$41</definedName>
    <definedName function="false" hidden="true" localSheetId="0" name="Z_E10BEC38_EE5F_4DFE_B58B_9171AEE66713_.wvu.PrintArea" vbProcedure="false">hrf!$A$2:$T$48</definedName>
    <definedName function="false" hidden="true" localSheetId="0" name="Z_E10BEC38_EE5F_4DFE_B58B_9171AEE66713_.wvu.Rows" vbProcedure="false">hrf!$41:$41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<sst xmlns="http://schemas.openxmlformats.org/spreadsheetml/2006/main" count="171" uniqueCount="94">
  <si>
    <t xml:space="preserve">Załącznik 1</t>
  </si>
  <si>
    <t xml:space="preserve">Beneficjent: MEGALOG SPÓŁKA Z OGRANICZONĄ ODPOWIEDZIALNOŚCIĄ</t>
  </si>
  <si>
    <t xml:space="preserve">Harmonogram rzeczowo - finansowy dla inwestycji Budowa stacji ładowania dla pojazdów kat. N2/N3 w bazie eksploatacyjnej MEGALOG sp. z o.o. w Ciechanowie przy ul. Tysiąclecia 1.</t>
  </si>
  <si>
    <t xml:space="preserve">Numer wniosku o dofinansowanie nr 1099/2025</t>
  </si>
  <si>
    <t xml:space="preserve">Numer umowy 393/2026/Wn7/OA-IN-FM/D</t>
  </si>
  <si>
    <t xml:space="preserve">Należy podać kwoty w zaokrągleniu do pełnego zł</t>
  </si>
  <si>
    <t xml:space="preserve">Lp.</t>
  </si>
  <si>
    <t xml:space="preserve">Wyszczególnienie 
(obiekty, czynności, prace, dostawy, zakupy, kontrakty)</t>
  </si>
  <si>
    <t xml:space="preserve">Jednostki miary</t>
  </si>
  <si>
    <t xml:space="preserve">Ilość, liczba</t>
  </si>
  <si>
    <t xml:space="preserve">Rodzaj pozycji (koszty całkowite/kwalifikowane)</t>
  </si>
  <si>
    <t xml:space="preserve">Wartość pozycji</t>
  </si>
  <si>
    <t xml:space="preserve">Dofinansowanie kosztów kwalifikowanych ze środków NFOŚiGW*</t>
  </si>
  <si>
    <t xml:space="preserve">Udział dofinansowania NFOŚiGW w kosztach kwalifikowanych</t>
  </si>
  <si>
    <t xml:space="preserve">Koszty poniesione do dnia…</t>
  </si>
  <si>
    <t xml:space="preserve"> Planowane koszty do poniesienia [w zł]</t>
  </si>
  <si>
    <t xml:space="preserve"> [w zł]</t>
  </si>
  <si>
    <t xml:space="preserve">[%]</t>
  </si>
  <si>
    <t xml:space="preserve">2026 rok finansowania (kwartały)</t>
  </si>
  <si>
    <t xml:space="preserve">Razem rok
2026</t>
  </si>
  <si>
    <t xml:space="preserve">2027 rok finansowania (kwartały)</t>
  </si>
  <si>
    <t xml:space="preserve">Razem rok
2027</t>
  </si>
  <si>
    <t xml:space="preserve">I</t>
  </si>
  <si>
    <t xml:space="preserve">II</t>
  </si>
  <si>
    <t xml:space="preserve">III</t>
  </si>
  <si>
    <t xml:space="preserve">IV</t>
  </si>
  <si>
    <t xml:space="preserve">…</t>
  </si>
  <si>
    <t xml:space="preserve">n</t>
  </si>
  <si>
    <t xml:space="preserve">1</t>
  </si>
  <si>
    <t xml:space="preserve">Dokumentacja techniczna dla inwestycji (dokumentacja projektowa)</t>
  </si>
  <si>
    <t xml:space="preserve">kpl.</t>
  </si>
  <si>
    <t xml:space="preserve">całkowite</t>
  </si>
  <si>
    <t xml:space="preserve">kwalifikowane</t>
  </si>
  <si>
    <t xml:space="preserve">2</t>
  </si>
  <si>
    <t xml:space="preserve">Nadzór inwestorski</t>
  </si>
  <si>
    <t xml:space="preserve">3</t>
  </si>
  <si>
    <t xml:space="preserve">Przyłącze i infrastruktura</t>
  </si>
  <si>
    <t xml:space="preserve">3.1</t>
  </si>
  <si>
    <t xml:space="preserve">Budowa linii zasilającej SN (WLZ, kabel, osprzęt) / Zakup linii zasilającej SN (WLZ, kabel, osprzęt)</t>
  </si>
  <si>
    <t xml:space="preserve">mb</t>
  </si>
  <si>
    <t xml:space="preserve">3.2</t>
  </si>
  <si>
    <t xml:space="preserve">Posadowienie stacji kontenerowej SN/nN (15/0,4 kV) wraz z niezbędnym osprzętem</t>
  </si>
  <si>
    <t xml:space="preserve">3.3</t>
  </si>
  <si>
    <t xml:space="preserve">Budowa rozdzielni SN 3-polowej zawierającej pole zasilające, pomiarowe, transformatorowe</t>
  </si>
  <si>
    <t xml:space="preserve">3.4</t>
  </si>
  <si>
    <t xml:space="preserve">Posadowienie i podłączenie transformatora suchego żywicznego o mocy 2,5 MVA</t>
  </si>
  <si>
    <t xml:space="preserve">szt.</t>
  </si>
  <si>
    <t xml:space="preserve">3.5</t>
  </si>
  <si>
    <t xml:space="preserve">Budowa rozdzielni nN z 6 szt. zabezpieczeń odpływowych</t>
  </si>
  <si>
    <t xml:space="preserve">3.6</t>
  </si>
  <si>
    <t xml:space="preserve">Pozostałe wyposażenie</t>
  </si>
  <si>
    <t xml:space="preserve">4</t>
  </si>
  <si>
    <t xml:space="preserve">Roboty budowlane</t>
  </si>
  <si>
    <t xml:space="preserve">4.1</t>
  </si>
  <si>
    <t xml:space="preserve">Roboty ziemne (wykop, podsypki, zasypki) - cena jednostkowa za m3: 250 PLN</t>
  </si>
  <si>
    <t xml:space="preserve">m3</t>
  </si>
  <si>
    <t xml:space="preserve">4.2</t>
  </si>
  <si>
    <t xml:space="preserve">Fundamenty pod stacje HPC - cena jednostkowa 3 000 PLN</t>
  </si>
  <si>
    <t xml:space="preserve">4.3</t>
  </si>
  <si>
    <t xml:space="preserve">Place manewrowe, malowanie miejsc ładowania - cena jednostkowa 350 PLN</t>
  </si>
  <si>
    <t xml:space="preserve">m2</t>
  </si>
  <si>
    <t xml:space="preserve">4.4</t>
  </si>
  <si>
    <t xml:space="preserve">Oświetlenie terenu - cena jednostkowa 4 500 PLN</t>
  </si>
  <si>
    <t xml:space="preserve">5</t>
  </si>
  <si>
    <t xml:space="preserve">Stacje ładowania i osprzęt</t>
  </si>
  <si>
    <t xml:space="preserve">5.1</t>
  </si>
  <si>
    <t xml:space="preserve">Zakup stacji HPC 360 kW - cena jednostkowa 349 850 PLN</t>
  </si>
  <si>
    <t xml:space="preserve">5.2</t>
  </si>
  <si>
    <t xml:space="preserve">Montaż stacji (ustawienie, podłączenie) - cena jednostkowa 10 000 PLN</t>
  </si>
  <si>
    <t xml:space="preserve">5.3</t>
  </si>
  <si>
    <t xml:space="preserve">Kable AC nN (4×1×240 mm² Cu, XLPE, ekranowane) - cena jednostkowa 200 PLN</t>
  </si>
  <si>
    <t xml:space="preserve">5.4</t>
  </si>
  <si>
    <t xml:space="preserve">Kable DC (1×300 mm² Cu, XLPE, koryta kablowe, osprzęt) - cena jednostkowa 375 PLN</t>
  </si>
  <si>
    <t xml:space="preserve">6</t>
  </si>
  <si>
    <t xml:space="preserve">Systemy teleinformatyczne</t>
  </si>
  <si>
    <t xml:space="preserve">6.1</t>
  </si>
  <si>
    <t xml:space="preserve">Łącza światłowodowe (trasa + osprzęt pasywny)</t>
  </si>
  <si>
    <t xml:space="preserve">6.2</t>
  </si>
  <si>
    <t xml:space="preserve">Osprzęt aktywny (przełączniki, routery)</t>
  </si>
  <si>
    <t xml:space="preserve">6.3</t>
  </si>
  <si>
    <t xml:space="preserve">OCPP/billing (oprogramowanie, licencje)</t>
  </si>
  <si>
    <t xml:space="preserve">6.4</t>
  </si>
  <si>
    <t xml:space="preserve">Monitoring i system zarządzania</t>
  </si>
  <si>
    <t xml:space="preserve">7</t>
  </si>
  <si>
    <t xml:space="preserve">Testy i odbiory techniczne - cena jednostkowa 8 000 PLN</t>
  </si>
  <si>
    <t xml:space="preserve">RAZEM - koszt całkowity    </t>
  </si>
  <si>
    <t xml:space="preserve">RAZEM - koszty kwalifikowane</t>
  </si>
  <si>
    <t xml:space="preserve">w tym koszty bieżące-nieinwestycyjne</t>
  </si>
  <si>
    <t xml:space="preserve">RAZEM - koszty niekwalifikowane</t>
  </si>
  <si>
    <t xml:space="preserve">Wyjaśnienia, uwagi do hrf</t>
  </si>
  <si>
    <t xml:space="preserve">Zmiana HRF polega na przesunięciu środków między pozycjami przy niezmienionej łącznej kwocie kosztów całkowitych (4 972 398 zł), kosztów kwalifikowanych (4 042 600 zł) i dofinansowania. Poz. 3.1: ograniczenie zakresu linii SN do 103 mb zgodnie z warunkami przyłączenia określonymi przez OSD; poz. 3.6: wykonanie linii SN w technologii kablowej zamiast napowietrznej; poz. 3.2–3.6: doprecyzowanie wyposażenia (m.in. kompensatory mocy, przekładniki, zabezpieczenia różnicowoprądowe) i aktualizacja cen; poz. 5.3: 700 mb po 200 zł, poz. 5.4: 320 mb po 375 zł (dwa przewody równoległe na każdy biegun). Zmiana rozkładu wydatków w czasie wynika z wydłużenia terminu realizacji do 31.12.2027 r.</t>
  </si>
  <si>
    <t xml:space="preserve">UWAGA!!! 
Wiersz "w tym koszty bieżące-nieinwestycyjne" należy wypełnić w przypadku ubiegania się o dofinansowanie w formie dotacji, w innym przypadku należy wiersz pozostawić niewypełniony
Wyszarzone pola z udziałem dofinansowania NFOŚiGW w kosztach kwalifikowanych są polami informacyjnymi. Intensywność dofinansowania, o której mowa w programie priorytetowym liczona jest jako udział dofinansowania ze środków NFOŚiGW w kosztach kwalifikowanych ogółem.</t>
  </si>
  <si>
    <t xml:space="preserve">* Dofinansowanie kosztów kwalifikowanych ze środków NFOŚiGW, zgromadzonych na rachunku Funduszu Modernizacyjnego
</t>
  </si>
  <si>
    <t xml:space="preserve">                                               Podpis osoby/osób upoważnionych do reprezentowania Wnioskodawcy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</si>
</sst>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0%"/>
    <numFmt numFmtId="168" formatCode="#,##0.00"/>
  </numFmts>
  <fonts count="13">
    <font>
      <sz val="10"/>
      <name val="Arial CE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name val="Calibri"/>
      <family val="2"/>
      <charset val="238"/>
    </font>
    <font>
      <b val="true"/>
      <sz val="12"/>
      <name val="Arial"/>
      <family val="2"/>
      <charset val="238"/>
    </font>
    <font>
      <b val="true"/>
      <sz val="10"/>
      <name val="Arial"/>
      <family val="2"/>
      <charset val="238"/>
    </font>
    <font>
      <sz val="10"/>
      <name val="Arial"/>
      <family val="2"/>
      <charset val="238"/>
    </font>
    <font>
      <i val="true"/>
      <sz val="10"/>
      <name val="Arial"/>
      <family val="2"/>
      <charset val="238"/>
    </font>
    <font>
      <b val="true"/>
      <sz val="10"/>
      <name val="Czcionka tekstu podstawowego"/>
      <family val="0"/>
      <charset val="238"/>
    </font>
    <font>
      <b val="true"/>
      <sz val="10"/>
      <name val="Arial CE"/>
      <family val="0"/>
      <charset val="238"/>
    </font>
    <font>
      <b val="true"/>
      <sz val="12"/>
      <name val="Arial CE"/>
      <family val="0"/>
      <charset val="238"/>
    </font>
    <font>
      <sz val="12"/>
      <name val="Arial CE"/>
      <family val="0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5"/>
        <bgColor rgb="FFD7E4BD"/>
      </patternFill>
    </fill>
    <fill>
      <patternFill patternType="solid">
        <fgColor rgb="FFFFFFFF"/>
        <bgColor rgb="FFFFFFCC"/>
      </patternFill>
    </fill>
    <fill>
      <patternFill patternType="solid">
        <fgColor theme="6" tint="0.5999"/>
        <bgColor rgb="FFD9D9D9"/>
      </patternFill>
    </fill>
    <fill>
      <patternFill patternType="solid">
        <fgColor theme="5" tint="0.7999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2" borderId="5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5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5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5" xfId="1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Pakiet Office 2007–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V80"/>
  <sheetViews>
    <sheetView showFormulas="false" showGridLines="false" showRowColHeaders="true" showZeros="true" rightToLeft="false" tabSelected="true" showOutlineSymbols="true" defaultGridColor="true" view="pageBreakPreview" topLeftCell="E1" colorId="64" zoomScale="100" zoomScaleNormal="70" zoomScalePageLayoutView="100" workbookViewId="0">
      <selection pane="topLeft" activeCell="B2" activeCellId="0" sqref="B2"/>
    </sheetView>
  </sheetViews>
  <sheetFormatPr defaultColWidth="8.71484375" defaultRowHeight="12.75" zeroHeight="false" outlineLevelRow="0" outlineLevelCol="0"/>
  <cols>
    <col collapsed="false" customWidth="true" hidden="false" outlineLevel="0" max="2" min="2" style="0" width="5.71"/>
    <col collapsed="false" customWidth="true" hidden="false" outlineLevel="0" max="3" min="3" style="0" width="30.71"/>
    <col collapsed="false" customWidth="true" hidden="false" outlineLevel="0" max="5" min="4" style="0" width="15.71"/>
    <col collapsed="false" customWidth="true" hidden="false" outlineLevel="0" max="6" min="6" style="0" width="13.57"/>
    <col collapsed="false" customWidth="true" hidden="false" outlineLevel="0" max="7" min="7" style="0" width="17.57"/>
    <col collapsed="false" customWidth="true" hidden="false" outlineLevel="0" max="8" min="8" style="0" width="17.42"/>
    <col collapsed="false" customWidth="true" hidden="false" outlineLevel="0" max="9" min="9" style="0" width="16.43"/>
    <col collapsed="false" customWidth="true" hidden="false" outlineLevel="0" max="10" min="10" style="0" width="19.71"/>
    <col collapsed="false" customWidth="true" hidden="false" outlineLevel="0" max="19" min="11" style="0" width="12.71"/>
    <col collapsed="false" customWidth="true" hidden="false" outlineLevel="0" max="20" min="20" style="0" width="16.43"/>
    <col collapsed="false" customWidth="true" hidden="false" outlineLevel="0" max="23" min="22" style="0" width="9.71"/>
  </cols>
  <sheetData>
    <row r="2" customFormat="false" ht="15" hidden="false" customHeight="true" outlineLevel="0" collapsed="false">
      <c r="R2" s="1" t="s">
        <v>0</v>
      </c>
      <c r="S2" s="1"/>
      <c r="T2" s="1"/>
    </row>
    <row r="4" customFormat="false" ht="15.75" hidden="false" customHeight="true" outlineLevel="0" collapsed="false">
      <c r="C4" s="2" t="s">
        <v>1</v>
      </c>
    </row>
    <row r="5" customFormat="false" ht="15.75" hidden="false" customHeight="true" outlineLevel="0" collapsed="false">
      <c r="C5" s="2"/>
    </row>
    <row r="6" customFormat="false" ht="15.75" hidden="false" customHeight="true" outlineLevel="0" collapsed="false">
      <c r="B6" s="3"/>
      <c r="C6" s="2" t="s">
        <v>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5.75" hidden="false" customHeight="true" outlineLevel="0" collapsed="false">
      <c r="B7" s="3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5.75" hidden="false" customHeight="true" outlineLevel="0" collapsed="false">
      <c r="B8" s="3"/>
      <c r="C8" s="2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2.75" hidden="false" customHeight="false" outlineLevel="0" collapsed="false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5.75" hidden="false" customHeight="true" outlineLevel="0" collapsed="false">
      <c r="B10" s="5"/>
      <c r="C10" s="2" t="s">
        <v>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customFormat="false" ht="12.75" hidden="false" customHeight="false" outlineLevel="0" collapsed="false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customFormat="false" ht="13.5" hidden="false" customHeight="true" outlineLevel="0" collapsed="false">
      <c r="B12" s="8"/>
      <c r="C12" s="8"/>
      <c r="D12" s="8"/>
      <c r="E12" s="9"/>
      <c r="F12" s="9"/>
      <c r="G12" s="7"/>
      <c r="H12" s="7"/>
      <c r="I12" s="7"/>
      <c r="J12" s="7"/>
      <c r="K12" s="7"/>
      <c r="L12" s="7"/>
      <c r="M12" s="7"/>
      <c r="N12" s="7"/>
      <c r="O12" s="10" t="s">
        <v>5</v>
      </c>
      <c r="P12" s="10"/>
      <c r="Q12" s="10"/>
      <c r="R12" s="10"/>
      <c r="S12" s="10"/>
      <c r="T12" s="10"/>
    </row>
    <row r="13" customFormat="false" ht="12.75" hidden="false" customHeight="true" outlineLevel="0" collapsed="false">
      <c r="B13" s="11" t="s">
        <v>6</v>
      </c>
      <c r="C13" s="12" t="s">
        <v>7</v>
      </c>
      <c r="D13" s="12" t="s">
        <v>8</v>
      </c>
      <c r="E13" s="12" t="s">
        <v>9</v>
      </c>
      <c r="F13" s="12" t="s">
        <v>10</v>
      </c>
      <c r="G13" s="13" t="s">
        <v>11</v>
      </c>
      <c r="H13" s="12" t="s">
        <v>12</v>
      </c>
      <c r="I13" s="12" t="s">
        <v>13</v>
      </c>
      <c r="J13" s="12" t="s">
        <v>14</v>
      </c>
      <c r="K13" s="12" t="s">
        <v>15</v>
      </c>
      <c r="L13" s="12"/>
      <c r="M13" s="12"/>
      <c r="N13" s="12"/>
      <c r="O13" s="12"/>
      <c r="P13" s="12"/>
      <c r="Q13" s="12"/>
      <c r="R13" s="12"/>
      <c r="S13" s="12"/>
      <c r="T13" s="12"/>
    </row>
    <row r="14" customFormat="false" ht="87.75" hidden="false" customHeight="true" outlineLevel="0" collapsed="false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customFormat="false" ht="24.75" hidden="false" customHeight="true" outlineLevel="0" collapsed="false">
      <c r="B15" s="11"/>
      <c r="C15" s="12"/>
      <c r="D15" s="12"/>
      <c r="E15" s="12"/>
      <c r="F15" s="12"/>
      <c r="G15" s="14" t="s">
        <v>16</v>
      </c>
      <c r="H15" s="14" t="s">
        <v>16</v>
      </c>
      <c r="I15" s="14" t="s">
        <v>17</v>
      </c>
      <c r="J15" s="14" t="s">
        <v>16</v>
      </c>
      <c r="K15" s="14" t="s">
        <v>18</v>
      </c>
      <c r="L15" s="14"/>
      <c r="M15" s="14"/>
      <c r="N15" s="14"/>
      <c r="O15" s="14" t="s">
        <v>19</v>
      </c>
      <c r="P15" s="14" t="s">
        <v>20</v>
      </c>
      <c r="Q15" s="14"/>
      <c r="R15" s="14"/>
      <c r="S15" s="14"/>
      <c r="T15" s="14" t="s">
        <v>21</v>
      </c>
    </row>
    <row r="16" customFormat="false" ht="27" hidden="false" customHeight="true" outlineLevel="0" collapsed="false">
      <c r="B16" s="11"/>
      <c r="C16" s="12"/>
      <c r="D16" s="12"/>
      <c r="E16" s="12"/>
      <c r="F16" s="12"/>
      <c r="G16" s="12"/>
      <c r="H16" s="12"/>
      <c r="I16" s="12"/>
      <c r="J16" s="12"/>
      <c r="K16" s="15" t="s">
        <v>22</v>
      </c>
      <c r="L16" s="15" t="s">
        <v>23</v>
      </c>
      <c r="M16" s="15" t="s">
        <v>24</v>
      </c>
      <c r="N16" s="15" t="s">
        <v>25</v>
      </c>
      <c r="O16" s="14"/>
      <c r="P16" s="14" t="s">
        <v>22</v>
      </c>
      <c r="Q16" s="14" t="s">
        <v>23</v>
      </c>
      <c r="R16" s="14" t="s">
        <v>24</v>
      </c>
      <c r="S16" s="14" t="s">
        <v>25</v>
      </c>
      <c r="T16" s="14"/>
      <c r="U16" s="16"/>
      <c r="V16" s="16"/>
    </row>
    <row r="17" customFormat="false" ht="27" hidden="false" customHeight="true" outlineLevel="0" collapsed="false">
      <c r="B17" s="17" t="n">
        <v>1</v>
      </c>
      <c r="C17" s="17" t="n">
        <v>2</v>
      </c>
      <c r="D17" s="17" t="n">
        <v>3</v>
      </c>
      <c r="E17" s="17" t="n">
        <v>4</v>
      </c>
      <c r="F17" s="17" t="n">
        <v>5</v>
      </c>
      <c r="G17" s="17" t="n">
        <v>6</v>
      </c>
      <c r="H17" s="17" t="n">
        <v>7</v>
      </c>
      <c r="I17" s="17" t="n">
        <v>8</v>
      </c>
      <c r="J17" s="17" t="n">
        <v>9</v>
      </c>
      <c r="K17" s="17" t="n">
        <v>10</v>
      </c>
      <c r="L17" s="17" t="n">
        <v>11</v>
      </c>
      <c r="M17" s="17" t="n">
        <v>12</v>
      </c>
      <c r="N17" s="17" t="n">
        <v>13</v>
      </c>
      <c r="O17" s="17" t="n">
        <v>14</v>
      </c>
      <c r="P17" s="17" t="n">
        <v>15</v>
      </c>
      <c r="Q17" s="17" t="s">
        <v>26</v>
      </c>
      <c r="R17" s="17" t="s">
        <v>26</v>
      </c>
      <c r="S17" s="17" t="s">
        <v>26</v>
      </c>
      <c r="T17" s="17" t="s">
        <v>27</v>
      </c>
    </row>
    <row r="18" customFormat="false" ht="30" hidden="false" customHeight="true" outlineLevel="0" collapsed="false">
      <c r="B18" s="18" t="s">
        <v>28</v>
      </c>
      <c r="C18" s="19" t="s">
        <v>29</v>
      </c>
      <c r="D18" s="20" t="s">
        <v>30</v>
      </c>
      <c r="E18" s="20" t="n">
        <v>1</v>
      </c>
      <c r="F18" s="21" t="s">
        <v>31</v>
      </c>
      <c r="G18" s="22" t="n">
        <f aca="false">J18+O18+T18</f>
        <v>24600</v>
      </c>
      <c r="H18" s="21"/>
      <c r="I18" s="21"/>
      <c r="J18" s="23"/>
      <c r="K18" s="22" t="n">
        <v>0</v>
      </c>
      <c r="L18" s="22" t="n">
        <v>0</v>
      </c>
      <c r="M18" s="22" t="n">
        <v>0</v>
      </c>
      <c r="N18" s="22" t="n">
        <v>24600</v>
      </c>
      <c r="O18" s="22" t="n">
        <f aca="false">SUM(K18:N18)</f>
        <v>24600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f aca="false">SUM(P18:S18)</f>
        <v>0</v>
      </c>
    </row>
    <row r="19" customFormat="false" ht="30" hidden="false" customHeight="true" outlineLevel="0" collapsed="false">
      <c r="B19" s="18"/>
      <c r="C19" s="19"/>
      <c r="D19" s="19"/>
      <c r="E19" s="19"/>
      <c r="F19" s="21" t="s">
        <v>32</v>
      </c>
      <c r="G19" s="22" t="n">
        <f aca="false">J19+O19+T19</f>
        <v>20000</v>
      </c>
      <c r="H19" s="23" t="n">
        <v>20000</v>
      </c>
      <c r="I19" s="24" t="n">
        <f aca="false">IF(G19=0,0,H19/G19)</f>
        <v>1</v>
      </c>
      <c r="J19" s="23"/>
      <c r="K19" s="22" t="n">
        <v>0</v>
      </c>
      <c r="L19" s="22" t="n">
        <v>0</v>
      </c>
      <c r="M19" s="22" t="n">
        <v>0</v>
      </c>
      <c r="N19" s="22" t="n">
        <v>20000</v>
      </c>
      <c r="O19" s="22" t="n">
        <f aca="false">SUM(K19:N19)</f>
        <v>20000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f aca="false">SUM(P19:S19)</f>
        <v>0</v>
      </c>
    </row>
    <row r="20" customFormat="false" ht="30" hidden="false" customHeight="true" outlineLevel="0" collapsed="false">
      <c r="B20" s="18" t="s">
        <v>33</v>
      </c>
      <c r="C20" s="19" t="s">
        <v>34</v>
      </c>
      <c r="D20" s="20" t="s">
        <v>30</v>
      </c>
      <c r="E20" s="20" t="n">
        <v>1</v>
      </c>
      <c r="F20" s="21" t="s">
        <v>31</v>
      </c>
      <c r="G20" s="22" t="n">
        <f aca="false">J20+O20+T20</f>
        <v>30750</v>
      </c>
      <c r="H20" s="21"/>
      <c r="I20" s="21"/>
      <c r="J20" s="23"/>
      <c r="K20" s="22" t="n">
        <v>0</v>
      </c>
      <c r="L20" s="22" t="n">
        <v>0</v>
      </c>
      <c r="M20" s="22" t="n">
        <v>0</v>
      </c>
      <c r="N20" s="22" t="n">
        <v>6150</v>
      </c>
      <c r="O20" s="22" t="n">
        <f aca="false">SUM(K20:N20)</f>
        <v>6150</v>
      </c>
      <c r="P20" s="22" t="n">
        <v>8610</v>
      </c>
      <c r="Q20" s="22" t="n">
        <v>8610</v>
      </c>
      <c r="R20" s="22" t="n">
        <v>4920</v>
      </c>
      <c r="S20" s="22" t="n">
        <v>2460</v>
      </c>
      <c r="T20" s="22" t="n">
        <f aca="false">SUM(P20:S20)</f>
        <v>24600</v>
      </c>
    </row>
    <row r="21" customFormat="false" ht="30" hidden="false" customHeight="true" outlineLevel="0" collapsed="false">
      <c r="B21" s="18"/>
      <c r="C21" s="19"/>
      <c r="D21" s="19"/>
      <c r="E21" s="19"/>
      <c r="F21" s="21" t="s">
        <v>32</v>
      </c>
      <c r="G21" s="22" t="n">
        <f aca="false">J21+O21+T21</f>
        <v>25000</v>
      </c>
      <c r="H21" s="23" t="n">
        <v>25000</v>
      </c>
      <c r="I21" s="24" t="n">
        <f aca="false">IF(G21=0,0,H21/G21)</f>
        <v>1</v>
      </c>
      <c r="J21" s="23"/>
      <c r="K21" s="22" t="n">
        <v>0</v>
      </c>
      <c r="L21" s="22" t="n">
        <v>0</v>
      </c>
      <c r="M21" s="22" t="n">
        <v>0</v>
      </c>
      <c r="N21" s="22" t="n">
        <v>5000</v>
      </c>
      <c r="O21" s="22" t="n">
        <f aca="false">SUM(K21:N21)</f>
        <v>5000</v>
      </c>
      <c r="P21" s="22" t="n">
        <v>7000</v>
      </c>
      <c r="Q21" s="22" t="n">
        <v>7000</v>
      </c>
      <c r="R21" s="22" t="n">
        <v>4000</v>
      </c>
      <c r="S21" s="22" t="n">
        <v>2000</v>
      </c>
      <c r="T21" s="22" t="n">
        <f aca="false">SUM(P21:S21)</f>
        <v>20000</v>
      </c>
    </row>
    <row r="22" customFormat="false" ht="30" hidden="false" customHeight="true" outlineLevel="0" collapsed="false">
      <c r="B22" s="25" t="s">
        <v>35</v>
      </c>
      <c r="C22" s="19" t="s">
        <v>36</v>
      </c>
      <c r="D22" s="20" t="s">
        <v>30</v>
      </c>
      <c r="E22" s="20" t="n">
        <v>1</v>
      </c>
      <c r="F22" s="21" t="s">
        <v>31</v>
      </c>
      <c r="G22" s="26" t="n">
        <f aca="false">J22+O22+T22</f>
        <v>1488300</v>
      </c>
      <c r="H22" s="21"/>
      <c r="I22" s="21"/>
      <c r="J22" s="22" t="n">
        <f aca="false">J24+J26+J28+J30+J32+J34</f>
        <v>0</v>
      </c>
      <c r="K22" s="22" t="n">
        <f aca="false">K24+K26+K28+K30+K32+K34</f>
        <v>0</v>
      </c>
      <c r="L22" s="22" t="n">
        <f aca="false">L24+L26+L28+L30+L32+L34</f>
        <v>0</v>
      </c>
      <c r="M22" s="22" t="n">
        <f aca="false">M24+M26+M28+M30+M32+M34</f>
        <v>0</v>
      </c>
      <c r="N22" s="22" t="n">
        <f aca="false">N24+N26+N28+N30+N32+N34</f>
        <v>0</v>
      </c>
      <c r="O22" s="22" t="n">
        <f aca="false">SUM(K22:N22)</f>
        <v>0</v>
      </c>
      <c r="P22" s="22" t="n">
        <f aca="false">P24+P26+P28+P30+P32+P34</f>
        <v>833809</v>
      </c>
      <c r="Q22" s="22" t="n">
        <f aca="false">Q24+Q26+Q28+Q30+Q32+Q34</f>
        <v>654491</v>
      </c>
      <c r="R22" s="22" t="n">
        <f aca="false">R24+R26+R28+R30+R32+R34</f>
        <v>0</v>
      </c>
      <c r="S22" s="22" t="n">
        <f aca="false">S24+S26+S28+S30+S32+S34</f>
        <v>0</v>
      </c>
      <c r="T22" s="22" t="n">
        <f aca="false">SUM(P22:S22)</f>
        <v>1488300</v>
      </c>
    </row>
    <row r="23" customFormat="false" ht="30" hidden="false" customHeight="true" outlineLevel="0" collapsed="false">
      <c r="B23" s="25"/>
      <c r="C23" s="19"/>
      <c r="D23" s="19"/>
      <c r="E23" s="19"/>
      <c r="F23" s="21" t="s">
        <v>32</v>
      </c>
      <c r="G23" s="26" t="n">
        <f aca="false">J23+O23+T23</f>
        <v>1210000</v>
      </c>
      <c r="H23" s="23" t="n">
        <f aca="false">H25+H27+H29+H31+H33+H35</f>
        <v>1210000</v>
      </c>
      <c r="I23" s="24" t="n">
        <f aca="false">IF(G23=0,0,H23/G23)</f>
        <v>1</v>
      </c>
      <c r="J23" s="22" t="n">
        <f aca="false">J25+J27+J29+J31+J33+J35</f>
        <v>0</v>
      </c>
      <c r="K23" s="22" t="n">
        <f aca="false">K25+K27+K29+K31+K33+K35</f>
        <v>0</v>
      </c>
      <c r="L23" s="22" t="n">
        <f aca="false">L25+L27+L29+L31+L33+L35</f>
        <v>0</v>
      </c>
      <c r="M23" s="22" t="n">
        <f aca="false">M25+M27+M29+M31+M33+M35</f>
        <v>0</v>
      </c>
      <c r="N23" s="22" t="n">
        <f aca="false">N25+N27+N29+N31+N33+N35</f>
        <v>0</v>
      </c>
      <c r="O23" s="22" t="n">
        <f aca="false">SUM(K23:N23)</f>
        <v>0</v>
      </c>
      <c r="P23" s="22" t="n">
        <f aca="false">P25+P27+P29+P31+P33+P35</f>
        <v>677894</v>
      </c>
      <c r="Q23" s="22" t="n">
        <f aca="false">Q25+Q27+Q29+Q31+Q33+Q35</f>
        <v>532106</v>
      </c>
      <c r="R23" s="22" t="n">
        <f aca="false">R25+R27+R29+R31+R33+R35</f>
        <v>0</v>
      </c>
      <c r="S23" s="22" t="n">
        <f aca="false">S25+S27+S29+S31+S33+S35</f>
        <v>0</v>
      </c>
      <c r="T23" s="22" t="n">
        <f aca="false">SUM(P23:S23)</f>
        <v>1210000</v>
      </c>
    </row>
    <row r="24" s="27" customFormat="true" ht="30" hidden="false" customHeight="true" outlineLevel="0" collapsed="false">
      <c r="B24" s="28" t="s">
        <v>37</v>
      </c>
      <c r="C24" s="29" t="s">
        <v>38</v>
      </c>
      <c r="D24" s="30" t="s">
        <v>39</v>
      </c>
      <c r="E24" s="30" t="n">
        <v>103</v>
      </c>
      <c r="F24" s="30" t="s">
        <v>31</v>
      </c>
      <c r="G24" s="31" t="n">
        <f aca="false">J24+O24+T24</f>
        <v>63345</v>
      </c>
      <c r="H24" s="30"/>
      <c r="I24" s="30"/>
      <c r="J24" s="31"/>
      <c r="K24" s="31" t="n">
        <v>0</v>
      </c>
      <c r="L24" s="31" t="n">
        <v>0</v>
      </c>
      <c r="M24" s="31" t="n">
        <v>0</v>
      </c>
      <c r="N24" s="31" t="n">
        <v>0</v>
      </c>
      <c r="O24" s="31" t="n">
        <f aca="false">SUM(K24:N24)</f>
        <v>0</v>
      </c>
      <c r="P24" s="31" t="n">
        <v>63345</v>
      </c>
      <c r="Q24" s="31" t="n">
        <v>0</v>
      </c>
      <c r="R24" s="31" t="n">
        <v>0</v>
      </c>
      <c r="S24" s="31" t="n">
        <v>0</v>
      </c>
      <c r="T24" s="31" t="n">
        <f aca="false">SUM(P24:S24)</f>
        <v>63345</v>
      </c>
    </row>
    <row r="25" s="27" customFormat="true" ht="30" hidden="false" customHeight="true" outlineLevel="0" collapsed="false">
      <c r="B25" s="28"/>
      <c r="C25" s="29"/>
      <c r="D25" s="29"/>
      <c r="E25" s="29"/>
      <c r="F25" s="30" t="s">
        <v>32</v>
      </c>
      <c r="G25" s="31" t="n">
        <f aca="false">J25+O25+T25</f>
        <v>51500</v>
      </c>
      <c r="H25" s="31" t="n">
        <f aca="false">G25</f>
        <v>51500</v>
      </c>
      <c r="I25" s="32" t="n">
        <f aca="false">IF(G25=0,0,H25/G25)</f>
        <v>1</v>
      </c>
      <c r="J25" s="31"/>
      <c r="K25" s="31" t="n">
        <v>0</v>
      </c>
      <c r="L25" s="31" t="n">
        <v>0</v>
      </c>
      <c r="M25" s="31" t="n">
        <v>0</v>
      </c>
      <c r="N25" s="31" t="n">
        <v>0</v>
      </c>
      <c r="O25" s="31" t="n">
        <f aca="false">SUM(K25:N25)</f>
        <v>0</v>
      </c>
      <c r="P25" s="31" t="n">
        <v>51500</v>
      </c>
      <c r="Q25" s="31" t="n">
        <v>0</v>
      </c>
      <c r="R25" s="31" t="n">
        <v>0</v>
      </c>
      <c r="S25" s="31" t="n">
        <v>0</v>
      </c>
      <c r="T25" s="31" t="n">
        <f aca="false">SUM(P25:S25)</f>
        <v>51500</v>
      </c>
    </row>
    <row r="26" s="33" customFormat="true" ht="30" hidden="false" customHeight="true" outlineLevel="0" collapsed="false">
      <c r="B26" s="34" t="s">
        <v>40</v>
      </c>
      <c r="C26" s="35" t="s">
        <v>41</v>
      </c>
      <c r="D26" s="36" t="s">
        <v>30</v>
      </c>
      <c r="E26" s="36" t="n">
        <v>1</v>
      </c>
      <c r="F26" s="36" t="s">
        <v>31</v>
      </c>
      <c r="G26" s="37" t="n">
        <f aca="false">J26+O26+T26</f>
        <v>164465</v>
      </c>
      <c r="H26" s="36"/>
      <c r="I26" s="36"/>
      <c r="J26" s="37"/>
      <c r="K26" s="37" t="n">
        <v>0</v>
      </c>
      <c r="L26" s="37" t="n">
        <v>0</v>
      </c>
      <c r="M26" s="37" t="n">
        <v>0</v>
      </c>
      <c r="N26" s="37" t="n">
        <v>0</v>
      </c>
      <c r="O26" s="37" t="n">
        <f aca="false">SUM(K26:N26)</f>
        <v>0</v>
      </c>
      <c r="P26" s="37" t="n">
        <v>164465</v>
      </c>
      <c r="Q26" s="37" t="n">
        <v>0</v>
      </c>
      <c r="R26" s="37" t="n">
        <v>0</v>
      </c>
      <c r="S26" s="37" t="n">
        <v>0</v>
      </c>
      <c r="T26" s="37" t="n">
        <f aca="false">SUM(P26:S26)</f>
        <v>164465</v>
      </c>
    </row>
    <row r="27" s="33" customFormat="true" ht="30" hidden="false" customHeight="true" outlineLevel="0" collapsed="false">
      <c r="B27" s="34"/>
      <c r="C27" s="35"/>
      <c r="D27" s="35"/>
      <c r="E27" s="35"/>
      <c r="F27" s="36" t="s">
        <v>32</v>
      </c>
      <c r="G27" s="37" t="n">
        <f aca="false">J27+O27+T27</f>
        <v>133712</v>
      </c>
      <c r="H27" s="37" t="n">
        <f aca="false">G27</f>
        <v>133712</v>
      </c>
      <c r="I27" s="38" t="n">
        <f aca="false">IF(G27=0,0,H27/G27)</f>
        <v>1</v>
      </c>
      <c r="J27" s="37"/>
      <c r="K27" s="37" t="n">
        <v>0</v>
      </c>
      <c r="L27" s="37" t="n">
        <v>0</v>
      </c>
      <c r="M27" s="37" t="n">
        <v>0</v>
      </c>
      <c r="N27" s="37" t="n">
        <v>0</v>
      </c>
      <c r="O27" s="37" t="n">
        <f aca="false">SUM(K27:N27)</f>
        <v>0</v>
      </c>
      <c r="P27" s="37" t="n">
        <v>133712</v>
      </c>
      <c r="Q27" s="37" t="n">
        <v>0</v>
      </c>
      <c r="R27" s="37" t="n">
        <v>0</v>
      </c>
      <c r="S27" s="37" t="n">
        <v>0</v>
      </c>
      <c r="T27" s="37" t="n">
        <f aca="false">SUM(P27:S27)</f>
        <v>133712</v>
      </c>
    </row>
    <row r="28" s="33" customFormat="true" ht="30" hidden="false" customHeight="true" outlineLevel="0" collapsed="false">
      <c r="B28" s="34" t="s">
        <v>42</v>
      </c>
      <c r="C28" s="35" t="s">
        <v>43</v>
      </c>
      <c r="D28" s="36" t="s">
        <v>30</v>
      </c>
      <c r="E28" s="36" t="n">
        <v>1</v>
      </c>
      <c r="F28" s="36" t="s">
        <v>31</v>
      </c>
      <c r="G28" s="37" t="n">
        <f aca="false">J28+O28+T28</f>
        <v>471360</v>
      </c>
      <c r="H28" s="36"/>
      <c r="I28" s="36"/>
      <c r="J28" s="37"/>
      <c r="K28" s="37" t="n">
        <v>0</v>
      </c>
      <c r="L28" s="37" t="n">
        <v>0</v>
      </c>
      <c r="M28" s="37" t="n">
        <v>0</v>
      </c>
      <c r="N28" s="37" t="n">
        <v>0</v>
      </c>
      <c r="O28" s="37" t="n">
        <f aca="false">SUM(K28:N28)</f>
        <v>0</v>
      </c>
      <c r="P28" s="37" t="n">
        <v>235680</v>
      </c>
      <c r="Q28" s="37" t="n">
        <v>235680</v>
      </c>
      <c r="R28" s="37" t="n">
        <v>0</v>
      </c>
      <c r="S28" s="37" t="n">
        <v>0</v>
      </c>
      <c r="T28" s="37" t="n">
        <f aca="false">SUM(P28:S28)</f>
        <v>471360</v>
      </c>
    </row>
    <row r="29" s="33" customFormat="true" ht="30" hidden="false" customHeight="true" outlineLevel="0" collapsed="false">
      <c r="B29" s="34"/>
      <c r="C29" s="35"/>
      <c r="D29" s="35"/>
      <c r="E29" s="35"/>
      <c r="F29" s="36" t="s">
        <v>32</v>
      </c>
      <c r="G29" s="37" t="n">
        <f aca="false">J29+O29+T29</f>
        <v>383220</v>
      </c>
      <c r="H29" s="37" t="n">
        <f aca="false">G29</f>
        <v>383220</v>
      </c>
      <c r="I29" s="38" t="n">
        <f aca="false">IF(G29=0,0,H29/G29)</f>
        <v>1</v>
      </c>
      <c r="J29" s="37"/>
      <c r="K29" s="37" t="n">
        <v>0</v>
      </c>
      <c r="L29" s="37" t="n">
        <v>0</v>
      </c>
      <c r="M29" s="37" t="n">
        <v>0</v>
      </c>
      <c r="N29" s="37" t="n">
        <v>0</v>
      </c>
      <c r="O29" s="37" t="n">
        <f aca="false">SUM(K29:N29)</f>
        <v>0</v>
      </c>
      <c r="P29" s="37" t="n">
        <v>191610</v>
      </c>
      <c r="Q29" s="37" t="n">
        <v>191610</v>
      </c>
      <c r="R29" s="37" t="n">
        <v>0</v>
      </c>
      <c r="S29" s="37" t="n">
        <v>0</v>
      </c>
      <c r="T29" s="37" t="n">
        <f aca="false">SUM(P29:S29)</f>
        <v>383220</v>
      </c>
    </row>
    <row r="30" s="33" customFormat="true" ht="30" hidden="false" customHeight="true" outlineLevel="0" collapsed="false">
      <c r="B30" s="34" t="s">
        <v>44</v>
      </c>
      <c r="C30" s="35" t="s">
        <v>45</v>
      </c>
      <c r="D30" s="36" t="s">
        <v>46</v>
      </c>
      <c r="E30" s="36" t="n">
        <v>1</v>
      </c>
      <c r="F30" s="36" t="s">
        <v>31</v>
      </c>
      <c r="G30" s="37" t="n">
        <f aca="false">J30+O30+T30</f>
        <v>311424</v>
      </c>
      <c r="H30" s="36"/>
      <c r="I30" s="36"/>
      <c r="J30" s="37"/>
      <c r="K30" s="37" t="n">
        <v>0</v>
      </c>
      <c r="L30" s="37" t="n">
        <v>0</v>
      </c>
      <c r="M30" s="37" t="n">
        <v>0</v>
      </c>
      <c r="N30" s="37" t="n">
        <v>0</v>
      </c>
      <c r="O30" s="37" t="n">
        <f aca="false">SUM(K30:N30)</f>
        <v>0</v>
      </c>
      <c r="P30" s="37" t="n">
        <v>155712</v>
      </c>
      <c r="Q30" s="37" t="n">
        <v>155712</v>
      </c>
      <c r="R30" s="37" t="n">
        <v>0</v>
      </c>
      <c r="S30" s="37" t="n">
        <v>0</v>
      </c>
      <c r="T30" s="37" t="n">
        <f aca="false">SUM(P30:S30)</f>
        <v>311424</v>
      </c>
    </row>
    <row r="31" s="33" customFormat="true" ht="30" hidden="false" customHeight="true" outlineLevel="0" collapsed="false">
      <c r="B31" s="34"/>
      <c r="C31" s="35"/>
      <c r="D31" s="35"/>
      <c r="E31" s="35"/>
      <c r="F31" s="36" t="s">
        <v>32</v>
      </c>
      <c r="G31" s="37" t="n">
        <f aca="false">J31+O31+T31</f>
        <v>253190</v>
      </c>
      <c r="H31" s="37" t="n">
        <f aca="false">G31</f>
        <v>253190</v>
      </c>
      <c r="I31" s="38" t="n">
        <f aca="false">IF(G31=0,0,H31/G31)</f>
        <v>1</v>
      </c>
      <c r="J31" s="37"/>
      <c r="K31" s="37" t="n">
        <v>0</v>
      </c>
      <c r="L31" s="37" t="n">
        <v>0</v>
      </c>
      <c r="M31" s="37" t="n">
        <v>0</v>
      </c>
      <c r="N31" s="37" t="n">
        <v>0</v>
      </c>
      <c r="O31" s="37" t="n">
        <f aca="false">SUM(K31:N31)</f>
        <v>0</v>
      </c>
      <c r="P31" s="37" t="n">
        <v>126595</v>
      </c>
      <c r="Q31" s="37" t="n">
        <v>126595</v>
      </c>
      <c r="R31" s="37" t="n">
        <v>0</v>
      </c>
      <c r="S31" s="37" t="n">
        <v>0</v>
      </c>
      <c r="T31" s="37" t="n">
        <f aca="false">SUM(P31:S31)</f>
        <v>253190</v>
      </c>
    </row>
    <row r="32" s="33" customFormat="true" ht="30" hidden="false" customHeight="true" outlineLevel="0" collapsed="false">
      <c r="B32" s="34" t="s">
        <v>47</v>
      </c>
      <c r="C32" s="35" t="s">
        <v>48</v>
      </c>
      <c r="D32" s="36" t="s">
        <v>30</v>
      </c>
      <c r="E32" s="36" t="n">
        <v>1</v>
      </c>
      <c r="F32" s="36" t="s">
        <v>31</v>
      </c>
      <c r="G32" s="37" t="n">
        <f aca="false">J32+O32+T32</f>
        <v>429213</v>
      </c>
      <c r="H32" s="36"/>
      <c r="I32" s="36"/>
      <c r="J32" s="37"/>
      <c r="K32" s="37" t="n">
        <v>0</v>
      </c>
      <c r="L32" s="37" t="n">
        <v>0</v>
      </c>
      <c r="M32" s="37" t="n">
        <v>0</v>
      </c>
      <c r="N32" s="37" t="n">
        <v>0</v>
      </c>
      <c r="O32" s="37" t="n">
        <f aca="false">SUM(K32:N32)</f>
        <v>0</v>
      </c>
      <c r="P32" s="37" t="n">
        <v>214607</v>
      </c>
      <c r="Q32" s="37" t="n">
        <v>214606</v>
      </c>
      <c r="R32" s="37" t="n">
        <v>0</v>
      </c>
      <c r="S32" s="37" t="n">
        <v>0</v>
      </c>
      <c r="T32" s="37" t="n">
        <f aca="false">SUM(P32:S32)</f>
        <v>429213</v>
      </c>
    </row>
    <row r="33" s="33" customFormat="true" ht="30" hidden="false" customHeight="true" outlineLevel="0" collapsed="false">
      <c r="B33" s="34"/>
      <c r="C33" s="35"/>
      <c r="D33" s="35"/>
      <c r="E33" s="35"/>
      <c r="F33" s="36" t="s">
        <v>32</v>
      </c>
      <c r="G33" s="37" t="n">
        <f aca="false">J33+O33+T33</f>
        <v>348953</v>
      </c>
      <c r="H33" s="37" t="n">
        <f aca="false">G33</f>
        <v>348953</v>
      </c>
      <c r="I33" s="38" t="n">
        <f aca="false">IF(G33=0,0,H33/G33)</f>
        <v>1</v>
      </c>
      <c r="J33" s="37"/>
      <c r="K33" s="37" t="n">
        <v>0</v>
      </c>
      <c r="L33" s="37" t="n">
        <v>0</v>
      </c>
      <c r="M33" s="37" t="n">
        <v>0</v>
      </c>
      <c r="N33" s="37" t="n">
        <v>0</v>
      </c>
      <c r="O33" s="37" t="n">
        <f aca="false">SUM(K33:N33)</f>
        <v>0</v>
      </c>
      <c r="P33" s="37" t="n">
        <v>174477</v>
      </c>
      <c r="Q33" s="37" t="n">
        <v>174476</v>
      </c>
      <c r="R33" s="37" t="n">
        <v>0</v>
      </c>
      <c r="S33" s="37" t="n">
        <v>0</v>
      </c>
      <c r="T33" s="37" t="n">
        <f aca="false">SUM(P33:S33)</f>
        <v>348953</v>
      </c>
    </row>
    <row r="34" s="33" customFormat="true" ht="30" hidden="false" customHeight="true" outlineLevel="0" collapsed="false">
      <c r="B34" s="34" t="s">
        <v>49</v>
      </c>
      <c r="C34" s="35" t="s">
        <v>50</v>
      </c>
      <c r="D34" s="36" t="s">
        <v>30</v>
      </c>
      <c r="E34" s="36" t="n">
        <v>1</v>
      </c>
      <c r="F34" s="36" t="s">
        <v>31</v>
      </c>
      <c r="G34" s="37" t="n">
        <f aca="false">J34+O34+T34</f>
        <v>48493</v>
      </c>
      <c r="H34" s="36"/>
      <c r="I34" s="36"/>
      <c r="J34" s="37"/>
      <c r="K34" s="37" t="n">
        <v>0</v>
      </c>
      <c r="L34" s="37" t="n">
        <v>0</v>
      </c>
      <c r="M34" s="37" t="n">
        <v>0</v>
      </c>
      <c r="N34" s="37" t="n">
        <v>0</v>
      </c>
      <c r="O34" s="37" t="n">
        <f aca="false">SUM(K34:N34)</f>
        <v>0</v>
      </c>
      <c r="P34" s="37" t="n">
        <v>0</v>
      </c>
      <c r="Q34" s="37" t="n">
        <v>48493</v>
      </c>
      <c r="R34" s="37" t="n">
        <v>0</v>
      </c>
      <c r="S34" s="37" t="n">
        <v>0</v>
      </c>
      <c r="T34" s="37" t="n">
        <f aca="false">SUM(P34:S34)</f>
        <v>48493</v>
      </c>
    </row>
    <row r="35" s="33" customFormat="true" ht="30" hidden="false" customHeight="true" outlineLevel="0" collapsed="false">
      <c r="B35" s="34"/>
      <c r="C35" s="35"/>
      <c r="D35" s="35"/>
      <c r="E35" s="35"/>
      <c r="F35" s="36" t="s">
        <v>32</v>
      </c>
      <c r="G35" s="37" t="n">
        <f aca="false">J35+O35+T35</f>
        <v>39425</v>
      </c>
      <c r="H35" s="37" t="n">
        <f aca="false">G35</f>
        <v>39425</v>
      </c>
      <c r="I35" s="38" t="n">
        <f aca="false">IF(G35=0,0,H35/G35)</f>
        <v>1</v>
      </c>
      <c r="J35" s="37"/>
      <c r="K35" s="37" t="n">
        <v>0</v>
      </c>
      <c r="L35" s="37" t="n">
        <v>0</v>
      </c>
      <c r="M35" s="37" t="n">
        <v>0</v>
      </c>
      <c r="N35" s="37" t="n">
        <v>0</v>
      </c>
      <c r="O35" s="37" t="n">
        <f aca="false">SUM(K35:N35)</f>
        <v>0</v>
      </c>
      <c r="P35" s="37" t="n">
        <v>0</v>
      </c>
      <c r="Q35" s="37" t="n">
        <v>39425</v>
      </c>
      <c r="R35" s="37" t="n">
        <v>0</v>
      </c>
      <c r="S35" s="37" t="n">
        <v>0</v>
      </c>
      <c r="T35" s="37" t="n">
        <f aca="false">SUM(P35:S35)</f>
        <v>39425</v>
      </c>
    </row>
    <row r="36" customFormat="false" ht="30" hidden="false" customHeight="true" outlineLevel="0" collapsed="false">
      <c r="B36" s="25" t="s">
        <v>51</v>
      </c>
      <c r="C36" s="19" t="s">
        <v>52</v>
      </c>
      <c r="D36" s="20" t="s">
        <v>30</v>
      </c>
      <c r="E36" s="20" t="n">
        <v>1</v>
      </c>
      <c r="F36" s="21" t="s">
        <v>31</v>
      </c>
      <c r="G36" s="26" t="n">
        <f aca="false">J36+O36+T36</f>
        <v>238005</v>
      </c>
      <c r="H36" s="21"/>
      <c r="I36" s="21"/>
      <c r="J36" s="22" t="n">
        <f aca="false">J38+J40+J42+J44</f>
        <v>0</v>
      </c>
      <c r="K36" s="22" t="n">
        <f aca="false">K38+K40+K42+K44</f>
        <v>0</v>
      </c>
      <c r="L36" s="22" t="n">
        <f aca="false">L38+L40+L42+L44</f>
        <v>0</v>
      </c>
      <c r="M36" s="22" t="n">
        <f aca="false">M38+M40+M42+M44</f>
        <v>0</v>
      </c>
      <c r="N36" s="22" t="n">
        <f aca="false">N38+N40+N42+N44</f>
        <v>0</v>
      </c>
      <c r="O36" s="22" t="n">
        <f aca="false">SUM(K36:N36)</f>
        <v>0</v>
      </c>
      <c r="P36" s="22" t="n">
        <f aca="false">P38+P40+P42+P44</f>
        <v>127305</v>
      </c>
      <c r="Q36" s="22" t="n">
        <f aca="false">Q38+Q40+Q42+Q44</f>
        <v>110700</v>
      </c>
      <c r="R36" s="22" t="n">
        <f aca="false">R38+R40+R42+R44</f>
        <v>0</v>
      </c>
      <c r="S36" s="22" t="n">
        <f aca="false">S38+S40+S42+S44</f>
        <v>0</v>
      </c>
      <c r="T36" s="22" t="n">
        <f aca="false">SUM(P36:S36)</f>
        <v>238005</v>
      </c>
    </row>
    <row r="37" customFormat="false" ht="30" hidden="false" customHeight="true" outlineLevel="0" collapsed="false">
      <c r="B37" s="25"/>
      <c r="C37" s="19"/>
      <c r="D37" s="19"/>
      <c r="E37" s="19"/>
      <c r="F37" s="21" t="s">
        <v>32</v>
      </c>
      <c r="G37" s="26" t="n">
        <f aca="false">J37+O37+T37</f>
        <v>193500</v>
      </c>
      <c r="H37" s="23" t="n">
        <f aca="false">H39+H41+H43+H45</f>
        <v>193500</v>
      </c>
      <c r="I37" s="39" t="n">
        <f aca="false">IF(G37=0,0,H37/G37)</f>
        <v>1</v>
      </c>
      <c r="J37" s="22" t="n">
        <f aca="false">J39+J41+J43+J45</f>
        <v>0</v>
      </c>
      <c r="K37" s="22" t="n">
        <f aca="false">K39+K41+K43+K45</f>
        <v>0</v>
      </c>
      <c r="L37" s="22" t="n">
        <f aca="false">L39+L41+L43+L45</f>
        <v>0</v>
      </c>
      <c r="M37" s="22" t="n">
        <f aca="false">M39+M41+M43+M45</f>
        <v>0</v>
      </c>
      <c r="N37" s="22" t="n">
        <f aca="false">N39+N41+N43+N45</f>
        <v>0</v>
      </c>
      <c r="O37" s="22" t="n">
        <f aca="false">SUM(K37:N37)</f>
        <v>0</v>
      </c>
      <c r="P37" s="22" t="n">
        <f aca="false">P39+P41+P43+P45</f>
        <v>103500</v>
      </c>
      <c r="Q37" s="22" t="n">
        <f aca="false">Q39+Q41+Q43+Q45</f>
        <v>90000</v>
      </c>
      <c r="R37" s="22" t="n">
        <f aca="false">R39+R41+R43+R45</f>
        <v>0</v>
      </c>
      <c r="S37" s="22" t="n">
        <f aca="false">S39+S41+S43+S45</f>
        <v>0</v>
      </c>
      <c r="T37" s="22" t="n">
        <f aca="false">SUM(P37:S37)</f>
        <v>193500</v>
      </c>
    </row>
    <row r="38" customFormat="false" ht="30" hidden="false" customHeight="true" outlineLevel="0" collapsed="false">
      <c r="B38" s="18" t="s">
        <v>53</v>
      </c>
      <c r="C38" s="19" t="s">
        <v>54</v>
      </c>
      <c r="D38" s="20" t="s">
        <v>55</v>
      </c>
      <c r="E38" s="20" t="n">
        <v>18</v>
      </c>
      <c r="F38" s="21" t="s">
        <v>31</v>
      </c>
      <c r="G38" s="22" t="n">
        <f aca="false">J38+O38+T38</f>
        <v>5535</v>
      </c>
      <c r="H38" s="21"/>
      <c r="I38" s="40"/>
      <c r="J38" s="23"/>
      <c r="K38" s="22" t="n">
        <v>0</v>
      </c>
      <c r="L38" s="22" t="n">
        <v>0</v>
      </c>
      <c r="M38" s="22" t="n">
        <v>0</v>
      </c>
      <c r="N38" s="22" t="n">
        <v>0</v>
      </c>
      <c r="O38" s="22" t="n">
        <f aca="false">SUM(K38:N38)</f>
        <v>0</v>
      </c>
      <c r="P38" s="22" t="n">
        <v>5535</v>
      </c>
      <c r="Q38" s="22" t="n">
        <v>0</v>
      </c>
      <c r="R38" s="22" t="n">
        <v>0</v>
      </c>
      <c r="S38" s="22" t="n">
        <v>0</v>
      </c>
      <c r="T38" s="22" t="n">
        <f aca="false">SUM(P38:S38)</f>
        <v>5535</v>
      </c>
    </row>
    <row r="39" customFormat="false" ht="30" hidden="false" customHeight="true" outlineLevel="0" collapsed="false">
      <c r="B39" s="18"/>
      <c r="C39" s="19"/>
      <c r="D39" s="19"/>
      <c r="E39" s="19"/>
      <c r="F39" s="21" t="s">
        <v>32</v>
      </c>
      <c r="G39" s="22" t="n">
        <f aca="false">J39+O39+T39</f>
        <v>4500</v>
      </c>
      <c r="H39" s="23" t="n">
        <v>4500</v>
      </c>
      <c r="I39" s="39" t="n">
        <f aca="false">IF(G39=0,0,H39/G39)</f>
        <v>1</v>
      </c>
      <c r="J39" s="23"/>
      <c r="K39" s="22" t="n">
        <v>0</v>
      </c>
      <c r="L39" s="22" t="n">
        <v>0</v>
      </c>
      <c r="M39" s="22" t="n">
        <v>0</v>
      </c>
      <c r="N39" s="22" t="n">
        <v>0</v>
      </c>
      <c r="O39" s="22" t="n">
        <f aca="false">SUM(K39:N39)</f>
        <v>0</v>
      </c>
      <c r="P39" s="22" t="n">
        <v>4500</v>
      </c>
      <c r="Q39" s="22" t="n">
        <v>0</v>
      </c>
      <c r="R39" s="22" t="n">
        <v>0</v>
      </c>
      <c r="S39" s="22" t="n">
        <v>0</v>
      </c>
      <c r="T39" s="22" t="n">
        <f aca="false">SUM(P39:S39)</f>
        <v>4500</v>
      </c>
    </row>
    <row r="40" customFormat="false" ht="30" hidden="false" customHeight="true" outlineLevel="0" collapsed="false">
      <c r="B40" s="18" t="s">
        <v>56</v>
      </c>
      <c r="C40" s="19" t="s">
        <v>57</v>
      </c>
      <c r="D40" s="20" t="s">
        <v>30</v>
      </c>
      <c r="E40" s="20" t="n">
        <v>12</v>
      </c>
      <c r="F40" s="21" t="s">
        <v>31</v>
      </c>
      <c r="G40" s="22" t="n">
        <f aca="false">J40+O40+T40</f>
        <v>44280</v>
      </c>
      <c r="H40" s="21"/>
      <c r="I40" s="21"/>
      <c r="J40" s="23"/>
      <c r="K40" s="22" t="n">
        <v>0</v>
      </c>
      <c r="L40" s="22" t="n">
        <v>0</v>
      </c>
      <c r="M40" s="22" t="n">
        <v>0</v>
      </c>
      <c r="N40" s="22" t="n">
        <v>0</v>
      </c>
      <c r="O40" s="22" t="n">
        <f aca="false">SUM(K40:N40)</f>
        <v>0</v>
      </c>
      <c r="P40" s="22" t="n">
        <v>44280</v>
      </c>
      <c r="Q40" s="22" t="n">
        <v>0</v>
      </c>
      <c r="R40" s="22" t="n">
        <v>0</v>
      </c>
      <c r="S40" s="22" t="n">
        <v>0</v>
      </c>
      <c r="T40" s="22" t="n">
        <f aca="false">SUM(P40:S40)</f>
        <v>44280</v>
      </c>
    </row>
    <row r="41" customFormat="false" ht="30" hidden="false" customHeight="true" outlineLevel="0" collapsed="false">
      <c r="B41" s="18"/>
      <c r="C41" s="19"/>
      <c r="D41" s="19"/>
      <c r="E41" s="19"/>
      <c r="F41" s="21" t="s">
        <v>32</v>
      </c>
      <c r="G41" s="22" t="n">
        <f aca="false">J41+O41+T41</f>
        <v>36000</v>
      </c>
      <c r="H41" s="23" t="n">
        <v>36000</v>
      </c>
      <c r="I41" s="39" t="n">
        <f aca="false">IF(G41=0,0,H41/G41)</f>
        <v>1</v>
      </c>
      <c r="J41" s="23"/>
      <c r="K41" s="22" t="n">
        <v>0</v>
      </c>
      <c r="L41" s="22" t="n">
        <v>0</v>
      </c>
      <c r="M41" s="22" t="n">
        <v>0</v>
      </c>
      <c r="N41" s="22" t="n">
        <v>0</v>
      </c>
      <c r="O41" s="22" t="n">
        <f aca="false">SUM(K41:N41)</f>
        <v>0</v>
      </c>
      <c r="P41" s="22" t="n">
        <v>36000</v>
      </c>
      <c r="Q41" s="22" t="n">
        <v>0</v>
      </c>
      <c r="R41" s="22" t="n">
        <v>0</v>
      </c>
      <c r="S41" s="22" t="n">
        <v>0</v>
      </c>
      <c r="T41" s="22" t="n">
        <f aca="false">SUM(P41:S41)</f>
        <v>36000</v>
      </c>
    </row>
    <row r="42" customFormat="false" ht="30" hidden="false" customHeight="true" outlineLevel="0" collapsed="false">
      <c r="B42" s="18" t="s">
        <v>58</v>
      </c>
      <c r="C42" s="19" t="s">
        <v>59</v>
      </c>
      <c r="D42" s="20" t="s">
        <v>60</v>
      </c>
      <c r="E42" s="20" t="n">
        <v>360</v>
      </c>
      <c r="F42" s="21" t="s">
        <v>31</v>
      </c>
      <c r="G42" s="22" t="n">
        <f aca="false">J42+O42+T42</f>
        <v>154980</v>
      </c>
      <c r="H42" s="21"/>
      <c r="I42" s="21"/>
      <c r="J42" s="23"/>
      <c r="K42" s="22" t="n">
        <v>0</v>
      </c>
      <c r="L42" s="22" t="n">
        <v>0</v>
      </c>
      <c r="M42" s="22" t="n">
        <v>0</v>
      </c>
      <c r="N42" s="22" t="n">
        <v>0</v>
      </c>
      <c r="O42" s="22" t="n">
        <f aca="false">SUM(K42:N42)</f>
        <v>0</v>
      </c>
      <c r="P42" s="22" t="n">
        <v>77490</v>
      </c>
      <c r="Q42" s="22" t="n">
        <v>77490</v>
      </c>
      <c r="R42" s="22" t="n">
        <v>0</v>
      </c>
      <c r="S42" s="22" t="n">
        <v>0</v>
      </c>
      <c r="T42" s="22" t="n">
        <f aca="false">SUM(P42:S42)</f>
        <v>154980</v>
      </c>
    </row>
    <row r="43" customFormat="false" ht="30" hidden="false" customHeight="true" outlineLevel="0" collapsed="false">
      <c r="B43" s="18"/>
      <c r="C43" s="19"/>
      <c r="D43" s="19"/>
      <c r="E43" s="19"/>
      <c r="F43" s="21" t="s">
        <v>32</v>
      </c>
      <c r="G43" s="22" t="n">
        <f aca="false">J43+O43+T43</f>
        <v>126000</v>
      </c>
      <c r="H43" s="23" t="n">
        <v>126000</v>
      </c>
      <c r="I43" s="39" t="n">
        <f aca="false">IF(G43=0,0,H43/G43)</f>
        <v>1</v>
      </c>
      <c r="J43" s="23"/>
      <c r="K43" s="22" t="n">
        <v>0</v>
      </c>
      <c r="L43" s="22" t="n">
        <v>0</v>
      </c>
      <c r="M43" s="22" t="n">
        <v>0</v>
      </c>
      <c r="N43" s="22" t="n">
        <v>0</v>
      </c>
      <c r="O43" s="22" t="n">
        <f aca="false">SUM(K43:N43)</f>
        <v>0</v>
      </c>
      <c r="P43" s="22" t="n">
        <v>63000</v>
      </c>
      <c r="Q43" s="22" t="n">
        <v>63000</v>
      </c>
      <c r="R43" s="22" t="n">
        <v>0</v>
      </c>
      <c r="S43" s="22" t="n">
        <v>0</v>
      </c>
      <c r="T43" s="22" t="n">
        <f aca="false">SUM(P43:S43)</f>
        <v>126000</v>
      </c>
    </row>
    <row r="44" customFormat="false" ht="30" hidden="false" customHeight="true" outlineLevel="0" collapsed="false">
      <c r="B44" s="18" t="s">
        <v>61</v>
      </c>
      <c r="C44" s="19" t="s">
        <v>62</v>
      </c>
      <c r="D44" s="20" t="s">
        <v>30</v>
      </c>
      <c r="E44" s="20" t="n">
        <v>6</v>
      </c>
      <c r="F44" s="21" t="s">
        <v>31</v>
      </c>
      <c r="G44" s="22" t="n">
        <f aca="false">J44+O44+T44</f>
        <v>33210</v>
      </c>
      <c r="H44" s="21"/>
      <c r="I44" s="21"/>
      <c r="J44" s="23"/>
      <c r="K44" s="22" t="n">
        <v>0</v>
      </c>
      <c r="L44" s="22" t="n">
        <v>0</v>
      </c>
      <c r="M44" s="22" t="n">
        <v>0</v>
      </c>
      <c r="N44" s="22" t="n">
        <v>0</v>
      </c>
      <c r="O44" s="22" t="n">
        <f aca="false">SUM(K44:N44)</f>
        <v>0</v>
      </c>
      <c r="P44" s="22" t="n">
        <v>0</v>
      </c>
      <c r="Q44" s="22" t="n">
        <v>33210</v>
      </c>
      <c r="R44" s="22" t="n">
        <v>0</v>
      </c>
      <c r="S44" s="22" t="n">
        <v>0</v>
      </c>
      <c r="T44" s="22" t="n">
        <f aca="false">SUM(P44:S44)</f>
        <v>33210</v>
      </c>
    </row>
    <row r="45" customFormat="false" ht="30" hidden="false" customHeight="true" outlineLevel="0" collapsed="false">
      <c r="B45" s="18"/>
      <c r="C45" s="19"/>
      <c r="D45" s="19"/>
      <c r="E45" s="19"/>
      <c r="F45" s="21" t="s">
        <v>32</v>
      </c>
      <c r="G45" s="22" t="n">
        <f aca="false">J45+O45+T45</f>
        <v>27000</v>
      </c>
      <c r="H45" s="23" t="n">
        <v>27000</v>
      </c>
      <c r="I45" s="39" t="n">
        <f aca="false">IF(G45=0,0,H45/G45)</f>
        <v>1</v>
      </c>
      <c r="J45" s="23"/>
      <c r="K45" s="22" t="n">
        <v>0</v>
      </c>
      <c r="L45" s="22" t="n">
        <v>0</v>
      </c>
      <c r="M45" s="22" t="n">
        <v>0</v>
      </c>
      <c r="N45" s="22" t="n">
        <v>0</v>
      </c>
      <c r="O45" s="22" t="n">
        <f aca="false">SUM(K45:N45)</f>
        <v>0</v>
      </c>
      <c r="P45" s="22" t="n">
        <v>0</v>
      </c>
      <c r="Q45" s="22" t="n">
        <v>27000</v>
      </c>
      <c r="R45" s="22" t="n">
        <v>0</v>
      </c>
      <c r="S45" s="22" t="n">
        <v>0</v>
      </c>
      <c r="T45" s="22" t="n">
        <f aca="false">SUM(P45:S45)</f>
        <v>27000</v>
      </c>
    </row>
    <row r="46" customFormat="false" ht="30" hidden="false" customHeight="true" outlineLevel="0" collapsed="false">
      <c r="B46" s="25" t="s">
        <v>63</v>
      </c>
      <c r="C46" s="19" t="s">
        <v>64</v>
      </c>
      <c r="D46" s="20" t="s">
        <v>30</v>
      </c>
      <c r="E46" s="20" t="n">
        <v>1</v>
      </c>
      <c r="F46" s="21" t="s">
        <v>31</v>
      </c>
      <c r="G46" s="26" t="n">
        <f aca="false">J46+O46+T46</f>
        <v>2975493</v>
      </c>
      <c r="H46" s="21"/>
      <c r="I46" s="21"/>
      <c r="J46" s="22" t="n">
        <f aca="false">J48+J50+J52+J54</f>
        <v>0</v>
      </c>
      <c r="K46" s="22" t="n">
        <f aca="false">K48+K50+K52+K54</f>
        <v>0</v>
      </c>
      <c r="L46" s="22" t="n">
        <f aca="false">L48+L50+L52+L54</f>
        <v>0</v>
      </c>
      <c r="M46" s="22" t="n">
        <f aca="false">M48+M50+M52+M54</f>
        <v>0</v>
      </c>
      <c r="N46" s="22" t="n">
        <f aca="false">N48+N50+N52+N54</f>
        <v>2452798</v>
      </c>
      <c r="O46" s="22" t="n">
        <f aca="false">SUM(K46:N46)</f>
        <v>2452798</v>
      </c>
      <c r="P46" s="22" t="n">
        <f aca="false">P48+P50+P52+P54</f>
        <v>86100</v>
      </c>
      <c r="Q46" s="22" t="n">
        <f aca="false">Q48+Q50+Q52+Q54</f>
        <v>307500</v>
      </c>
      <c r="R46" s="22" t="n">
        <f aca="false">R48+R50+R52+R54</f>
        <v>129095</v>
      </c>
      <c r="S46" s="22" t="n">
        <f aca="false">S48+S50+S52+S54</f>
        <v>0</v>
      </c>
      <c r="T46" s="22" t="n">
        <f aca="false">SUM(P46:S46)</f>
        <v>522695</v>
      </c>
    </row>
    <row r="47" customFormat="false" ht="30" hidden="false" customHeight="true" outlineLevel="0" collapsed="false">
      <c r="B47" s="25"/>
      <c r="C47" s="19"/>
      <c r="D47" s="19"/>
      <c r="E47" s="19"/>
      <c r="F47" s="21" t="s">
        <v>32</v>
      </c>
      <c r="G47" s="26" t="n">
        <f aca="false">J47+O47+T47</f>
        <v>2419100</v>
      </c>
      <c r="H47" s="23" t="n">
        <f aca="false">H49+H51+H53+H55</f>
        <v>2419100</v>
      </c>
      <c r="I47" s="39" t="n">
        <f aca="false">IF(G47=0,0,H47/G47)</f>
        <v>1</v>
      </c>
      <c r="J47" s="22" t="n">
        <f aca="false">J49+J51+J53+J55</f>
        <v>0</v>
      </c>
      <c r="K47" s="22" t="n">
        <f aca="false">K49+K51+K53+K55</f>
        <v>0</v>
      </c>
      <c r="L47" s="22" t="n">
        <f aca="false">L49+L51+L53+L55</f>
        <v>0</v>
      </c>
      <c r="M47" s="22" t="n">
        <f aca="false">M49+M51+M53+M55</f>
        <v>0</v>
      </c>
      <c r="N47" s="22" t="n">
        <f aca="false">N49+N51+N53+N55</f>
        <v>1994145</v>
      </c>
      <c r="O47" s="22" t="n">
        <f aca="false">SUM(K47:N47)</f>
        <v>1994145</v>
      </c>
      <c r="P47" s="22" t="n">
        <f aca="false">P49+P51+P53+P55</f>
        <v>70000</v>
      </c>
      <c r="Q47" s="22" t="n">
        <f aca="false">Q49+Q51+Q53+Q55</f>
        <v>250000</v>
      </c>
      <c r="R47" s="22" t="n">
        <f aca="false">R49+R51+R53+R55</f>
        <v>104955</v>
      </c>
      <c r="S47" s="22" t="n">
        <f aca="false">S49+S51+S53+S55</f>
        <v>0</v>
      </c>
      <c r="T47" s="22" t="n">
        <f aca="false">SUM(P47:S47)</f>
        <v>424955</v>
      </c>
    </row>
    <row r="48" customFormat="false" ht="30" hidden="false" customHeight="true" outlineLevel="0" collapsed="false">
      <c r="B48" s="18" t="s">
        <v>65</v>
      </c>
      <c r="C48" s="19" t="s">
        <v>66</v>
      </c>
      <c r="D48" s="20" t="s">
        <v>46</v>
      </c>
      <c r="E48" s="20" t="n">
        <v>6</v>
      </c>
      <c r="F48" s="21" t="s">
        <v>31</v>
      </c>
      <c r="G48" s="22" t="n">
        <f aca="false">J48+O48+T48</f>
        <v>2581893</v>
      </c>
      <c r="H48" s="21"/>
      <c r="I48" s="21"/>
      <c r="J48" s="23"/>
      <c r="K48" s="22" t="n">
        <v>0</v>
      </c>
      <c r="L48" s="22" t="n">
        <v>0</v>
      </c>
      <c r="M48" s="22" t="n">
        <v>0</v>
      </c>
      <c r="N48" s="22" t="n">
        <v>2452798</v>
      </c>
      <c r="O48" s="22" t="n">
        <f aca="false">SUM(K48:N48)</f>
        <v>2452798</v>
      </c>
      <c r="P48" s="22" t="n">
        <v>0</v>
      </c>
      <c r="Q48" s="22" t="n">
        <v>0</v>
      </c>
      <c r="R48" s="22" t="n">
        <v>129095</v>
      </c>
      <c r="S48" s="22" t="n">
        <v>0</v>
      </c>
      <c r="T48" s="22" t="n">
        <f aca="false">SUM(P48:S48)</f>
        <v>129095</v>
      </c>
    </row>
    <row r="49" customFormat="false" ht="30" hidden="false" customHeight="true" outlineLevel="0" collapsed="false">
      <c r="B49" s="18"/>
      <c r="C49" s="19"/>
      <c r="D49" s="19"/>
      <c r="E49" s="19"/>
      <c r="F49" s="21" t="s">
        <v>32</v>
      </c>
      <c r="G49" s="22" t="n">
        <f aca="false">J49+O49+T49</f>
        <v>2099100</v>
      </c>
      <c r="H49" s="23" t="n">
        <v>2099100</v>
      </c>
      <c r="I49" s="39" t="n">
        <f aca="false">IF(G49=0,0,H49/G49)</f>
        <v>1</v>
      </c>
      <c r="J49" s="23"/>
      <c r="K49" s="22" t="n">
        <v>0</v>
      </c>
      <c r="L49" s="22" t="n">
        <v>0</v>
      </c>
      <c r="M49" s="22" t="n">
        <v>0</v>
      </c>
      <c r="N49" s="22" t="n">
        <v>1994145</v>
      </c>
      <c r="O49" s="22" t="n">
        <f aca="false">SUM(K49:N49)</f>
        <v>1994145</v>
      </c>
      <c r="P49" s="22" t="n">
        <v>0</v>
      </c>
      <c r="Q49" s="22" t="n">
        <v>0</v>
      </c>
      <c r="R49" s="22" t="n">
        <v>104955</v>
      </c>
      <c r="S49" s="22" t="n">
        <v>0</v>
      </c>
      <c r="T49" s="22" t="n">
        <f aca="false">SUM(P49:S49)</f>
        <v>104955</v>
      </c>
    </row>
    <row r="50" customFormat="false" ht="30" hidden="false" customHeight="true" outlineLevel="0" collapsed="false">
      <c r="B50" s="18" t="s">
        <v>67</v>
      </c>
      <c r="C50" s="19" t="s">
        <v>68</v>
      </c>
      <c r="D50" s="20" t="s">
        <v>46</v>
      </c>
      <c r="E50" s="20" t="n">
        <v>6</v>
      </c>
      <c r="F50" s="21" t="s">
        <v>31</v>
      </c>
      <c r="G50" s="22" t="n">
        <f aca="false">J50+O50+T50</f>
        <v>73800</v>
      </c>
      <c r="H50" s="21"/>
      <c r="I50" s="21"/>
      <c r="J50" s="23"/>
      <c r="K50" s="22" t="n">
        <v>0</v>
      </c>
      <c r="L50" s="22" t="n">
        <v>0</v>
      </c>
      <c r="M50" s="22" t="n">
        <v>0</v>
      </c>
      <c r="N50" s="22" t="n">
        <v>0</v>
      </c>
      <c r="O50" s="22" t="n">
        <f aca="false">SUM(K50:N50)</f>
        <v>0</v>
      </c>
      <c r="P50" s="22" t="n">
        <v>0</v>
      </c>
      <c r="Q50" s="22" t="n">
        <v>73800</v>
      </c>
      <c r="R50" s="22" t="n">
        <v>0</v>
      </c>
      <c r="S50" s="22" t="n">
        <v>0</v>
      </c>
      <c r="T50" s="22" t="n">
        <f aca="false">SUM(P50:S50)</f>
        <v>73800</v>
      </c>
    </row>
    <row r="51" customFormat="false" ht="30" hidden="false" customHeight="true" outlineLevel="0" collapsed="false">
      <c r="B51" s="18"/>
      <c r="C51" s="19"/>
      <c r="D51" s="19"/>
      <c r="E51" s="19"/>
      <c r="F51" s="21" t="s">
        <v>32</v>
      </c>
      <c r="G51" s="22" t="n">
        <f aca="false">J51+O51+T51</f>
        <v>60000</v>
      </c>
      <c r="H51" s="23" t="n">
        <v>60000</v>
      </c>
      <c r="I51" s="39" t="n">
        <f aca="false">IF(G51=0,0,H51/G51)</f>
        <v>1</v>
      </c>
      <c r="J51" s="23"/>
      <c r="K51" s="22" t="n">
        <v>0</v>
      </c>
      <c r="L51" s="22" t="n">
        <v>0</v>
      </c>
      <c r="M51" s="22" t="n">
        <v>0</v>
      </c>
      <c r="N51" s="22" t="n">
        <v>0</v>
      </c>
      <c r="O51" s="22" t="n">
        <f aca="false">SUM(K51:N51)</f>
        <v>0</v>
      </c>
      <c r="P51" s="22" t="n">
        <v>0</v>
      </c>
      <c r="Q51" s="22" t="n">
        <v>60000</v>
      </c>
      <c r="R51" s="22" t="n">
        <v>0</v>
      </c>
      <c r="S51" s="22" t="n">
        <v>0</v>
      </c>
      <c r="T51" s="22" t="n">
        <f aca="false">SUM(P51:S51)</f>
        <v>60000</v>
      </c>
    </row>
    <row r="52" s="33" customFormat="true" ht="30" hidden="false" customHeight="true" outlineLevel="0" collapsed="false">
      <c r="B52" s="34" t="s">
        <v>69</v>
      </c>
      <c r="C52" s="35" t="s">
        <v>70</v>
      </c>
      <c r="D52" s="36" t="s">
        <v>39</v>
      </c>
      <c r="E52" s="36" t="n">
        <v>700</v>
      </c>
      <c r="F52" s="36" t="s">
        <v>31</v>
      </c>
      <c r="G52" s="37" t="n">
        <f aca="false">J52+O52+T52</f>
        <v>172200</v>
      </c>
      <c r="H52" s="36"/>
      <c r="I52" s="36"/>
      <c r="J52" s="37"/>
      <c r="K52" s="37" t="n">
        <v>0</v>
      </c>
      <c r="L52" s="37" t="n">
        <v>0</v>
      </c>
      <c r="M52" s="37" t="n">
        <v>0</v>
      </c>
      <c r="N52" s="37" t="n">
        <v>0</v>
      </c>
      <c r="O52" s="37" t="n">
        <f aca="false">SUM(K52:N52)</f>
        <v>0</v>
      </c>
      <c r="P52" s="37" t="n">
        <v>86100</v>
      </c>
      <c r="Q52" s="37" t="n">
        <v>86100</v>
      </c>
      <c r="R52" s="37" t="n">
        <v>0</v>
      </c>
      <c r="S52" s="37" t="n">
        <v>0</v>
      </c>
      <c r="T52" s="37" t="n">
        <f aca="false">SUM(P52:S52)</f>
        <v>172200</v>
      </c>
    </row>
    <row r="53" s="33" customFormat="true" ht="30" hidden="false" customHeight="true" outlineLevel="0" collapsed="false">
      <c r="B53" s="34"/>
      <c r="C53" s="35"/>
      <c r="D53" s="35"/>
      <c r="E53" s="35"/>
      <c r="F53" s="36" t="s">
        <v>32</v>
      </c>
      <c r="G53" s="37" t="n">
        <f aca="false">J53+O53+T53</f>
        <v>140000</v>
      </c>
      <c r="H53" s="37" t="n">
        <f aca="false">G53</f>
        <v>140000</v>
      </c>
      <c r="I53" s="41" t="n">
        <f aca="false">IF(G53=0,0,H53/G53)</f>
        <v>1</v>
      </c>
      <c r="J53" s="37"/>
      <c r="K53" s="37" t="n">
        <v>0</v>
      </c>
      <c r="L53" s="37" t="n">
        <v>0</v>
      </c>
      <c r="M53" s="37" t="n">
        <v>0</v>
      </c>
      <c r="N53" s="37" t="n">
        <v>0</v>
      </c>
      <c r="O53" s="37" t="n">
        <f aca="false">SUM(K53:N53)</f>
        <v>0</v>
      </c>
      <c r="P53" s="37" t="n">
        <v>70000</v>
      </c>
      <c r="Q53" s="37" t="n">
        <v>70000</v>
      </c>
      <c r="R53" s="37" t="n">
        <v>0</v>
      </c>
      <c r="S53" s="37" t="n">
        <v>0</v>
      </c>
      <c r="T53" s="37" t="n">
        <f aca="false">SUM(P53:S53)</f>
        <v>140000</v>
      </c>
    </row>
    <row r="54" s="33" customFormat="true" ht="30" hidden="false" customHeight="true" outlineLevel="0" collapsed="false">
      <c r="B54" s="34" t="s">
        <v>71</v>
      </c>
      <c r="C54" s="35" t="s">
        <v>72</v>
      </c>
      <c r="D54" s="36" t="s">
        <v>39</v>
      </c>
      <c r="E54" s="36" t="n">
        <v>320</v>
      </c>
      <c r="F54" s="36" t="s">
        <v>31</v>
      </c>
      <c r="G54" s="37" t="n">
        <f aca="false">J54+O54+T54</f>
        <v>147600</v>
      </c>
      <c r="H54" s="36"/>
      <c r="I54" s="36"/>
      <c r="J54" s="37"/>
      <c r="K54" s="37" t="n">
        <v>0</v>
      </c>
      <c r="L54" s="37" t="n">
        <v>0</v>
      </c>
      <c r="M54" s="37" t="n">
        <v>0</v>
      </c>
      <c r="N54" s="37" t="n">
        <v>0</v>
      </c>
      <c r="O54" s="37" t="n">
        <f aca="false">SUM(K54:N54)</f>
        <v>0</v>
      </c>
      <c r="P54" s="37" t="n">
        <v>0</v>
      </c>
      <c r="Q54" s="37" t="n">
        <v>147600</v>
      </c>
      <c r="R54" s="37" t="n">
        <v>0</v>
      </c>
      <c r="S54" s="37" t="n">
        <v>0</v>
      </c>
      <c r="T54" s="37" t="n">
        <f aca="false">SUM(P54:S54)</f>
        <v>147600</v>
      </c>
    </row>
    <row r="55" s="33" customFormat="true" ht="30" hidden="false" customHeight="true" outlineLevel="0" collapsed="false">
      <c r="B55" s="34"/>
      <c r="C55" s="35"/>
      <c r="D55" s="35"/>
      <c r="E55" s="35"/>
      <c r="F55" s="36" t="s">
        <v>32</v>
      </c>
      <c r="G55" s="37" t="n">
        <f aca="false">J55+O55+T55</f>
        <v>120000</v>
      </c>
      <c r="H55" s="37" t="n">
        <f aca="false">G55</f>
        <v>120000</v>
      </c>
      <c r="I55" s="41" t="n">
        <f aca="false">IF(G55=0,0,H55/G55)</f>
        <v>1</v>
      </c>
      <c r="J55" s="37"/>
      <c r="K55" s="37" t="n">
        <v>0</v>
      </c>
      <c r="L55" s="37" t="n">
        <v>0</v>
      </c>
      <c r="M55" s="37" t="n">
        <v>0</v>
      </c>
      <c r="N55" s="37" t="n">
        <v>0</v>
      </c>
      <c r="O55" s="37" t="n">
        <f aca="false">SUM(K55:N55)</f>
        <v>0</v>
      </c>
      <c r="P55" s="37" t="n">
        <v>0</v>
      </c>
      <c r="Q55" s="37" t="n">
        <v>120000</v>
      </c>
      <c r="R55" s="37" t="n">
        <v>0</v>
      </c>
      <c r="S55" s="37" t="n">
        <v>0</v>
      </c>
      <c r="T55" s="37" t="n">
        <f aca="false">SUM(P55:S55)</f>
        <v>120000</v>
      </c>
    </row>
    <row r="56" customFormat="false" ht="30" hidden="false" customHeight="true" outlineLevel="0" collapsed="false">
      <c r="B56" s="25" t="s">
        <v>73</v>
      </c>
      <c r="C56" s="19" t="s">
        <v>74</v>
      </c>
      <c r="D56" s="20" t="s">
        <v>30</v>
      </c>
      <c r="E56" s="20" t="n">
        <v>1</v>
      </c>
      <c r="F56" s="21" t="s">
        <v>31</v>
      </c>
      <c r="G56" s="26" t="n">
        <f aca="false">J56+O56+T56</f>
        <v>156210</v>
      </c>
      <c r="H56" s="21"/>
      <c r="I56" s="21"/>
      <c r="J56" s="22" t="n">
        <f aca="false">J58+J60+J62+J64</f>
        <v>0</v>
      </c>
      <c r="K56" s="22" t="n">
        <f aca="false">K58+K60+K62+K64</f>
        <v>0</v>
      </c>
      <c r="L56" s="22" t="n">
        <f aca="false">L58+L60+L62+L64</f>
        <v>0</v>
      </c>
      <c r="M56" s="22" t="n">
        <f aca="false">M58+M60+M62+M64</f>
        <v>0</v>
      </c>
      <c r="N56" s="22" t="n">
        <f aca="false">N58+N60+N62+N64</f>
        <v>139359</v>
      </c>
      <c r="O56" s="22" t="n">
        <f aca="false">SUM(K56:N56)</f>
        <v>139359</v>
      </c>
      <c r="P56" s="22" t="n">
        <f aca="false">P58+P60+P62+P64</f>
        <v>0</v>
      </c>
      <c r="Q56" s="22" t="n">
        <f aca="false">Q58+Q60+Q62+Q64</f>
        <v>9840</v>
      </c>
      <c r="R56" s="22" t="n">
        <f aca="false">R58+R60+R62+R64</f>
        <v>7011</v>
      </c>
      <c r="S56" s="22" t="n">
        <f aca="false">S58+S60+S62+S64</f>
        <v>0</v>
      </c>
      <c r="T56" s="22" t="n">
        <f aca="false">SUM(P56:S56)</f>
        <v>16851</v>
      </c>
    </row>
    <row r="57" customFormat="false" ht="30" hidden="false" customHeight="true" outlineLevel="0" collapsed="false">
      <c r="B57" s="25"/>
      <c r="C57" s="19"/>
      <c r="D57" s="19"/>
      <c r="E57" s="19"/>
      <c r="F57" s="21" t="s">
        <v>32</v>
      </c>
      <c r="G57" s="26" t="n">
        <f aca="false">J57+O57+T57</f>
        <v>127000</v>
      </c>
      <c r="H57" s="23" t="n">
        <f aca="false">H59+H61+H63+H65</f>
        <v>127000</v>
      </c>
      <c r="I57" s="39" t="n">
        <f aca="false">IF(G57=0,0,H57/G57)</f>
        <v>1</v>
      </c>
      <c r="J57" s="22" t="n">
        <f aca="false">J59+J61+J63+J65</f>
        <v>0</v>
      </c>
      <c r="K57" s="22" t="n">
        <f aca="false">K59+K61+K63+K65</f>
        <v>0</v>
      </c>
      <c r="L57" s="22" t="n">
        <f aca="false">L59+L61+L63+L65</f>
        <v>0</v>
      </c>
      <c r="M57" s="22" t="n">
        <f aca="false">M59+M61+M63+M65</f>
        <v>0</v>
      </c>
      <c r="N57" s="22" t="n">
        <f aca="false">N59+N61+N63+N65</f>
        <v>113300</v>
      </c>
      <c r="O57" s="22" t="n">
        <f aca="false">SUM(K57:N57)</f>
        <v>113300</v>
      </c>
      <c r="P57" s="22" t="n">
        <f aca="false">P59+P61+P63+P65</f>
        <v>0</v>
      </c>
      <c r="Q57" s="22" t="n">
        <f aca="false">Q59+Q61+Q63+Q65</f>
        <v>8000</v>
      </c>
      <c r="R57" s="22" t="n">
        <f aca="false">R59+R61+R63+R65</f>
        <v>5700</v>
      </c>
      <c r="S57" s="22" t="n">
        <f aca="false">S59+S61+S63+S65</f>
        <v>0</v>
      </c>
      <c r="T57" s="22" t="n">
        <f aca="false">SUM(P57:S57)</f>
        <v>13700</v>
      </c>
    </row>
    <row r="58" customFormat="false" ht="30" hidden="false" customHeight="true" outlineLevel="0" collapsed="false">
      <c r="B58" s="18" t="s">
        <v>75</v>
      </c>
      <c r="C58" s="19" t="s">
        <v>76</v>
      </c>
      <c r="D58" s="20" t="s">
        <v>30</v>
      </c>
      <c r="E58" s="20" t="n">
        <v>1</v>
      </c>
      <c r="F58" s="21" t="s">
        <v>31</v>
      </c>
      <c r="G58" s="22" t="n">
        <f aca="false">J58+O58+T58</f>
        <v>6150</v>
      </c>
      <c r="H58" s="21"/>
      <c r="I58" s="21"/>
      <c r="J58" s="23"/>
      <c r="K58" s="22" t="n">
        <v>0</v>
      </c>
      <c r="L58" s="22" t="n">
        <v>0</v>
      </c>
      <c r="M58" s="22" t="n">
        <v>0</v>
      </c>
      <c r="N58" s="22" t="n">
        <v>0</v>
      </c>
      <c r="O58" s="22" t="n">
        <f aca="false">SUM(K58:N58)</f>
        <v>0</v>
      </c>
      <c r="P58" s="22" t="n">
        <v>0</v>
      </c>
      <c r="Q58" s="22" t="n">
        <v>6150</v>
      </c>
      <c r="R58" s="22" t="n">
        <v>0</v>
      </c>
      <c r="S58" s="22" t="n">
        <v>0</v>
      </c>
      <c r="T58" s="22" t="n">
        <f aca="false">SUM(P58:S58)</f>
        <v>6150</v>
      </c>
    </row>
    <row r="59" customFormat="false" ht="30" hidden="false" customHeight="true" outlineLevel="0" collapsed="false">
      <c r="B59" s="18"/>
      <c r="C59" s="19"/>
      <c r="D59" s="19"/>
      <c r="E59" s="19"/>
      <c r="F59" s="21" t="s">
        <v>32</v>
      </c>
      <c r="G59" s="22" t="n">
        <f aca="false">J59+O59+T59</f>
        <v>5000</v>
      </c>
      <c r="H59" s="23" t="n">
        <v>5000</v>
      </c>
      <c r="I59" s="39" t="n">
        <f aca="false">IF(G59=0,0,H59/G59)</f>
        <v>1</v>
      </c>
      <c r="J59" s="23"/>
      <c r="K59" s="22" t="n">
        <v>0</v>
      </c>
      <c r="L59" s="22" t="n">
        <v>0</v>
      </c>
      <c r="M59" s="22" t="n">
        <v>0</v>
      </c>
      <c r="N59" s="22" t="n">
        <v>0</v>
      </c>
      <c r="O59" s="22" t="n">
        <f aca="false">SUM(K59:N59)</f>
        <v>0</v>
      </c>
      <c r="P59" s="22" t="n">
        <v>0</v>
      </c>
      <c r="Q59" s="22" t="n">
        <v>5000</v>
      </c>
      <c r="R59" s="22" t="n">
        <v>0</v>
      </c>
      <c r="S59" s="22" t="n">
        <v>0</v>
      </c>
      <c r="T59" s="22" t="n">
        <f aca="false">SUM(P59:S59)</f>
        <v>5000</v>
      </c>
    </row>
    <row r="60" customFormat="false" ht="30" hidden="false" customHeight="true" outlineLevel="0" collapsed="false">
      <c r="B60" s="18" t="s">
        <v>77</v>
      </c>
      <c r="C60" s="19" t="s">
        <v>78</v>
      </c>
      <c r="D60" s="20" t="s">
        <v>30</v>
      </c>
      <c r="E60" s="20" t="n">
        <v>1</v>
      </c>
      <c r="F60" s="21" t="s">
        <v>31</v>
      </c>
      <c r="G60" s="22" t="n">
        <f aca="false">J60+O60+T60</f>
        <v>3690</v>
      </c>
      <c r="H60" s="21"/>
      <c r="I60" s="21"/>
      <c r="J60" s="23"/>
      <c r="K60" s="22" t="n">
        <v>0</v>
      </c>
      <c r="L60" s="22" t="n">
        <v>0</v>
      </c>
      <c r="M60" s="22" t="n">
        <v>0</v>
      </c>
      <c r="N60" s="22" t="n">
        <v>0</v>
      </c>
      <c r="O60" s="22" t="n">
        <f aca="false">SUM(K60:N60)</f>
        <v>0</v>
      </c>
      <c r="P60" s="22" t="n">
        <v>0</v>
      </c>
      <c r="Q60" s="22" t="n">
        <v>3690</v>
      </c>
      <c r="R60" s="22" t="n">
        <v>0</v>
      </c>
      <c r="S60" s="22" t="n">
        <v>0</v>
      </c>
      <c r="T60" s="22" t="n">
        <f aca="false">SUM(P60:S60)</f>
        <v>3690</v>
      </c>
    </row>
    <row r="61" customFormat="false" ht="30" hidden="false" customHeight="true" outlineLevel="0" collapsed="false">
      <c r="B61" s="18"/>
      <c r="C61" s="19"/>
      <c r="D61" s="19"/>
      <c r="E61" s="19"/>
      <c r="F61" s="21" t="s">
        <v>32</v>
      </c>
      <c r="G61" s="22" t="n">
        <f aca="false">J61+O61+T61</f>
        <v>3000</v>
      </c>
      <c r="H61" s="23" t="n">
        <v>3000</v>
      </c>
      <c r="I61" s="39" t="n">
        <f aca="false">IF(G61=0,0,H61/G61)</f>
        <v>1</v>
      </c>
      <c r="J61" s="23"/>
      <c r="K61" s="22" t="n">
        <v>0</v>
      </c>
      <c r="L61" s="22" t="n">
        <v>0</v>
      </c>
      <c r="M61" s="22" t="n">
        <v>0</v>
      </c>
      <c r="N61" s="22" t="n">
        <v>0</v>
      </c>
      <c r="O61" s="22" t="n">
        <f aca="false">SUM(K61:N61)</f>
        <v>0</v>
      </c>
      <c r="P61" s="22" t="n">
        <v>0</v>
      </c>
      <c r="Q61" s="22" t="n">
        <v>3000</v>
      </c>
      <c r="R61" s="22" t="n">
        <v>0</v>
      </c>
      <c r="S61" s="22" t="n">
        <v>0</v>
      </c>
      <c r="T61" s="22" t="n">
        <f aca="false">SUM(P61:S61)</f>
        <v>3000</v>
      </c>
    </row>
    <row r="62" customFormat="false" ht="30" hidden="false" customHeight="true" outlineLevel="0" collapsed="false">
      <c r="B62" s="18" t="s">
        <v>79</v>
      </c>
      <c r="C62" s="19" t="s">
        <v>80</v>
      </c>
      <c r="D62" s="20" t="s">
        <v>30</v>
      </c>
      <c r="E62" s="20" t="n">
        <v>1</v>
      </c>
      <c r="F62" s="21" t="s">
        <v>31</v>
      </c>
      <c r="G62" s="22" t="n">
        <f aca="false">J62+O62+T62</f>
        <v>6150</v>
      </c>
      <c r="H62" s="21"/>
      <c r="I62" s="21"/>
      <c r="J62" s="23"/>
      <c r="K62" s="22" t="n">
        <v>0</v>
      </c>
      <c r="L62" s="22" t="n">
        <v>0</v>
      </c>
      <c r="M62" s="22" t="n">
        <v>0</v>
      </c>
      <c r="N62" s="22" t="n">
        <v>6150</v>
      </c>
      <c r="O62" s="22" t="n">
        <f aca="false">SUM(K62:N62)</f>
        <v>6150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f aca="false">SUM(P62:S62)</f>
        <v>0</v>
      </c>
    </row>
    <row r="63" customFormat="false" ht="30" hidden="false" customHeight="true" outlineLevel="0" collapsed="false">
      <c r="B63" s="18"/>
      <c r="C63" s="19"/>
      <c r="D63" s="19"/>
      <c r="E63" s="19"/>
      <c r="F63" s="21" t="s">
        <v>32</v>
      </c>
      <c r="G63" s="22" t="n">
        <f aca="false">J63+O63+T63</f>
        <v>5000</v>
      </c>
      <c r="H63" s="23" t="n">
        <v>5000</v>
      </c>
      <c r="I63" s="39" t="n">
        <f aca="false">IF(G63=0,0,H63/G63)</f>
        <v>1</v>
      </c>
      <c r="J63" s="23"/>
      <c r="K63" s="22" t="n">
        <v>0</v>
      </c>
      <c r="L63" s="22" t="n">
        <v>0</v>
      </c>
      <c r="M63" s="22" t="n">
        <v>0</v>
      </c>
      <c r="N63" s="22" t="n">
        <v>5000</v>
      </c>
      <c r="O63" s="22" t="n">
        <f aca="false">SUM(K63:N63)</f>
        <v>5000</v>
      </c>
      <c r="P63" s="22" t="n">
        <v>0</v>
      </c>
      <c r="Q63" s="22" t="n">
        <v>0</v>
      </c>
      <c r="R63" s="22" t="n">
        <v>0</v>
      </c>
      <c r="S63" s="22" t="n">
        <v>0</v>
      </c>
      <c r="T63" s="22" t="n">
        <f aca="false">SUM(P63:S63)</f>
        <v>0</v>
      </c>
    </row>
    <row r="64" customFormat="false" ht="30" hidden="false" customHeight="true" outlineLevel="0" collapsed="false">
      <c r="B64" s="18" t="s">
        <v>81</v>
      </c>
      <c r="C64" s="19" t="s">
        <v>82</v>
      </c>
      <c r="D64" s="20" t="s">
        <v>30</v>
      </c>
      <c r="E64" s="20" t="n">
        <v>6</v>
      </c>
      <c r="F64" s="21" t="s">
        <v>31</v>
      </c>
      <c r="G64" s="22" t="n">
        <f aca="false">J64+O64+T64</f>
        <v>140220</v>
      </c>
      <c r="H64" s="21"/>
      <c r="I64" s="21"/>
      <c r="J64" s="23"/>
      <c r="K64" s="22" t="n">
        <v>0</v>
      </c>
      <c r="L64" s="22" t="n">
        <v>0</v>
      </c>
      <c r="M64" s="22" t="n">
        <v>0</v>
      </c>
      <c r="N64" s="22" t="n">
        <v>133209</v>
      </c>
      <c r="O64" s="22" t="n">
        <f aca="false">SUM(K64:N64)</f>
        <v>133209</v>
      </c>
      <c r="P64" s="22" t="n">
        <v>0</v>
      </c>
      <c r="Q64" s="22" t="n">
        <v>0</v>
      </c>
      <c r="R64" s="22" t="n">
        <v>7011</v>
      </c>
      <c r="S64" s="22" t="n">
        <v>0</v>
      </c>
      <c r="T64" s="22" t="n">
        <f aca="false">SUM(P64:S64)</f>
        <v>7011</v>
      </c>
    </row>
    <row r="65" customFormat="false" ht="30" hidden="false" customHeight="true" outlineLevel="0" collapsed="false">
      <c r="B65" s="18"/>
      <c r="C65" s="19"/>
      <c r="D65" s="19"/>
      <c r="E65" s="19"/>
      <c r="F65" s="21" t="s">
        <v>32</v>
      </c>
      <c r="G65" s="22" t="n">
        <f aca="false">J65+O65+T65</f>
        <v>114000</v>
      </c>
      <c r="H65" s="23" t="n">
        <v>114000</v>
      </c>
      <c r="I65" s="39" t="n">
        <f aca="false">IF(G65=0,0,H65/G65)</f>
        <v>1</v>
      </c>
      <c r="J65" s="23"/>
      <c r="K65" s="22" t="n">
        <v>0</v>
      </c>
      <c r="L65" s="22" t="n">
        <v>0</v>
      </c>
      <c r="M65" s="22" t="n">
        <v>0</v>
      </c>
      <c r="N65" s="22" t="n">
        <v>108300</v>
      </c>
      <c r="O65" s="22" t="n">
        <f aca="false">SUM(K65:N65)</f>
        <v>108300</v>
      </c>
      <c r="P65" s="22" t="n">
        <v>0</v>
      </c>
      <c r="Q65" s="22" t="n">
        <v>0</v>
      </c>
      <c r="R65" s="22" t="n">
        <v>5700</v>
      </c>
      <c r="S65" s="22" t="n">
        <v>0</v>
      </c>
      <c r="T65" s="22" t="n">
        <f aca="false">SUM(P65:S65)</f>
        <v>5700</v>
      </c>
    </row>
    <row r="66" customFormat="false" ht="30" hidden="false" customHeight="true" outlineLevel="0" collapsed="false">
      <c r="B66" s="18" t="s">
        <v>83</v>
      </c>
      <c r="C66" s="19" t="s">
        <v>84</v>
      </c>
      <c r="D66" s="20" t="s">
        <v>46</v>
      </c>
      <c r="E66" s="20" t="n">
        <v>6</v>
      </c>
      <c r="F66" s="21" t="s">
        <v>31</v>
      </c>
      <c r="G66" s="22" t="n">
        <f aca="false">J66+O66+T66</f>
        <v>59040</v>
      </c>
      <c r="H66" s="21"/>
      <c r="I66" s="21"/>
      <c r="J66" s="23"/>
      <c r="K66" s="22" t="n">
        <v>0</v>
      </c>
      <c r="L66" s="22" t="n">
        <v>0</v>
      </c>
      <c r="M66" s="22" t="n">
        <v>0</v>
      </c>
      <c r="N66" s="22" t="n">
        <v>0</v>
      </c>
      <c r="O66" s="22" t="n">
        <f aca="false">SUM(K66:N66)</f>
        <v>0</v>
      </c>
      <c r="P66" s="22" t="n">
        <v>0</v>
      </c>
      <c r="Q66" s="22" t="n">
        <v>29520</v>
      </c>
      <c r="R66" s="22" t="n">
        <v>14760</v>
      </c>
      <c r="S66" s="22" t="n">
        <v>14760</v>
      </c>
      <c r="T66" s="22" t="n">
        <f aca="false">SUM(P66:S66)</f>
        <v>59040</v>
      </c>
    </row>
    <row r="67" customFormat="false" ht="30" hidden="false" customHeight="true" outlineLevel="0" collapsed="false">
      <c r="B67" s="18"/>
      <c r="C67" s="19"/>
      <c r="D67" s="19"/>
      <c r="E67" s="19"/>
      <c r="F67" s="21" t="s">
        <v>32</v>
      </c>
      <c r="G67" s="22" t="n">
        <f aca="false">J67+O67+T67</f>
        <v>48000</v>
      </c>
      <c r="H67" s="23" t="n">
        <v>48000</v>
      </c>
      <c r="I67" s="39" t="n">
        <f aca="false">IF(G67=0,0,H67/G67)</f>
        <v>1</v>
      </c>
      <c r="J67" s="23"/>
      <c r="K67" s="22" t="n">
        <v>0</v>
      </c>
      <c r="L67" s="22" t="n">
        <v>0</v>
      </c>
      <c r="M67" s="22" t="n">
        <v>0</v>
      </c>
      <c r="N67" s="22" t="n">
        <v>0</v>
      </c>
      <c r="O67" s="22" t="n">
        <f aca="false">SUM(K67:N67)</f>
        <v>0</v>
      </c>
      <c r="P67" s="22" t="n">
        <v>0</v>
      </c>
      <c r="Q67" s="22" t="n">
        <v>24000</v>
      </c>
      <c r="R67" s="22" t="n">
        <v>12000</v>
      </c>
      <c r="S67" s="22" t="n">
        <v>12000</v>
      </c>
      <c r="T67" s="22" t="n">
        <f aca="false">SUM(P67:S67)</f>
        <v>48000</v>
      </c>
    </row>
    <row r="68" customFormat="false" ht="19.5" hidden="false" customHeight="true" outlineLevel="0" collapsed="false">
      <c r="B68" s="42" t="s">
        <v>85</v>
      </c>
      <c r="C68" s="42"/>
      <c r="D68" s="42"/>
      <c r="E68" s="42"/>
      <c r="F68" s="43"/>
      <c r="G68" s="26" t="n">
        <f aca="false">G18+G20+G22+G36+G46+G56+G66</f>
        <v>4972398</v>
      </c>
      <c r="H68" s="44"/>
      <c r="I68" s="45"/>
      <c r="J68" s="22" t="n">
        <f aca="false">J18+J20+J22+J36+J46+J56+J66</f>
        <v>0</v>
      </c>
      <c r="K68" s="22" t="n">
        <f aca="false">K18+K20+K22+K36+K46+K56+K66</f>
        <v>0</v>
      </c>
      <c r="L68" s="22" t="n">
        <f aca="false">L18+L20+L22+L36+L46+L56+L66</f>
        <v>0</v>
      </c>
      <c r="M68" s="22" t="n">
        <f aca="false">M18+M20+M22+M36+M46+M56+M66</f>
        <v>0</v>
      </c>
      <c r="N68" s="22" t="n">
        <f aca="false">N18+N20+N22+N36+N46+N56+N66</f>
        <v>2622907</v>
      </c>
      <c r="O68" s="22" t="n">
        <f aca="false">SUM(K68:N68)</f>
        <v>2622907</v>
      </c>
      <c r="P68" s="22" t="n">
        <f aca="false">P18+P20+P22+P36+P46+P56+P66</f>
        <v>1055824</v>
      </c>
      <c r="Q68" s="22" t="n">
        <f aca="false">Q18+Q20+Q22+Q36+Q46+Q56+Q66</f>
        <v>1120661</v>
      </c>
      <c r="R68" s="22" t="n">
        <f aca="false">R18+R20+R22+R36+R46+R56+R66</f>
        <v>155786</v>
      </c>
      <c r="S68" s="22" t="n">
        <f aca="false">S18+S20+S22+S36+S46+S56+S66</f>
        <v>17220</v>
      </c>
      <c r="T68" s="22" t="n">
        <f aca="false">SUM(P68:S68)</f>
        <v>2349491</v>
      </c>
    </row>
    <row r="69" customFormat="false" ht="18" hidden="false" customHeight="true" outlineLevel="0" collapsed="false">
      <c r="B69" s="42"/>
      <c r="C69" s="42"/>
      <c r="D69" s="42"/>
      <c r="E69" s="42"/>
      <c r="F69" s="43"/>
      <c r="G69" s="43"/>
      <c r="H69" s="43"/>
      <c r="I69" s="46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customFormat="false" ht="31.5" hidden="false" customHeight="true" outlineLevel="0" collapsed="false">
      <c r="B70" s="42"/>
      <c r="C70" s="47" t="s">
        <v>86</v>
      </c>
      <c r="D70" s="47"/>
      <c r="E70" s="47"/>
      <c r="F70" s="43"/>
      <c r="G70" s="48" t="n">
        <f aca="false">G19+G21+G23+G37+G47+G57+G67</f>
        <v>4042600</v>
      </c>
      <c r="H70" s="48" t="n">
        <f aca="false">H19+H21+H23+H37+H47+H57+H67</f>
        <v>4042600</v>
      </c>
      <c r="I70" s="49" t="n">
        <f aca="false">IF(G70=0,0,H70/G70)</f>
        <v>1</v>
      </c>
      <c r="J70" s="50" t="n">
        <f aca="false">J19+J21+J23+J37+J47+J57+J67</f>
        <v>0</v>
      </c>
      <c r="K70" s="50" t="n">
        <f aca="false">K19+K21+K23+K37+K47+K57+K67</f>
        <v>0</v>
      </c>
      <c r="L70" s="50" t="n">
        <f aca="false">L19+L21+L23+L37+L47+L57+L67</f>
        <v>0</v>
      </c>
      <c r="M70" s="50" t="n">
        <f aca="false">M19+M21+M23+M37+M47+M57+M67</f>
        <v>0</v>
      </c>
      <c r="N70" s="50" t="n">
        <f aca="false">N19+N21+N23+N37+N47+N57+N67</f>
        <v>2132445</v>
      </c>
      <c r="O70" s="22" t="n">
        <f aca="false">SUM(K70:N70)</f>
        <v>2132445</v>
      </c>
      <c r="P70" s="50" t="n">
        <f aca="false">P19+P21+P23+P37+P47+P57+P67</f>
        <v>858394</v>
      </c>
      <c r="Q70" s="50" t="n">
        <f aca="false">Q19+Q21+Q23+Q37+Q47+Q57+Q67</f>
        <v>911106</v>
      </c>
      <c r="R70" s="50" t="n">
        <f aca="false">R19+R21+R23+R37+R47+R57+R67</f>
        <v>126655</v>
      </c>
      <c r="S70" s="50" t="n">
        <f aca="false">S19+S21+S23+S37+S47+S57+S67</f>
        <v>14000</v>
      </c>
      <c r="T70" s="22" t="n">
        <f aca="false">SUM(P70:S70)</f>
        <v>1910155</v>
      </c>
    </row>
    <row r="71" customFormat="false" ht="36.75" hidden="false" customHeight="true" outlineLevel="0" collapsed="false">
      <c r="B71" s="42" t="s">
        <v>87</v>
      </c>
      <c r="C71" s="42"/>
      <c r="D71" s="42"/>
      <c r="E71" s="42"/>
      <c r="F71" s="43"/>
      <c r="G71" s="48" t="n">
        <f aca="false">J71+O71+T71</f>
        <v>0</v>
      </c>
      <c r="H71" s="50"/>
      <c r="I71" s="51"/>
      <c r="J71" s="50"/>
      <c r="K71" s="50" t="n">
        <v>0</v>
      </c>
      <c r="L71" s="50" t="n">
        <v>0</v>
      </c>
      <c r="M71" s="50" t="n">
        <v>0</v>
      </c>
      <c r="N71" s="50" t="n">
        <v>0</v>
      </c>
      <c r="O71" s="22" t="n">
        <f aca="false">SUM(K71:N71)</f>
        <v>0</v>
      </c>
      <c r="P71" s="50" t="n">
        <v>0</v>
      </c>
      <c r="Q71" s="50" t="n">
        <v>0</v>
      </c>
      <c r="R71" s="50" t="n">
        <v>0</v>
      </c>
      <c r="S71" s="50" t="n">
        <v>0</v>
      </c>
      <c r="T71" s="22" t="n">
        <f aca="false">SUM(P71:S71)</f>
        <v>0</v>
      </c>
    </row>
    <row r="72" customFormat="false" ht="36.75" hidden="false" customHeight="true" outlineLevel="0" collapsed="false">
      <c r="B72" s="42"/>
      <c r="C72" s="47" t="s">
        <v>88</v>
      </c>
      <c r="D72" s="47"/>
      <c r="E72" s="47"/>
      <c r="F72" s="43"/>
      <c r="G72" s="48" t="n">
        <f aca="false">G68-G70</f>
        <v>929798</v>
      </c>
      <c r="H72" s="51"/>
      <c r="I72" s="51" t="n">
        <f aca="false">J68-J70</f>
        <v>0</v>
      </c>
      <c r="J72" s="50"/>
      <c r="K72" s="50" t="n">
        <f aca="false">K68-K70</f>
        <v>0</v>
      </c>
      <c r="L72" s="50" t="n">
        <f aca="false">L68-L70</f>
        <v>0</v>
      </c>
      <c r="M72" s="50" t="n">
        <f aca="false">M68-M70</f>
        <v>0</v>
      </c>
      <c r="N72" s="50" t="n">
        <f aca="false">N68-N70</f>
        <v>490462</v>
      </c>
      <c r="O72" s="22" t="n">
        <f aca="false">SUM(K72:N72)</f>
        <v>490462</v>
      </c>
      <c r="P72" s="50" t="n">
        <f aca="false">P68-P70</f>
        <v>197430</v>
      </c>
      <c r="Q72" s="50" t="n">
        <f aca="false">Q68-Q70</f>
        <v>209555</v>
      </c>
      <c r="R72" s="50" t="n">
        <f aca="false">R68-R70</f>
        <v>29131</v>
      </c>
      <c r="S72" s="50" t="n">
        <f aca="false">S68-S70</f>
        <v>3220</v>
      </c>
      <c r="T72" s="22" t="n">
        <f aca="false">SUM(P72:S72)</f>
        <v>439336</v>
      </c>
    </row>
    <row r="73" customFormat="false" ht="39.75" hidden="false" customHeight="true" outlineLevel="0" collapsed="false">
      <c r="B73" s="42"/>
      <c r="C73" s="52" t="s">
        <v>86</v>
      </c>
      <c r="D73" s="52"/>
      <c r="E73" s="52"/>
      <c r="F73" s="53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</row>
    <row r="74" customFormat="false" ht="39.75" hidden="false" customHeight="true" outlineLevel="0" collapsed="false">
      <c r="B74" s="7"/>
      <c r="C74" s="55" t="s">
        <v>89</v>
      </c>
      <c r="F74" s="56"/>
      <c r="G74" s="57"/>
      <c r="H74" s="57"/>
      <c r="I74" s="57"/>
      <c r="J74" s="57"/>
      <c r="K74" s="57"/>
      <c r="L74" s="57"/>
      <c r="N74" s="57"/>
      <c r="O74" s="58"/>
      <c r="P74" s="58"/>
      <c r="Q74" s="57"/>
      <c r="R74" s="57"/>
      <c r="S74" s="57"/>
      <c r="T74" s="57"/>
    </row>
    <row r="75" customFormat="false" ht="94.5" hidden="false" customHeight="true" outlineLevel="0" collapsed="false">
      <c r="B75" s="7"/>
      <c r="C75" s="59" t="s">
        <v>90</v>
      </c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 customFormat="false" ht="15.75" hidden="false" customHeight="true" outlineLevel="0" collapsed="false">
      <c r="B76" s="7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</row>
    <row r="77" customFormat="false" ht="70.5" hidden="false" customHeight="true" outlineLevel="0" collapsed="false">
      <c r="B77" s="7"/>
      <c r="C77" s="61" t="s">
        <v>91</v>
      </c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</row>
    <row r="78" customFormat="false" ht="51" hidden="false" customHeight="true" outlineLevel="0" collapsed="false">
      <c r="B78" s="7"/>
      <c r="C78" s="61" t="s">
        <v>92</v>
      </c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</row>
    <row r="79" customFormat="false" ht="77.25" hidden="false" customHeight="true" outlineLevel="0" collapsed="false"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3"/>
      <c r="S79" s="63"/>
      <c r="T79" s="63"/>
    </row>
    <row r="80" customFormat="false" ht="34.5" hidden="false" customHeight="true" outlineLevel="0" collapsed="false">
      <c r="C80" s="64" t="s">
        <v>93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"/>
      <c r="P80" s="6"/>
      <c r="Q80" s="6"/>
    </row>
  </sheetData>
  <mergeCells count="145">
    <mergeCell ref="R2:T2"/>
    <mergeCell ref="B12:D12"/>
    <mergeCell ref="O12:T12"/>
    <mergeCell ref="B13:B16"/>
    <mergeCell ref="C13:C16"/>
    <mergeCell ref="D13:D16"/>
    <mergeCell ref="E13:E16"/>
    <mergeCell ref="F13:F16"/>
    <mergeCell ref="G13:G14"/>
    <mergeCell ref="H13:H14"/>
    <mergeCell ref="I13:I14"/>
    <mergeCell ref="J13:J14"/>
    <mergeCell ref="K13:T14"/>
    <mergeCell ref="G15:G16"/>
    <mergeCell ref="H15:H16"/>
    <mergeCell ref="I15:I16"/>
    <mergeCell ref="J15:J16"/>
    <mergeCell ref="K15:N15"/>
    <mergeCell ref="O15:O16"/>
    <mergeCell ref="P15:S15"/>
    <mergeCell ref="T15:T16"/>
    <mergeCell ref="U16:V16"/>
    <mergeCell ref="B18:B19"/>
    <mergeCell ref="C18:C19"/>
    <mergeCell ref="D18:D19"/>
    <mergeCell ref="E18:E19"/>
    <mergeCell ref="B20:B21"/>
    <mergeCell ref="C20:C21"/>
    <mergeCell ref="D20:D21"/>
    <mergeCell ref="E20:E21"/>
    <mergeCell ref="B22:B23"/>
    <mergeCell ref="C22:C23"/>
    <mergeCell ref="D22:D23"/>
    <mergeCell ref="E22:E23"/>
    <mergeCell ref="B24:B25"/>
    <mergeCell ref="C24:C25"/>
    <mergeCell ref="D24:D25"/>
    <mergeCell ref="E24:E25"/>
    <mergeCell ref="B26:B27"/>
    <mergeCell ref="C26:C27"/>
    <mergeCell ref="D26:D27"/>
    <mergeCell ref="E26:E27"/>
    <mergeCell ref="B28:B29"/>
    <mergeCell ref="C28:C29"/>
    <mergeCell ref="D28:D29"/>
    <mergeCell ref="E28:E29"/>
    <mergeCell ref="B30:B31"/>
    <mergeCell ref="C30:C31"/>
    <mergeCell ref="D30:D31"/>
    <mergeCell ref="E30:E31"/>
    <mergeCell ref="B32:B33"/>
    <mergeCell ref="C32:C33"/>
    <mergeCell ref="D32:D33"/>
    <mergeCell ref="E32:E33"/>
    <mergeCell ref="B34:B35"/>
    <mergeCell ref="C34:C35"/>
    <mergeCell ref="D34:D35"/>
    <mergeCell ref="E34:E35"/>
    <mergeCell ref="B36:B37"/>
    <mergeCell ref="C36:C37"/>
    <mergeCell ref="D36:D37"/>
    <mergeCell ref="E36:E37"/>
    <mergeCell ref="B38:B39"/>
    <mergeCell ref="C38:C39"/>
    <mergeCell ref="D38:D39"/>
    <mergeCell ref="E38:E39"/>
    <mergeCell ref="B40:B41"/>
    <mergeCell ref="C40:C41"/>
    <mergeCell ref="D40:D41"/>
    <mergeCell ref="E40:E41"/>
    <mergeCell ref="B42:B43"/>
    <mergeCell ref="C42:C43"/>
    <mergeCell ref="D42:D43"/>
    <mergeCell ref="E42:E43"/>
    <mergeCell ref="B44:B45"/>
    <mergeCell ref="C44:C45"/>
    <mergeCell ref="D44:D45"/>
    <mergeCell ref="E44:E45"/>
    <mergeCell ref="B46:B47"/>
    <mergeCell ref="C46:C47"/>
    <mergeCell ref="D46:D47"/>
    <mergeCell ref="E46:E47"/>
    <mergeCell ref="B48:B49"/>
    <mergeCell ref="C48:C49"/>
    <mergeCell ref="D48:D49"/>
    <mergeCell ref="E48:E49"/>
    <mergeCell ref="B50:B51"/>
    <mergeCell ref="C50:C51"/>
    <mergeCell ref="D50:D51"/>
    <mergeCell ref="E50:E51"/>
    <mergeCell ref="B52:B53"/>
    <mergeCell ref="C52:C53"/>
    <mergeCell ref="D52:D53"/>
    <mergeCell ref="E52:E53"/>
    <mergeCell ref="B54:B55"/>
    <mergeCell ref="C54:C55"/>
    <mergeCell ref="D54:D55"/>
    <mergeCell ref="E54:E55"/>
    <mergeCell ref="B56:B57"/>
    <mergeCell ref="C56:C57"/>
    <mergeCell ref="D56:D57"/>
    <mergeCell ref="E56:E57"/>
    <mergeCell ref="B58:B59"/>
    <mergeCell ref="C58:C59"/>
    <mergeCell ref="D58:D59"/>
    <mergeCell ref="E58:E59"/>
    <mergeCell ref="B60:B61"/>
    <mergeCell ref="C60:C61"/>
    <mergeCell ref="D60:D61"/>
    <mergeCell ref="E60:E61"/>
    <mergeCell ref="B62:B63"/>
    <mergeCell ref="C62:C63"/>
    <mergeCell ref="D62:D63"/>
    <mergeCell ref="E62:E63"/>
    <mergeCell ref="B64:B65"/>
    <mergeCell ref="C64:C65"/>
    <mergeCell ref="D64:D65"/>
    <mergeCell ref="E64:E65"/>
    <mergeCell ref="B66:B67"/>
    <mergeCell ref="C66:C67"/>
    <mergeCell ref="D66:D67"/>
    <mergeCell ref="E66:E67"/>
    <mergeCell ref="B68:E69"/>
    <mergeCell ref="F68:F69"/>
    <mergeCell ref="G68:G69"/>
    <mergeCell ref="H68:H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C70:E70"/>
    <mergeCell ref="B71:E71"/>
    <mergeCell ref="C72:E72"/>
    <mergeCell ref="C73:E73"/>
    <mergeCell ref="C75:T75"/>
    <mergeCell ref="C77:T77"/>
    <mergeCell ref="C78:T78"/>
    <mergeCell ref="C80:N8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2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2003-02-18T11:26:39Z</dcterms:created>
  <dc:creator>Beata Jasińska</dc:creator>
  <dc:description/>
  <dc:language>en-US</dc:language>
  <cp:lastModifiedBy>Piotr Ziąbrowski</cp:lastModifiedBy>
  <cp:lastPrinted>2026-10-16T08:36:43Z</cp:lastPrinted>
  <dcterms:modified xsi:type="dcterms:W3CDTF">2026-10-22T11:38:49Z</dcterms:modified>
  <cp:revision>0</cp:revision>
  <dc:subject/>
  <dc:title>Harmonogram rzeczowo-finansowy dotacja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